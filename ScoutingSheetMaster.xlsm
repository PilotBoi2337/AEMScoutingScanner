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ierangarigan/Desktop/Robotics/"/>
    </mc:Choice>
  </mc:AlternateContent>
  <xr:revisionPtr revIDLastSave="0" documentId="13_ncr:1_{F787F398-F641-F543-8E0F-F6DF90FF4339}" xr6:coauthVersionLast="47" xr6:coauthVersionMax="47" xr10:uidLastSave="{00000000-0000-0000-0000-000000000000}"/>
  <bookViews>
    <workbookView xWindow="10020" yWindow="3680" windowWidth="23260" windowHeight="13180" tabRatio="870" xr2:uid="{B6E5A796-C53D-4302-B861-7066884E3AD9}"/>
  </bookViews>
  <sheets>
    <sheet name="Sheet1" sheetId="1" r:id="rId1"/>
    <sheet name="Sheet2" sheetId="30" r:id="rId2"/>
    <sheet name="Averages" sheetId="2" r:id="rId3"/>
    <sheet name="Auto Path Backend 1" sheetId="3" state="hidden" r:id="rId4"/>
    <sheet name="Auto Path Backend 2" sheetId="28" state="hidden" r:id="rId5"/>
    <sheet name="Auto Path Backend 3" sheetId="4" state="hidden" r:id="rId6"/>
    <sheet name="Prematch Backend 1" sheetId="8" state="hidden" r:id="rId7"/>
    <sheet name="Prematch Backend 2A" sheetId="9" state="hidden" r:id="rId8"/>
    <sheet name="Prematch Backend 2B" sheetId="10" state="hidden" r:id="rId9"/>
    <sheet name="Prematch Backend 2C" sheetId="11" state="hidden" r:id="rId10"/>
    <sheet name="Prematch Backend 3A" sheetId="12" state="hidden" r:id="rId11"/>
    <sheet name="Prematch Backend 3B" sheetId="13" state="hidden" r:id="rId12"/>
    <sheet name="Prematch Backend 3C" sheetId="14" state="hidden" r:id="rId13"/>
    <sheet name="Prematch Backend 4A" sheetId="15" state="hidden" r:id="rId14"/>
    <sheet name="Prematch Backend 4B" sheetId="16" state="hidden" r:id="rId15"/>
    <sheet name="Prematch Backend 4C" sheetId="17" state="hidden" r:id="rId16"/>
    <sheet name="Prematch Backend 5A" sheetId="18" state="hidden" r:id="rId17"/>
    <sheet name="Prematch Backend 5B" sheetId="19" state="hidden" r:id="rId18"/>
    <sheet name="Prematch Backend 5C" sheetId="20" state="hidden" r:id="rId19"/>
    <sheet name="Prematch Backend 6A" sheetId="21" state="hidden" r:id="rId20"/>
    <sheet name="Prematch Backend 6B" sheetId="22" state="hidden" r:id="rId21"/>
    <sheet name="Prematch Backend 6C" sheetId="23" state="hidden" r:id="rId22"/>
    <sheet name="Prematch Backend 7A" sheetId="24" state="hidden" r:id="rId23"/>
    <sheet name="Prematch Backend 7B" sheetId="25" state="hidden" r:id="rId24"/>
    <sheet name="Prematch Backend 7C" sheetId="26" state="hidden" r:id="rId25"/>
    <sheet name="Prematch" sheetId="7" r:id="rId26"/>
    <sheet name="Full Data" sheetId="6" r:id="rId27"/>
    <sheet name="Auto Path" sheetId="29" r:id="rId28"/>
  </sheets>
  <functionGroups builtInGroupCount="19"/>
  <definedNames>
    <definedName name="_xlpm.a" hidden="1" xlm="1">#NAME?</definedName>
    <definedName name="_xlpm.ARRAY" hidden="1" xlm="1">#NAME?</definedName>
    <definedName name="_xlpm.c" hidden="1" xlm="1">#NAME?</definedName>
    <definedName name="_xlpm.ChooseCols" hidden="1" xlm="1">#NAME?</definedName>
    <definedName name="_xlpm.F16c" hidden="1" xlm="1">#NAME?</definedName>
    <definedName name="_xlpm.I" hidden="1" xlm="1">#NAME?</definedName>
    <definedName name="_xlpm.If" hidden="1" xlm="1">#NAME?</definedName>
    <definedName name="_xlpm.r" hidden="1" xlm="1">#NAME?</definedName>
    <definedName name="_xlpm.row" hidden="1" xlm="1">#NAME?</definedName>
    <definedName name="_xlpm.s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B10000000">Prematch!$B$43:$P$44</definedName>
    <definedName name="ChartDomain">"OFFSET(Sheet1!$B$4,0,0,COUNTA(Sheet1!$B4:$B100)-1,1)"</definedName>
    <definedName name="ChartRange">"OFFSET(Sheet1!$C$4,0,0,COUNTA(Sheet1!$C4:$C100)-1,1)"</definedName>
    <definedName name="D4000000">Prematch!$D$400000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28" l="1" a="1"/>
  <c r="B11" i="28" s="1"/>
  <c r="C2" i="4"/>
  <c r="B2" i="28" s="1"/>
  <c r="B12" i="28" a="1"/>
  <c r="B12" i="28" s="1"/>
  <c r="B13" i="28" a="1"/>
  <c r="B13" i="28" s="1"/>
  <c r="B14" i="28" a="1"/>
  <c r="B14" i="28" s="1"/>
  <c r="B15" i="28" a="1"/>
  <c r="B15" i="28" s="1"/>
  <c r="B16" i="28" a="1"/>
  <c r="B16" i="28" s="1"/>
  <c r="B17" i="28" a="1"/>
  <c r="B17" i="28" s="1"/>
  <c r="B18" i="28" a="1"/>
  <c r="B18" i="28" s="1"/>
  <c r="B19" i="28" a="1"/>
  <c r="B19" i="28"/>
  <c r="B20" i="28" a="1"/>
  <c r="B20" i="28" s="1"/>
  <c r="B21" i="28" a="1"/>
  <c r="B21" i="28" s="1"/>
  <c r="B22" i="28" a="1"/>
  <c r="B22" i="28" s="1"/>
  <c r="B23" i="28" a="1"/>
  <c r="B23" i="28"/>
  <c r="B24" i="28" a="1"/>
  <c r="B24" i="28" s="1"/>
  <c r="B25" i="28" a="1"/>
  <c r="B25" i="28" s="1"/>
  <c r="B26" i="28" a="1"/>
  <c r="B26" i="28" s="1"/>
  <c r="B27" i="28" a="1"/>
  <c r="B27" i="28"/>
  <c r="B28" i="28" a="1"/>
  <c r="B28" i="28" s="1"/>
  <c r="B29" i="28" a="1"/>
  <c r="B29" i="28" s="1"/>
  <c r="B30" i="28" a="1"/>
  <c r="B30" i="28" s="1"/>
  <c r="B31" i="28" a="1"/>
  <c r="B31" i="28"/>
  <c r="B32" i="28" a="1"/>
  <c r="B32" i="28" s="1"/>
  <c r="B33" i="28" a="1"/>
  <c r="B33" i="28" s="1"/>
  <c r="B34" i="28" a="1"/>
  <c r="B34" i="28" s="1"/>
  <c r="B35" i="28" a="1"/>
  <c r="B35" i="28"/>
  <c r="B36" i="28" a="1"/>
  <c r="B36" i="28" s="1"/>
  <c r="B37" i="28" a="1"/>
  <c r="B37" i="28" s="1"/>
  <c r="B38" i="28" a="1"/>
  <c r="B38" i="28" s="1"/>
  <c r="B39" i="28" a="1"/>
  <c r="B39" i="28"/>
  <c r="B40" i="28" a="1"/>
  <c r="B40" i="28" s="1"/>
  <c r="B41" i="28" a="1"/>
  <c r="B41" i="28" s="1"/>
  <c r="B42" i="28" a="1"/>
  <c r="B42" i="28" s="1"/>
  <c r="B43" i="28" a="1"/>
  <c r="B43" i="28"/>
  <c r="B44" i="28" a="1"/>
  <c r="B44" i="28" s="1"/>
  <c r="B45" i="28" a="1"/>
  <c r="B45" i="28" s="1"/>
  <c r="B46" i="28" a="1"/>
  <c r="B46" i="28" s="1"/>
  <c r="B47" i="28" a="1"/>
  <c r="B47" i="28"/>
  <c r="B48" i="28" a="1"/>
  <c r="B48" i="28" s="1"/>
  <c r="B49" i="28" a="1"/>
  <c r="B49" i="28" s="1"/>
  <c r="B50" i="28" a="1"/>
  <c r="B50" i="28" s="1"/>
  <c r="B51" i="28" a="1"/>
  <c r="B51" i="28"/>
  <c r="B52" i="28" a="1"/>
  <c r="B52" i="28" s="1"/>
  <c r="B53" i="28" a="1"/>
  <c r="B53" i="28" s="1"/>
  <c r="B54" i="28" a="1"/>
  <c r="B54" i="28" s="1"/>
  <c r="B55" i="28" a="1"/>
  <c r="B55" i="28"/>
  <c r="B56" i="28" a="1"/>
  <c r="B56" i="28" s="1"/>
  <c r="B57" i="28" a="1"/>
  <c r="B57" i="28" s="1"/>
  <c r="B58" i="28" a="1"/>
  <c r="B58" i="28" s="1"/>
  <c r="B59" i="28" a="1"/>
  <c r="B59" i="28"/>
  <c r="B60" i="28" a="1"/>
  <c r="B60" i="28" s="1"/>
  <c r="B61" i="28" a="1"/>
  <c r="B61" i="28" s="1"/>
  <c r="B62" i="28" a="1"/>
  <c r="B62" i="28" s="1"/>
  <c r="B63" i="28" a="1"/>
  <c r="B63" i="28"/>
  <c r="B64" i="28" a="1"/>
  <c r="B64" i="28" s="1"/>
  <c r="B65" i="28" a="1"/>
  <c r="B65" i="28" s="1"/>
  <c r="B66" i="28" a="1"/>
  <c r="B66" i="28" s="1"/>
  <c r="B67" i="28" a="1"/>
  <c r="B67" i="28"/>
  <c r="B68" i="28" a="1"/>
  <c r="B68" i="28" s="1"/>
  <c r="B69" i="28" a="1"/>
  <c r="B69" i="28" s="1"/>
  <c r="B70" i="28" a="1"/>
  <c r="B70" i="28" s="1"/>
  <c r="B71" i="28" a="1"/>
  <c r="B71" i="28"/>
  <c r="B72" i="28" a="1"/>
  <c r="B72" i="28" s="1"/>
  <c r="B73" i="28" a="1"/>
  <c r="B73" i="28" s="1"/>
  <c r="B74" i="28" a="1"/>
  <c r="B74" i="28" s="1"/>
  <c r="B75" i="28" a="1"/>
  <c r="B75" i="28"/>
  <c r="B76" i="28" a="1"/>
  <c r="B76" i="28" s="1"/>
  <c r="B77" i="28" a="1"/>
  <c r="B77" i="28" s="1"/>
  <c r="B78" i="28" a="1"/>
  <c r="B78" i="28" s="1"/>
  <c r="B79" i="28" a="1"/>
  <c r="B79" i="28"/>
  <c r="B80" i="28" a="1"/>
  <c r="B80" i="28" s="1"/>
  <c r="B81" i="28" a="1"/>
  <c r="B81" i="28" s="1"/>
  <c r="B82" i="28" a="1"/>
  <c r="B82" i="28" s="1"/>
  <c r="B83" i="28" a="1"/>
  <c r="B83" i="28"/>
  <c r="B84" i="28" a="1"/>
  <c r="B84" i="28" s="1"/>
  <c r="B85" i="28" a="1"/>
  <c r="B85" i="28" s="1"/>
  <c r="B86" i="28" a="1"/>
  <c r="B86" i="28" s="1"/>
  <c r="B87" i="28" a="1"/>
  <c r="B87" i="28"/>
  <c r="B88" i="28" a="1"/>
  <c r="B88" i="28" s="1"/>
  <c r="B89" i="28" a="1"/>
  <c r="B89" i="28" s="1"/>
  <c r="B90" i="28" a="1"/>
  <c r="B90" i="28" s="1"/>
  <c r="B91" i="28" a="1"/>
  <c r="B91" i="28"/>
  <c r="B92" i="28" a="1"/>
  <c r="B92" i="28" s="1"/>
  <c r="B93" i="28" a="1"/>
  <c r="B93" i="28" s="1"/>
  <c r="B94" i="28" a="1"/>
  <c r="B94" i="28" s="1"/>
  <c r="B95" i="28" a="1"/>
  <c r="B95" i="28"/>
  <c r="B96" i="28" a="1"/>
  <c r="B96" i="28" s="1"/>
  <c r="B97" i="28" a="1"/>
  <c r="B97" i="28" s="1"/>
  <c r="B98" i="28" a="1"/>
  <c r="B98" i="28" s="1"/>
  <c r="B99" i="28" a="1"/>
  <c r="B99" i="28"/>
  <c r="B100" i="28" a="1"/>
  <c r="B100" i="28" s="1"/>
  <c r="B101" i="28" a="1"/>
  <c r="B101" i="28" s="1"/>
  <c r="B102" i="28" a="1"/>
  <c r="B102" i="28" s="1"/>
  <c r="B103" i="28" a="1"/>
  <c r="B103" i="28"/>
  <c r="B104" i="28" a="1"/>
  <c r="B104" i="28" s="1"/>
  <c r="B105" i="28" a="1"/>
  <c r="B105" i="28" s="1"/>
  <c r="B106" i="28" a="1"/>
  <c r="B106" i="28" s="1"/>
  <c r="B107" i="28" a="1"/>
  <c r="B107" i="28"/>
  <c r="B108" i="28" a="1"/>
  <c r="B108" i="28" s="1"/>
  <c r="B109" i="28" a="1"/>
  <c r="B109" i="28" s="1"/>
  <c r="B110" i="28" a="1"/>
  <c r="B110" i="28" s="1"/>
  <c r="B111" i="28" a="1"/>
  <c r="B111" i="28"/>
  <c r="B112" i="28" a="1"/>
  <c r="B112" i="28" s="1"/>
  <c r="B113" i="28" a="1"/>
  <c r="B113" i="28" s="1"/>
  <c r="B114" i="28" a="1"/>
  <c r="B114" i="28" s="1"/>
  <c r="B115" i="28" a="1"/>
  <c r="B115" i="28"/>
  <c r="B116" i="28" a="1"/>
  <c r="B116" i="28" s="1"/>
  <c r="B117" i="28" a="1"/>
  <c r="B117" i="28" s="1"/>
  <c r="B118" i="28" a="1"/>
  <c r="B118" i="28" s="1"/>
  <c r="B119" i="28" a="1"/>
  <c r="B119" i="28"/>
  <c r="B120" i="28" a="1"/>
  <c r="B120" i="28" s="1"/>
  <c r="B121" i="28" a="1"/>
  <c r="B121" i="28" s="1"/>
  <c r="B122" i="28" a="1"/>
  <c r="B122" i="28" s="1"/>
  <c r="B123" i="28" a="1"/>
  <c r="B123" i="28"/>
  <c r="B124" i="28" a="1"/>
  <c r="B124" i="28" s="1"/>
  <c r="B125" i="28" a="1"/>
  <c r="B125" i="28" s="1"/>
  <c r="B126" i="28" a="1"/>
  <c r="B126" i="28" s="1"/>
  <c r="B127" i="28" a="1"/>
  <c r="B127" i="28"/>
  <c r="B128" i="28" a="1"/>
  <c r="B128" i="28" s="1"/>
  <c r="B129" i="28" a="1"/>
  <c r="B129" i="28" s="1"/>
  <c r="B130" i="28" a="1"/>
  <c r="B130" i="28" s="1"/>
  <c r="B131" i="28" a="1"/>
  <c r="B131" i="28"/>
  <c r="B132" i="28" a="1"/>
  <c r="B132" i="28" s="1"/>
  <c r="B133" i="28" a="1"/>
  <c r="B133" i="28" s="1"/>
  <c r="B134" i="28" a="1"/>
  <c r="B134" i="28" s="1"/>
  <c r="B135" i="28" a="1"/>
  <c r="B135" i="28"/>
  <c r="B136" i="28" a="1"/>
  <c r="B136" i="28" s="1"/>
  <c r="B137" i="28" a="1"/>
  <c r="B137" i="28" s="1"/>
  <c r="B138" i="28" a="1"/>
  <c r="B138" i="28" s="1"/>
  <c r="B139" i="28" a="1"/>
  <c r="B139" i="28"/>
  <c r="B140" i="28" a="1"/>
  <c r="B140" i="28" s="1"/>
  <c r="B141" i="28" a="1"/>
  <c r="B141" i="28" s="1"/>
  <c r="B142" i="28" a="1"/>
  <c r="B142" i="28" s="1"/>
  <c r="B143" i="28" a="1"/>
  <c r="B143" i="28"/>
  <c r="B144" i="28" a="1"/>
  <c r="B144" i="28" s="1"/>
  <c r="B145" i="28" a="1"/>
  <c r="B145" i="28" s="1"/>
  <c r="B146" i="28" a="1"/>
  <c r="B146" i="28" s="1"/>
  <c r="B147" i="28" a="1"/>
  <c r="B147" i="28"/>
  <c r="B148" i="28" a="1"/>
  <c r="B148" i="28" s="1"/>
  <c r="B149" i="28" a="1"/>
  <c r="B149" i="28" s="1"/>
  <c r="B150" i="28" a="1"/>
  <c r="B150" i="28" s="1"/>
  <c r="B151" i="28" a="1"/>
  <c r="B151" i="28"/>
  <c r="B152" i="28" a="1"/>
  <c r="B152" i="28" s="1"/>
  <c r="B153" i="28" a="1"/>
  <c r="B153" i="28" s="1"/>
  <c r="B154" i="28" a="1"/>
  <c r="B154" i="28" s="1"/>
  <c r="B155" i="28" a="1"/>
  <c r="B155" i="28"/>
  <c r="B156" i="28" a="1"/>
  <c r="B156" i="28" s="1"/>
  <c r="B157" i="28" a="1"/>
  <c r="B157" i="28" s="1"/>
  <c r="B158" i="28" a="1"/>
  <c r="B158" i="28" s="1"/>
  <c r="B159" i="28" a="1"/>
  <c r="B159" i="28"/>
  <c r="B160" i="28" a="1"/>
  <c r="B160" i="28" s="1"/>
  <c r="B161" i="28" a="1"/>
  <c r="B161" i="28" s="1"/>
  <c r="B162" i="28" a="1"/>
  <c r="B162" i="28" s="1"/>
  <c r="B163" i="28" a="1"/>
  <c r="B163" i="28"/>
  <c r="B164" i="28" a="1"/>
  <c r="B164" i="28" s="1"/>
  <c r="B165" i="28" a="1"/>
  <c r="B165" i="28" s="1"/>
  <c r="B166" i="28" a="1"/>
  <c r="B166" i="28" s="1"/>
  <c r="B167" i="28" a="1"/>
  <c r="B167" i="28"/>
  <c r="B168" i="28" a="1"/>
  <c r="B168" i="28" s="1"/>
  <c r="B169" i="28" a="1"/>
  <c r="B169" i="28" s="1"/>
  <c r="B170" i="28" a="1"/>
  <c r="B170" i="28" s="1"/>
  <c r="B171" i="28" a="1"/>
  <c r="B171" i="28"/>
  <c r="B172" i="28" a="1"/>
  <c r="B172" i="28" s="1"/>
  <c r="B173" i="28" a="1"/>
  <c r="B173" i="28" s="1"/>
  <c r="B174" i="28" a="1"/>
  <c r="B174" i="28" s="1"/>
  <c r="B175" i="28" a="1"/>
  <c r="B175" i="28"/>
  <c r="B176" i="28" a="1"/>
  <c r="B176" i="28" s="1"/>
  <c r="B177" i="28" a="1"/>
  <c r="B177" i="28" s="1"/>
  <c r="B178" i="28" a="1"/>
  <c r="B178" i="28" s="1"/>
  <c r="B179" i="28" a="1"/>
  <c r="B179" i="28" s="1"/>
  <c r="B180" i="28" a="1"/>
  <c r="B180" i="28" s="1"/>
  <c r="B181" i="28" a="1"/>
  <c r="B181" i="28" s="1"/>
  <c r="B182" i="28" a="1"/>
  <c r="B182" i="28" s="1"/>
  <c r="B183" i="28" a="1"/>
  <c r="B183" i="28" s="1"/>
  <c r="B184" i="28" a="1"/>
  <c r="B184" i="28" s="1"/>
  <c r="B185" i="28" a="1"/>
  <c r="B185" i="28" s="1"/>
  <c r="B186" i="28" a="1"/>
  <c r="B186" i="28" s="1"/>
  <c r="B187" i="28" a="1"/>
  <c r="B187" i="28" s="1"/>
  <c r="B188" i="28" a="1"/>
  <c r="B188" i="28" s="1"/>
  <c r="B189" i="28" a="1"/>
  <c r="B189" i="28" s="1"/>
  <c r="B190" i="28" a="1"/>
  <c r="B190" i="28" s="1"/>
  <c r="B191" i="28" a="1"/>
  <c r="B191" i="28" s="1"/>
  <c r="B192" i="28" a="1"/>
  <c r="B192" i="28" s="1"/>
  <c r="B193" i="28" a="1"/>
  <c r="B193" i="28" s="1"/>
  <c r="B194" i="28" a="1"/>
  <c r="B194" i="28" s="1"/>
  <c r="B195" i="28" a="1"/>
  <c r="B195" i="28" s="1"/>
  <c r="B196" i="28" a="1"/>
  <c r="B196" i="28" s="1"/>
  <c r="B197" i="28" a="1"/>
  <c r="B197" i="28" s="1"/>
  <c r="B198" i="28" a="1"/>
  <c r="B198" i="28" s="1"/>
  <c r="B199" i="28" a="1"/>
  <c r="B199" i="28" s="1"/>
  <c r="B200" i="28" a="1"/>
  <c r="B200" i="28" s="1"/>
  <c r="B201" i="28" a="1"/>
  <c r="B201" i="28" s="1"/>
  <c r="B202" i="28" a="1"/>
  <c r="B202" i="28" s="1"/>
  <c r="B203" i="28" a="1"/>
  <c r="B203" i="28" s="1"/>
  <c r="B204" i="28" a="1"/>
  <c r="B204" i="28" s="1"/>
  <c r="B205" i="28" a="1"/>
  <c r="B205" i="28" s="1"/>
  <c r="B206" i="28" a="1"/>
  <c r="B206" i="28" s="1"/>
  <c r="B207" i="28" a="1"/>
  <c r="B207" i="28" s="1"/>
  <c r="B208" i="28" a="1"/>
  <c r="B208" i="28" s="1"/>
  <c r="B209" i="28" a="1"/>
  <c r="B209" i="28" s="1"/>
  <c r="B210" i="28" a="1"/>
  <c r="B210" i="28" s="1"/>
  <c r="B211" i="28" a="1"/>
  <c r="B211" i="28" s="1"/>
  <c r="B212" i="28" a="1"/>
  <c r="B212" i="28" s="1"/>
  <c r="B213" i="28" a="1"/>
  <c r="B213" i="28" s="1"/>
  <c r="B214" i="28" a="1"/>
  <c r="B214" i="28" s="1"/>
  <c r="B215" i="28" a="1"/>
  <c r="B215" i="28" s="1"/>
  <c r="B216" i="28" a="1"/>
  <c r="B216" i="28" s="1"/>
  <c r="B217" i="28" a="1"/>
  <c r="B217" i="28" s="1"/>
  <c r="B218" i="28" a="1"/>
  <c r="B218" i="28" s="1"/>
  <c r="B219" i="28" a="1"/>
  <c r="B219" i="28" s="1"/>
  <c r="B220" i="28" a="1"/>
  <c r="B220" i="28" s="1"/>
  <c r="B221" i="28" a="1"/>
  <c r="B221" i="28" s="1"/>
  <c r="B222" i="28" a="1"/>
  <c r="B222" i="28" s="1"/>
  <c r="B223" i="28" a="1"/>
  <c r="B223" i="28" s="1"/>
  <c r="B224" i="28" a="1"/>
  <c r="B224" i="28" s="1"/>
  <c r="B225" i="28" a="1"/>
  <c r="B225" i="28" s="1"/>
  <c r="B226" i="28" a="1"/>
  <c r="B226" i="28" s="1"/>
  <c r="B227" i="28" a="1"/>
  <c r="B227" i="28" s="1"/>
  <c r="B228" i="28" a="1"/>
  <c r="B228" i="28" s="1"/>
  <c r="B229" i="28" a="1"/>
  <c r="B229" i="28" s="1"/>
  <c r="B230" i="28" a="1"/>
  <c r="B230" i="28" s="1"/>
  <c r="B231" i="28" a="1"/>
  <c r="B231" i="28" s="1"/>
  <c r="B232" i="28" a="1"/>
  <c r="B232" i="28" s="1"/>
  <c r="B233" i="28" a="1"/>
  <c r="B233" i="28" s="1"/>
  <c r="B234" i="28" a="1"/>
  <c r="B234" i="28" s="1"/>
  <c r="B235" i="28" a="1"/>
  <c r="B235" i="28" s="1"/>
  <c r="B236" i="28" a="1"/>
  <c r="B236" i="28" s="1"/>
  <c r="B237" i="28" a="1"/>
  <c r="B237" i="28" s="1"/>
  <c r="C3" i="28"/>
  <c r="B33" i="2"/>
  <c r="B34" i="2"/>
  <c r="B35" i="2"/>
  <c r="B36" i="2"/>
  <c r="B37" i="2"/>
  <c r="A2" i="24" l="1"/>
  <c r="B2" i="26" s="1"/>
  <c r="B1004" i="25"/>
  <c r="B1004" i="25" a="1"/>
  <c r="B1003" i="25"/>
  <c r="B1003" i="25" a="1"/>
  <c r="B1002" i="25"/>
  <c r="B1002" i="25" a="1"/>
  <c r="B1001" i="25"/>
  <c r="B1001" i="25" a="1"/>
  <c r="B1000" i="25"/>
  <c r="B1000" i="25" a="1"/>
  <c r="B999" i="25"/>
  <c r="B999" i="25" a="1"/>
  <c r="B998" i="25"/>
  <c r="B998" i="25" a="1"/>
  <c r="B997" i="25"/>
  <c r="B997" i="25" a="1"/>
  <c r="B996" i="25"/>
  <c r="B996" i="25" a="1"/>
  <c r="B995" i="25"/>
  <c r="B995" i="25" a="1"/>
  <c r="B994" i="25"/>
  <c r="B994" i="25" a="1"/>
  <c r="B993" i="25"/>
  <c r="B993" i="25" a="1"/>
  <c r="B992" i="25"/>
  <c r="B992" i="25" a="1"/>
  <c r="B991" i="25"/>
  <c r="B991" i="25" a="1"/>
  <c r="B990" i="25"/>
  <c r="B990" i="25" a="1"/>
  <c r="B989" i="25"/>
  <c r="B989" i="25" a="1"/>
  <c r="B988" i="25"/>
  <c r="B988" i="25" a="1"/>
  <c r="B987" i="25"/>
  <c r="B987" i="25" a="1"/>
  <c r="B986" i="25"/>
  <c r="B986" i="25" a="1"/>
  <c r="B985" i="25"/>
  <c r="B985" i="25" a="1"/>
  <c r="B984" i="25"/>
  <c r="B984" i="25" a="1"/>
  <c r="B983" i="25"/>
  <c r="B983" i="25" a="1"/>
  <c r="B982" i="25"/>
  <c r="B982" i="25" a="1"/>
  <c r="B981" i="25"/>
  <c r="B981" i="25" a="1"/>
  <c r="B980" i="25"/>
  <c r="B980" i="25" a="1"/>
  <c r="B979" i="25"/>
  <c r="B979" i="25" a="1"/>
  <c r="B978" i="25"/>
  <c r="B978" i="25" a="1"/>
  <c r="B977" i="25"/>
  <c r="B977" i="25" a="1"/>
  <c r="B976" i="25"/>
  <c r="B976" i="25" a="1"/>
  <c r="B975" i="25"/>
  <c r="B975" i="25" a="1"/>
  <c r="B974" i="25"/>
  <c r="B974" i="25" a="1"/>
  <c r="B973" i="25"/>
  <c r="B973" i="25" a="1"/>
  <c r="B972" i="25"/>
  <c r="B972" i="25" a="1"/>
  <c r="B971" i="25"/>
  <c r="B971" i="25" a="1"/>
  <c r="B970" i="25"/>
  <c r="B970" i="25" a="1"/>
  <c r="B969" i="25"/>
  <c r="B969" i="25" a="1"/>
  <c r="B968" i="25"/>
  <c r="B968" i="25" a="1"/>
  <c r="B967" i="25"/>
  <c r="B967" i="25" a="1"/>
  <c r="B966" i="25"/>
  <c r="B966" i="25" a="1"/>
  <c r="B965" i="25"/>
  <c r="B965" i="25" a="1"/>
  <c r="B964" i="25"/>
  <c r="B964" i="25" a="1"/>
  <c r="B963" i="25"/>
  <c r="B963" i="25" a="1"/>
  <c r="B962" i="25"/>
  <c r="B962" i="25" a="1"/>
  <c r="B961" i="25"/>
  <c r="B961" i="25" a="1"/>
  <c r="B960" i="25"/>
  <c r="B960" i="25" a="1"/>
  <c r="B959" i="25"/>
  <c r="B959" i="25" a="1"/>
  <c r="B958" i="25"/>
  <c r="B958" i="25" a="1"/>
  <c r="B957" i="25"/>
  <c r="B957" i="25" a="1"/>
  <c r="B956" i="25"/>
  <c r="B956" i="25" a="1"/>
  <c r="B955" i="25"/>
  <c r="B955" i="25" a="1"/>
  <c r="B954" i="25"/>
  <c r="B954" i="25" a="1"/>
  <c r="B953" i="25"/>
  <c r="B953" i="25" a="1"/>
  <c r="B952" i="25"/>
  <c r="B952" i="25" a="1"/>
  <c r="B951" i="25"/>
  <c r="B951" i="25" a="1"/>
  <c r="B950" i="25"/>
  <c r="B950" i="25" a="1"/>
  <c r="B949" i="25"/>
  <c r="B949" i="25" a="1"/>
  <c r="B948" i="25"/>
  <c r="B948" i="25" a="1"/>
  <c r="B947" i="25"/>
  <c r="B947" i="25" a="1"/>
  <c r="B946" i="25"/>
  <c r="B946" i="25" a="1"/>
  <c r="B945" i="25"/>
  <c r="B945" i="25" a="1"/>
  <c r="B944" i="25"/>
  <c r="B944" i="25" a="1"/>
  <c r="B943" i="25"/>
  <c r="B943" i="25" a="1"/>
  <c r="B942" i="25"/>
  <c r="B942" i="25" a="1"/>
  <c r="B941" i="25"/>
  <c r="B941" i="25" a="1"/>
  <c r="B940" i="25"/>
  <c r="B940" i="25" a="1"/>
  <c r="B939" i="25"/>
  <c r="B939" i="25" a="1"/>
  <c r="B938" i="25"/>
  <c r="B938" i="25" a="1"/>
  <c r="B937" i="25"/>
  <c r="B937" i="25" a="1"/>
  <c r="B936" i="25"/>
  <c r="B936" i="25" a="1"/>
  <c r="B935" i="25"/>
  <c r="B935" i="25" a="1"/>
  <c r="B934" i="25"/>
  <c r="B934" i="25" a="1"/>
  <c r="B933" i="25"/>
  <c r="B933" i="25" a="1"/>
  <c r="B932" i="25"/>
  <c r="B932" i="25" a="1"/>
  <c r="B931" i="25"/>
  <c r="B931" i="25" a="1"/>
  <c r="B930" i="25"/>
  <c r="B930" i="25" a="1"/>
  <c r="B929" i="25"/>
  <c r="B929" i="25" a="1"/>
  <c r="B928" i="25"/>
  <c r="B928" i="25" a="1"/>
  <c r="B927" i="25"/>
  <c r="B927" i="25" a="1"/>
  <c r="B926" i="25"/>
  <c r="B926" i="25" a="1"/>
  <c r="B925" i="25"/>
  <c r="B925" i="25" a="1"/>
  <c r="B924" i="25"/>
  <c r="B924" i="25" a="1"/>
  <c r="B923" i="25"/>
  <c r="B923" i="25" a="1"/>
  <c r="B922" i="25"/>
  <c r="B922" i="25" a="1"/>
  <c r="B921" i="25"/>
  <c r="B921" i="25" a="1"/>
  <c r="B920" i="25"/>
  <c r="B920" i="25" a="1"/>
  <c r="B919" i="25"/>
  <c r="B919" i="25" a="1"/>
  <c r="B918" i="25"/>
  <c r="B918" i="25" a="1"/>
  <c r="B917" i="25" a="1"/>
  <c r="B917" i="25" s="1"/>
  <c r="B916" i="25"/>
  <c r="B916" i="25" a="1"/>
  <c r="B915" i="25" a="1"/>
  <c r="B915" i="25" s="1"/>
  <c r="B914" i="25"/>
  <c r="B914" i="25" a="1"/>
  <c r="B913" i="25" a="1"/>
  <c r="B913" i="25" s="1"/>
  <c r="B912" i="25"/>
  <c r="B912" i="25" a="1"/>
  <c r="B911" i="25" a="1"/>
  <c r="B911" i="25" s="1"/>
  <c r="B910" i="25"/>
  <c r="B910" i="25" a="1"/>
  <c r="B909" i="25" a="1"/>
  <c r="B909" i="25" s="1"/>
  <c r="B908" i="25"/>
  <c r="B908" i="25" a="1"/>
  <c r="B907" i="25" a="1"/>
  <c r="B907" i="25" s="1"/>
  <c r="B906" i="25"/>
  <c r="B906" i="25" a="1"/>
  <c r="B905" i="25" a="1"/>
  <c r="B905" i="25" s="1"/>
  <c r="B904" i="25"/>
  <c r="B904" i="25" a="1"/>
  <c r="B903" i="25" a="1"/>
  <c r="B903" i="25" s="1"/>
  <c r="B902" i="25"/>
  <c r="B902" i="25" a="1"/>
  <c r="B901" i="25" a="1"/>
  <c r="B901" i="25" s="1"/>
  <c r="B900" i="25"/>
  <c r="B900" i="25" a="1"/>
  <c r="B899" i="25" a="1"/>
  <c r="B899" i="25" s="1"/>
  <c r="B898" i="25"/>
  <c r="B898" i="25" a="1"/>
  <c r="B897" i="25" a="1"/>
  <c r="B897" i="25" s="1"/>
  <c r="B896" i="25"/>
  <c r="B896" i="25" a="1"/>
  <c r="B895" i="25" a="1"/>
  <c r="B895" i="25" s="1"/>
  <c r="B894" i="25"/>
  <c r="B894" i="25" a="1"/>
  <c r="B893" i="25" a="1"/>
  <c r="B893" i="25" s="1"/>
  <c r="B892" i="25"/>
  <c r="B892" i="25" a="1"/>
  <c r="B891" i="25" a="1"/>
  <c r="B891" i="25" s="1"/>
  <c r="B890" i="25"/>
  <c r="B890" i="25" a="1"/>
  <c r="B889" i="25" a="1"/>
  <c r="B889" i="25" s="1"/>
  <c r="B888" i="25"/>
  <c r="B888" i="25" a="1"/>
  <c r="B887" i="25" a="1"/>
  <c r="B887" i="25" s="1"/>
  <c r="B886" i="25"/>
  <c r="B886" i="25" a="1"/>
  <c r="B885" i="25" a="1"/>
  <c r="B885" i="25" s="1"/>
  <c r="B884" i="25"/>
  <c r="B884" i="25" a="1"/>
  <c r="B883" i="25" a="1"/>
  <c r="B883" i="25" s="1"/>
  <c r="B882" i="25"/>
  <c r="B882" i="25" a="1"/>
  <c r="B881" i="25" a="1"/>
  <c r="B881" i="25" s="1"/>
  <c r="B880" i="25"/>
  <c r="B880" i="25" a="1"/>
  <c r="B879" i="25" a="1"/>
  <c r="B879" i="25" s="1"/>
  <c r="B878" i="25"/>
  <c r="B878" i="25" a="1"/>
  <c r="B877" i="25" a="1"/>
  <c r="B877" i="25" s="1"/>
  <c r="B876" i="25"/>
  <c r="B876" i="25" a="1"/>
  <c r="B875" i="25" a="1"/>
  <c r="B875" i="25" s="1"/>
  <c r="B874" i="25"/>
  <c r="B874" i="25" a="1"/>
  <c r="B873" i="25" a="1"/>
  <c r="B873" i="25" s="1"/>
  <c r="B872" i="25"/>
  <c r="B872" i="25" a="1"/>
  <c r="B871" i="25" a="1"/>
  <c r="B871" i="25" s="1"/>
  <c r="B870" i="25"/>
  <c r="B870" i="25" a="1"/>
  <c r="B869" i="25" a="1"/>
  <c r="B869" i="25" s="1"/>
  <c r="B868" i="25"/>
  <c r="B868" i="25" a="1"/>
  <c r="B867" i="25" a="1"/>
  <c r="B867" i="25" s="1"/>
  <c r="B866" i="25"/>
  <c r="B866" i="25" a="1"/>
  <c r="B865" i="25" a="1"/>
  <c r="B865" i="25" s="1"/>
  <c r="B864" i="25"/>
  <c r="B864" i="25" a="1"/>
  <c r="B863" i="25" a="1"/>
  <c r="B863" i="25" s="1"/>
  <c r="B862" i="25"/>
  <c r="B862" i="25" a="1"/>
  <c r="B861" i="25" a="1"/>
  <c r="B861" i="25" s="1"/>
  <c r="B860" i="25"/>
  <c r="B860" i="25" a="1"/>
  <c r="B859" i="25" a="1"/>
  <c r="B859" i="25" s="1"/>
  <c r="B858" i="25"/>
  <c r="B858" i="25" a="1"/>
  <c r="B857" i="25" a="1"/>
  <c r="B857" i="25" s="1"/>
  <c r="B856" i="25"/>
  <c r="B856" i="25" a="1"/>
  <c r="B855" i="25" a="1"/>
  <c r="B855" i="25" s="1"/>
  <c r="B854" i="25"/>
  <c r="B854" i="25" a="1"/>
  <c r="B853" i="25" a="1"/>
  <c r="B853" i="25" s="1"/>
  <c r="B852" i="25"/>
  <c r="B852" i="25" a="1"/>
  <c r="B851" i="25" a="1"/>
  <c r="B851" i="25" s="1"/>
  <c r="B850" i="25" a="1"/>
  <c r="B850" i="25" s="1"/>
  <c r="B849" i="25" a="1"/>
  <c r="B849" i="25" s="1"/>
  <c r="B848" i="25" a="1"/>
  <c r="B848" i="25" s="1"/>
  <c r="B847" i="25" a="1"/>
  <c r="B847" i="25" s="1"/>
  <c r="B846" i="25" a="1"/>
  <c r="B846" i="25" s="1"/>
  <c r="B845" i="25" a="1"/>
  <c r="B845" i="25" s="1"/>
  <c r="B844" i="25"/>
  <c r="B844" i="25" a="1"/>
  <c r="B843" i="25" a="1"/>
  <c r="B843" i="25" s="1"/>
  <c r="B842" i="25" a="1"/>
  <c r="B842" i="25" s="1"/>
  <c r="B841" i="25" a="1"/>
  <c r="B841" i="25" s="1"/>
  <c r="B840" i="25" a="1"/>
  <c r="B840" i="25" s="1"/>
  <c r="B839" i="25" a="1"/>
  <c r="B839" i="25" s="1"/>
  <c r="B838" i="25" a="1"/>
  <c r="B838" i="25" s="1"/>
  <c r="B837" i="25" a="1"/>
  <c r="B837" i="25" s="1"/>
  <c r="B836" i="25"/>
  <c r="B836" i="25" a="1"/>
  <c r="B835" i="25" a="1"/>
  <c r="B835" i="25" s="1"/>
  <c r="B834" i="25" a="1"/>
  <c r="B834" i="25" s="1"/>
  <c r="B833" i="25" a="1"/>
  <c r="B833" i="25" s="1"/>
  <c r="B832" i="25" a="1"/>
  <c r="B832" i="25" s="1"/>
  <c r="B831" i="25" a="1"/>
  <c r="B831" i="25" s="1"/>
  <c r="B830" i="25" a="1"/>
  <c r="B830" i="25" s="1"/>
  <c r="B829" i="25" a="1"/>
  <c r="B829" i="25" s="1"/>
  <c r="B828" i="25"/>
  <c r="B828" i="25" a="1"/>
  <c r="B827" i="25" a="1"/>
  <c r="B827" i="25" s="1"/>
  <c r="B826" i="25" a="1"/>
  <c r="B826" i="25" s="1"/>
  <c r="B825" i="25" a="1"/>
  <c r="B825" i="25" s="1"/>
  <c r="B824" i="25" a="1"/>
  <c r="B824" i="25" s="1"/>
  <c r="B823" i="25" a="1"/>
  <c r="B823" i="25" s="1"/>
  <c r="B822" i="25" a="1"/>
  <c r="B822" i="25" s="1"/>
  <c r="B821" i="25" a="1"/>
  <c r="B821" i="25" s="1"/>
  <c r="B820" i="25"/>
  <c r="B820" i="25" a="1"/>
  <c r="B819" i="25" a="1"/>
  <c r="B819" i="25" s="1"/>
  <c r="B818" i="25" a="1"/>
  <c r="B818" i="25" s="1"/>
  <c r="B817" i="25" a="1"/>
  <c r="B817" i="25" s="1"/>
  <c r="B816" i="25" a="1"/>
  <c r="B816" i="25" s="1"/>
  <c r="B815" i="25" a="1"/>
  <c r="B815" i="25" s="1"/>
  <c r="B814" i="25" a="1"/>
  <c r="B814" i="25" s="1"/>
  <c r="B813" i="25" a="1"/>
  <c r="B813" i="25" s="1"/>
  <c r="B812" i="25"/>
  <c r="B812" i="25" a="1"/>
  <c r="B811" i="25" a="1"/>
  <c r="B811" i="25" s="1"/>
  <c r="B810" i="25" a="1"/>
  <c r="B810" i="25" s="1"/>
  <c r="B809" i="25" a="1"/>
  <c r="B809" i="25" s="1"/>
  <c r="B808" i="25" a="1"/>
  <c r="B808" i="25" s="1"/>
  <c r="B807" i="25" a="1"/>
  <c r="B807" i="25" s="1"/>
  <c r="B806" i="25" a="1"/>
  <c r="B806" i="25" s="1"/>
  <c r="B805" i="25" a="1"/>
  <c r="B805" i="25" s="1"/>
  <c r="B804" i="25"/>
  <c r="B804" i="25" a="1"/>
  <c r="B803" i="25" a="1"/>
  <c r="B803" i="25" s="1"/>
  <c r="B802" i="25"/>
  <c r="B802" i="25" a="1"/>
  <c r="B801" i="25" a="1"/>
  <c r="B801" i="25" s="1"/>
  <c r="B800" i="25" a="1"/>
  <c r="B800" i="25" s="1"/>
  <c r="B799" i="25" a="1"/>
  <c r="B799" i="25" s="1"/>
  <c r="B798" i="25" a="1"/>
  <c r="B798" i="25" s="1"/>
  <c r="B797" i="25" a="1"/>
  <c r="B797" i="25" s="1"/>
  <c r="B796" i="25"/>
  <c r="B796" i="25" a="1"/>
  <c r="B795" i="25" a="1"/>
  <c r="B795" i="25" s="1"/>
  <c r="B794" i="25" a="1"/>
  <c r="B794" i="25" s="1"/>
  <c r="B793" i="25" a="1"/>
  <c r="B793" i="25" s="1"/>
  <c r="B792" i="25" a="1"/>
  <c r="B792" i="25" s="1"/>
  <c r="B791" i="25" a="1"/>
  <c r="B791" i="25" s="1"/>
  <c r="B790" i="25" a="1"/>
  <c r="B790" i="25" s="1"/>
  <c r="B789" i="25" a="1"/>
  <c r="B789" i="25" s="1"/>
  <c r="B788" i="25"/>
  <c r="B788" i="25" a="1"/>
  <c r="B787" i="25" a="1"/>
  <c r="B787" i="25" s="1"/>
  <c r="B786" i="25" a="1"/>
  <c r="B786" i="25" s="1"/>
  <c r="B785" i="25" a="1"/>
  <c r="B785" i="25" s="1"/>
  <c r="B784" i="25" a="1"/>
  <c r="B784" i="25" s="1"/>
  <c r="B783" i="25" a="1"/>
  <c r="B783" i="25" s="1"/>
  <c r="B782" i="25" a="1"/>
  <c r="B782" i="25" s="1"/>
  <c r="B781" i="25" a="1"/>
  <c r="B781" i="25" s="1"/>
  <c r="B780" i="25"/>
  <c r="B780" i="25" a="1"/>
  <c r="B779" i="25" a="1"/>
  <c r="B779" i="25" s="1"/>
  <c r="B778" i="25" a="1"/>
  <c r="B778" i="25" s="1"/>
  <c r="B777" i="25" a="1"/>
  <c r="B777" i="25" s="1"/>
  <c r="B776" i="25" a="1"/>
  <c r="B776" i="25" s="1"/>
  <c r="B775" i="25" a="1"/>
  <c r="B775" i="25" s="1"/>
  <c r="B774" i="25" a="1"/>
  <c r="B774" i="25" s="1"/>
  <c r="B773" i="25" a="1"/>
  <c r="B773" i="25" s="1"/>
  <c r="B772" i="25"/>
  <c r="B772" i="25" a="1"/>
  <c r="B771" i="25" a="1"/>
  <c r="B771" i="25" s="1"/>
  <c r="B770" i="25" a="1"/>
  <c r="B770" i="25" s="1"/>
  <c r="B769" i="25" a="1"/>
  <c r="B769" i="25" s="1"/>
  <c r="B768" i="25" a="1"/>
  <c r="B768" i="25" s="1"/>
  <c r="B767" i="25" a="1"/>
  <c r="B767" i="25" s="1"/>
  <c r="B766" i="25" a="1"/>
  <c r="B766" i="25" s="1"/>
  <c r="B765" i="25" a="1"/>
  <c r="B765" i="25" s="1"/>
  <c r="B764" i="25"/>
  <c r="B764" i="25" a="1"/>
  <c r="B763" i="25" a="1"/>
  <c r="B763" i="25" s="1"/>
  <c r="B762" i="25" a="1"/>
  <c r="B762" i="25" s="1"/>
  <c r="B761" i="25" a="1"/>
  <c r="B761" i="25" s="1"/>
  <c r="B760" i="25" a="1"/>
  <c r="B760" i="25" s="1"/>
  <c r="B759" i="25" a="1"/>
  <c r="B759" i="25" s="1"/>
  <c r="B758" i="25" a="1"/>
  <c r="B758" i="25" s="1"/>
  <c r="B757" i="25" a="1"/>
  <c r="B757" i="25" s="1"/>
  <c r="B756" i="25"/>
  <c r="B756" i="25" a="1"/>
  <c r="B755" i="25" a="1"/>
  <c r="B755" i="25" s="1"/>
  <c r="B754" i="25" a="1"/>
  <c r="B754" i="25" s="1"/>
  <c r="B753" i="25" a="1"/>
  <c r="B753" i="25" s="1"/>
  <c r="B752" i="25" a="1"/>
  <c r="B752" i="25" s="1"/>
  <c r="B751" i="25"/>
  <c r="B751" i="25" a="1"/>
  <c r="B750" i="25" a="1"/>
  <c r="B750" i="25" s="1"/>
  <c r="B749" i="25"/>
  <c r="B749" i="25" a="1"/>
  <c r="B748" i="25" a="1"/>
  <c r="B748" i="25" s="1"/>
  <c r="B747" i="25"/>
  <c r="B747" i="25" a="1"/>
  <c r="B746" i="25" a="1"/>
  <c r="B746" i="25" s="1"/>
  <c r="B745" i="25"/>
  <c r="B745" i="25" a="1"/>
  <c r="B744" i="25" a="1"/>
  <c r="B744" i="25" s="1"/>
  <c r="B743" i="25"/>
  <c r="B743" i="25" a="1"/>
  <c r="B742" i="25" a="1"/>
  <c r="B742" i="25" s="1"/>
  <c r="B741" i="25"/>
  <c r="B741" i="25" a="1"/>
  <c r="B740" i="25" a="1"/>
  <c r="B740" i="25" s="1"/>
  <c r="B739" i="25"/>
  <c r="B739" i="25" a="1"/>
  <c r="B738" i="25" a="1"/>
  <c r="B738" i="25" s="1"/>
  <c r="B737" i="25"/>
  <c r="B737" i="25" a="1"/>
  <c r="B736" i="25" a="1"/>
  <c r="B736" i="25" s="1"/>
  <c r="B735" i="25"/>
  <c r="B735" i="25" a="1"/>
  <c r="B734" i="25" a="1"/>
  <c r="B734" i="25" s="1"/>
  <c r="B733" i="25"/>
  <c r="B733" i="25" a="1"/>
  <c r="B732" i="25" a="1"/>
  <c r="B732" i="25" s="1"/>
  <c r="B731" i="25"/>
  <c r="B731" i="25" a="1"/>
  <c r="B730" i="25" a="1"/>
  <c r="B730" i="25" s="1"/>
  <c r="B729" i="25"/>
  <c r="B729" i="25" a="1"/>
  <c r="B728" i="25" a="1"/>
  <c r="B728" i="25" s="1"/>
  <c r="B727" i="25"/>
  <c r="B727" i="25" a="1"/>
  <c r="B726" i="25" a="1"/>
  <c r="B726" i="25" s="1"/>
  <c r="B725" i="25"/>
  <c r="B725" i="25" a="1"/>
  <c r="B724" i="25" a="1"/>
  <c r="B724" i="25" s="1"/>
  <c r="B723" i="25"/>
  <c r="B723" i="25" a="1"/>
  <c r="B722" i="25" a="1"/>
  <c r="B722" i="25" s="1"/>
  <c r="B721" i="25"/>
  <c r="B721" i="25" a="1"/>
  <c r="B720" i="25" a="1"/>
  <c r="B720" i="25" s="1"/>
  <c r="B719" i="25"/>
  <c r="B719" i="25" a="1"/>
  <c r="B718" i="25" a="1"/>
  <c r="B718" i="25" s="1"/>
  <c r="B717" i="25"/>
  <c r="B717" i="25" a="1"/>
  <c r="B716" i="25" a="1"/>
  <c r="B716" i="25" s="1"/>
  <c r="B715" i="25"/>
  <c r="B715" i="25" a="1"/>
  <c r="B714" i="25" a="1"/>
  <c r="B714" i="25" s="1"/>
  <c r="B713" i="25"/>
  <c r="B713" i="25" a="1"/>
  <c r="B712" i="25" a="1"/>
  <c r="B712" i="25" s="1"/>
  <c r="B711" i="25"/>
  <c r="B711" i="25" a="1"/>
  <c r="B710" i="25" a="1"/>
  <c r="B710" i="25" s="1"/>
  <c r="B709" i="25"/>
  <c r="B709" i="25" a="1"/>
  <c r="B708" i="25" a="1"/>
  <c r="B708" i="25" s="1"/>
  <c r="B707" i="25"/>
  <c r="B707" i="25" a="1"/>
  <c r="B706" i="25" a="1"/>
  <c r="B706" i="25" s="1"/>
  <c r="B705" i="25"/>
  <c r="B705" i="25" a="1"/>
  <c r="B704" i="25" a="1"/>
  <c r="B704" i="25" s="1"/>
  <c r="B703" i="25"/>
  <c r="B703" i="25" a="1"/>
  <c r="B702" i="25" a="1"/>
  <c r="B702" i="25" s="1"/>
  <c r="B701" i="25"/>
  <c r="B701" i="25" a="1"/>
  <c r="B700" i="25" a="1"/>
  <c r="B700" i="25" s="1"/>
  <c r="B699" i="25"/>
  <c r="B699" i="25" a="1"/>
  <c r="B698" i="25" a="1"/>
  <c r="B698" i="25" s="1"/>
  <c r="B697" i="25"/>
  <c r="B697" i="25" a="1"/>
  <c r="B696" i="25" a="1"/>
  <c r="B696" i="25" s="1"/>
  <c r="B695" i="25"/>
  <c r="B695" i="25" a="1"/>
  <c r="B694" i="25" a="1"/>
  <c r="B694" i="25" s="1"/>
  <c r="B693" i="25"/>
  <c r="B693" i="25" a="1"/>
  <c r="B692" i="25" a="1"/>
  <c r="B692" i="25" s="1"/>
  <c r="B691" i="25"/>
  <c r="B691" i="25" a="1"/>
  <c r="B690" i="25" a="1"/>
  <c r="B690" i="25" s="1"/>
  <c r="B689" i="25"/>
  <c r="B689" i="25" a="1"/>
  <c r="B688" i="25" a="1"/>
  <c r="B688" i="25" s="1"/>
  <c r="B687" i="25"/>
  <c r="B687" i="25" a="1"/>
  <c r="B686" i="25" a="1"/>
  <c r="B686" i="25" s="1"/>
  <c r="B685" i="25"/>
  <c r="B685" i="25" a="1"/>
  <c r="B684" i="25" a="1"/>
  <c r="B684" i="25" s="1"/>
  <c r="B683" i="25"/>
  <c r="B683" i="25" a="1"/>
  <c r="B682" i="25" a="1"/>
  <c r="B682" i="25" s="1"/>
  <c r="B681" i="25"/>
  <c r="B681" i="25" a="1"/>
  <c r="B680" i="25" a="1"/>
  <c r="B680" i="25" s="1"/>
  <c r="B679" i="25"/>
  <c r="B679" i="25" a="1"/>
  <c r="B678" i="25" a="1"/>
  <c r="B678" i="25" s="1"/>
  <c r="B677" i="25"/>
  <c r="B677" i="25" a="1"/>
  <c r="B676" i="25" a="1"/>
  <c r="B676" i="25" s="1"/>
  <c r="B675" i="25"/>
  <c r="B675" i="25" a="1"/>
  <c r="B674" i="25" a="1"/>
  <c r="B674" i="25" s="1"/>
  <c r="B673" i="25"/>
  <c r="B673" i="25" a="1"/>
  <c r="B672" i="25" a="1"/>
  <c r="B672" i="25" s="1"/>
  <c r="B671" i="25"/>
  <c r="B671" i="25" a="1"/>
  <c r="B670" i="25" a="1"/>
  <c r="B670" i="25" s="1"/>
  <c r="B669" i="25"/>
  <c r="B669" i="25" a="1"/>
  <c r="B668" i="25" a="1"/>
  <c r="B668" i="25" s="1"/>
  <c r="B667" i="25"/>
  <c r="B667" i="25" a="1"/>
  <c r="B666" i="25" a="1"/>
  <c r="B666" i="25" s="1"/>
  <c r="B665" i="25"/>
  <c r="B665" i="25" a="1"/>
  <c r="B664" i="25" a="1"/>
  <c r="B664" i="25" s="1"/>
  <c r="B663" i="25"/>
  <c r="B663" i="25" a="1"/>
  <c r="B662" i="25" a="1"/>
  <c r="B662" i="25" s="1"/>
  <c r="B661" i="25"/>
  <c r="B661" i="25" a="1"/>
  <c r="B660" i="25" a="1"/>
  <c r="B660" i="25" s="1"/>
  <c r="B659" i="25"/>
  <c r="B659" i="25" a="1"/>
  <c r="B658" i="25" a="1"/>
  <c r="B658" i="25" s="1"/>
  <c r="B657" i="25"/>
  <c r="B657" i="25" a="1"/>
  <c r="B656" i="25" a="1"/>
  <c r="B656" i="25" s="1"/>
  <c r="B655" i="25"/>
  <c r="B655" i="25" a="1"/>
  <c r="B654" i="25" a="1"/>
  <c r="B654" i="25" s="1"/>
  <c r="B653" i="25"/>
  <c r="B653" i="25" a="1"/>
  <c r="B652" i="25" a="1"/>
  <c r="B652" i="25" s="1"/>
  <c r="B651" i="25"/>
  <c r="B651" i="25" a="1"/>
  <c r="B650" i="25" a="1"/>
  <c r="B650" i="25" s="1"/>
  <c r="B649" i="25"/>
  <c r="B649" i="25" a="1"/>
  <c r="B648" i="25" a="1"/>
  <c r="B648" i="25" s="1"/>
  <c r="B647" i="25"/>
  <c r="B647" i="25" a="1"/>
  <c r="B646" i="25" a="1"/>
  <c r="B646" i="25" s="1"/>
  <c r="B645" i="25"/>
  <c r="B645" i="25" a="1"/>
  <c r="B644" i="25" a="1"/>
  <c r="B644" i="25" s="1"/>
  <c r="B643" i="25"/>
  <c r="B643" i="25" a="1"/>
  <c r="B642" i="25" a="1"/>
  <c r="B642" i="25" s="1"/>
  <c r="B641" i="25"/>
  <c r="B641" i="25" a="1"/>
  <c r="B640" i="25" a="1"/>
  <c r="B640" i="25" s="1"/>
  <c r="B639" i="25"/>
  <c r="B639" i="25" a="1"/>
  <c r="B638" i="25" a="1"/>
  <c r="B638" i="25" s="1"/>
  <c r="B637" i="25"/>
  <c r="B637" i="25" a="1"/>
  <c r="B636" i="25" a="1"/>
  <c r="B636" i="25" s="1"/>
  <c r="B635" i="25"/>
  <c r="B635" i="25" a="1"/>
  <c r="B634" i="25" a="1"/>
  <c r="B634" i="25" s="1"/>
  <c r="B633" i="25"/>
  <c r="B633" i="25" a="1"/>
  <c r="B632" i="25" a="1"/>
  <c r="B632" i="25" s="1"/>
  <c r="B631" i="25"/>
  <c r="B631" i="25" a="1"/>
  <c r="B630" i="25" a="1"/>
  <c r="B630" i="25" s="1"/>
  <c r="B629" i="25"/>
  <c r="B629" i="25" a="1"/>
  <c r="B628" i="25" a="1"/>
  <c r="B628" i="25" s="1"/>
  <c r="B627" i="25"/>
  <c r="B627" i="25" a="1"/>
  <c r="B626" i="25" a="1"/>
  <c r="B626" i="25" s="1"/>
  <c r="B625" i="25"/>
  <c r="B625" i="25" a="1"/>
  <c r="B624" i="25" a="1"/>
  <c r="B624" i="25" s="1"/>
  <c r="B623" i="25"/>
  <c r="B623" i="25" a="1"/>
  <c r="B622" i="25" a="1"/>
  <c r="B622" i="25" s="1"/>
  <c r="B621" i="25"/>
  <c r="B621" i="25" a="1"/>
  <c r="B620" i="25" a="1"/>
  <c r="B620" i="25" s="1"/>
  <c r="B619" i="25"/>
  <c r="B619" i="25" a="1"/>
  <c r="B618" i="25" a="1"/>
  <c r="B618" i="25" s="1"/>
  <c r="B617" i="25"/>
  <c r="B617" i="25" a="1"/>
  <c r="B616" i="25" a="1"/>
  <c r="B616" i="25" s="1"/>
  <c r="B615" i="25"/>
  <c r="B615" i="25" a="1"/>
  <c r="B614" i="25" a="1"/>
  <c r="B614" i="25" s="1"/>
  <c r="B613" i="25"/>
  <c r="B613" i="25" a="1"/>
  <c r="B612" i="25" a="1"/>
  <c r="B612" i="25" s="1"/>
  <c r="B611" i="25"/>
  <c r="B611" i="25" a="1"/>
  <c r="B610" i="25" a="1"/>
  <c r="B610" i="25" s="1"/>
  <c r="B609" i="25"/>
  <c r="B609" i="25" a="1"/>
  <c r="B608" i="25" a="1"/>
  <c r="B608" i="25" s="1"/>
  <c r="B607" i="25"/>
  <c r="B607" i="25" a="1"/>
  <c r="B606" i="25" a="1"/>
  <c r="B606" i="25" s="1"/>
  <c r="B605" i="25"/>
  <c r="B605" i="25" a="1"/>
  <c r="B604" i="25" a="1"/>
  <c r="B604" i="25" s="1"/>
  <c r="B603" i="25"/>
  <c r="B603" i="25" a="1"/>
  <c r="B602" i="25" a="1"/>
  <c r="B602" i="25" s="1"/>
  <c r="B601" i="25"/>
  <c r="B601" i="25" a="1"/>
  <c r="B600" i="25" a="1"/>
  <c r="B600" i="25" s="1"/>
  <c r="B599" i="25"/>
  <c r="B599" i="25" a="1"/>
  <c r="B598" i="25" a="1"/>
  <c r="B598" i="25" s="1"/>
  <c r="B597" i="25"/>
  <c r="B597" i="25" a="1"/>
  <c r="B596" i="25" a="1"/>
  <c r="B596" i="25" s="1"/>
  <c r="B595" i="25"/>
  <c r="B595" i="25" a="1"/>
  <c r="B594" i="25" a="1"/>
  <c r="B594" i="25" s="1"/>
  <c r="B593" i="25"/>
  <c r="B593" i="25" a="1"/>
  <c r="B592" i="25" a="1"/>
  <c r="B592" i="25" s="1"/>
  <c r="B591" i="25"/>
  <c r="B591" i="25" a="1"/>
  <c r="B590" i="25" a="1"/>
  <c r="B590" i="25" s="1"/>
  <c r="B589" i="25"/>
  <c r="B589" i="25" a="1"/>
  <c r="B588" i="25" a="1"/>
  <c r="B588" i="25" s="1"/>
  <c r="B587" i="25"/>
  <c r="B587" i="25" a="1"/>
  <c r="B586" i="25" a="1"/>
  <c r="B586" i="25" s="1"/>
  <c r="B585" i="25"/>
  <c r="B585" i="25" a="1"/>
  <c r="B584" i="25" a="1"/>
  <c r="B584" i="25" s="1"/>
  <c r="B583" i="25"/>
  <c r="B583" i="25" a="1"/>
  <c r="B582" i="25" a="1"/>
  <c r="B582" i="25" s="1"/>
  <c r="B581" i="25"/>
  <c r="B581" i="25" a="1"/>
  <c r="B580" i="25" a="1"/>
  <c r="B580" i="25" s="1"/>
  <c r="B579" i="25"/>
  <c r="B579" i="25" a="1"/>
  <c r="B578" i="25" a="1"/>
  <c r="B578" i="25" s="1"/>
  <c r="B577" i="25"/>
  <c r="B577" i="25" a="1"/>
  <c r="B576" i="25" a="1"/>
  <c r="B576" i="25" s="1"/>
  <c r="B575" i="25"/>
  <c r="B575" i="25" a="1"/>
  <c r="B574" i="25" a="1"/>
  <c r="B574" i="25" s="1"/>
  <c r="B573" i="25"/>
  <c r="B573" i="25" a="1"/>
  <c r="B572" i="25" a="1"/>
  <c r="B572" i="25" s="1"/>
  <c r="B571" i="25"/>
  <c r="B571" i="25" a="1"/>
  <c r="B570" i="25" a="1"/>
  <c r="B570" i="25" s="1"/>
  <c r="B569" i="25"/>
  <c r="B569" i="25" a="1"/>
  <c r="B568" i="25" a="1"/>
  <c r="B568" i="25" s="1"/>
  <c r="B567" i="25"/>
  <c r="B567" i="25" a="1"/>
  <c r="B566" i="25" a="1"/>
  <c r="B566" i="25" s="1"/>
  <c r="B565" i="25"/>
  <c r="B565" i="25" a="1"/>
  <c r="B564" i="25" a="1"/>
  <c r="B564" i="25" s="1"/>
  <c r="B563" i="25"/>
  <c r="B563" i="25" a="1"/>
  <c r="B562" i="25" a="1"/>
  <c r="B562" i="25" s="1"/>
  <c r="B561" i="25"/>
  <c r="B561" i="25" a="1"/>
  <c r="B560" i="25" a="1"/>
  <c r="B560" i="25" s="1"/>
  <c r="B559" i="25"/>
  <c r="B559" i="25" a="1"/>
  <c r="B558" i="25" a="1"/>
  <c r="B558" i="25" s="1"/>
  <c r="B557" i="25"/>
  <c r="B557" i="25" a="1"/>
  <c r="B556" i="25" a="1"/>
  <c r="B556" i="25" s="1"/>
  <c r="B555" i="25"/>
  <c r="B555" i="25" a="1"/>
  <c r="B554" i="25" a="1"/>
  <c r="B554" i="25" s="1"/>
  <c r="B553" i="25"/>
  <c r="B553" i="25" a="1"/>
  <c r="B552" i="25" a="1"/>
  <c r="B552" i="25" s="1"/>
  <c r="B551" i="25"/>
  <c r="B551" i="25" a="1"/>
  <c r="B550" i="25" a="1"/>
  <c r="B550" i="25" s="1"/>
  <c r="B549" i="25"/>
  <c r="B549" i="25" a="1"/>
  <c r="B548" i="25" a="1"/>
  <c r="B548" i="25" s="1"/>
  <c r="B547" i="25"/>
  <c r="B547" i="25" a="1"/>
  <c r="B546" i="25" a="1"/>
  <c r="B546" i="25" s="1"/>
  <c r="B545" i="25"/>
  <c r="B545" i="25" a="1"/>
  <c r="B544" i="25" a="1"/>
  <c r="B544" i="25" s="1"/>
  <c r="B543" i="25"/>
  <c r="B543" i="25" a="1"/>
  <c r="B542" i="25" a="1"/>
  <c r="B542" i="25" s="1"/>
  <c r="B541" i="25"/>
  <c r="B541" i="25" a="1"/>
  <c r="B540" i="25" a="1"/>
  <c r="B540" i="25" s="1"/>
  <c r="B539" i="25"/>
  <c r="B539" i="25" a="1"/>
  <c r="B538" i="25" a="1"/>
  <c r="B538" i="25" s="1"/>
  <c r="B537" i="25"/>
  <c r="B537" i="25" a="1"/>
  <c r="B536" i="25" a="1"/>
  <c r="B536" i="25" s="1"/>
  <c r="B535" i="25"/>
  <c r="B535" i="25" a="1"/>
  <c r="B534" i="25" a="1"/>
  <c r="B534" i="25" s="1"/>
  <c r="B533" i="25"/>
  <c r="B533" i="25" a="1"/>
  <c r="B532" i="25" a="1"/>
  <c r="B532" i="25" s="1"/>
  <c r="B531" i="25"/>
  <c r="B531" i="25" a="1"/>
  <c r="B530" i="25" a="1"/>
  <c r="B530" i="25" s="1"/>
  <c r="B529" i="25"/>
  <c r="B529" i="25" a="1"/>
  <c r="B528" i="25" a="1"/>
  <c r="B528" i="25" s="1"/>
  <c r="B527" i="25"/>
  <c r="B527" i="25" a="1"/>
  <c r="B526" i="25" a="1"/>
  <c r="B526" i="25" s="1"/>
  <c r="B525" i="25"/>
  <c r="B525" i="25" a="1"/>
  <c r="B524" i="25" a="1"/>
  <c r="B524" i="25" s="1"/>
  <c r="B523" i="25"/>
  <c r="B523" i="25" a="1"/>
  <c r="B522" i="25" a="1"/>
  <c r="B522" i="25" s="1"/>
  <c r="B521" i="25"/>
  <c r="B521" i="25" a="1"/>
  <c r="B520" i="25" a="1"/>
  <c r="B520" i="25" s="1"/>
  <c r="B519" i="25"/>
  <c r="B519" i="25" a="1"/>
  <c r="B518" i="25" a="1"/>
  <c r="B518" i="25" s="1"/>
  <c r="B517" i="25"/>
  <c r="B517" i="25" a="1"/>
  <c r="B516" i="25" a="1"/>
  <c r="B516" i="25" s="1"/>
  <c r="B515" i="25" a="1"/>
  <c r="B515" i="25" s="1"/>
  <c r="B514" i="25" a="1"/>
  <c r="B514" i="25" s="1"/>
  <c r="B513" i="25"/>
  <c r="B513" i="25" a="1"/>
  <c r="B512" i="25" a="1"/>
  <c r="B512" i="25" s="1"/>
  <c r="B511" i="25"/>
  <c r="B511" i="25" a="1"/>
  <c r="B510" i="25" a="1"/>
  <c r="B510" i="25" s="1"/>
  <c r="B509" i="25" a="1"/>
  <c r="B509" i="25" s="1"/>
  <c r="B508" i="25" a="1"/>
  <c r="B508" i="25" s="1"/>
  <c r="B507" i="25" a="1"/>
  <c r="B507" i="25" s="1"/>
  <c r="B506" i="25" a="1"/>
  <c r="B506" i="25" s="1"/>
  <c r="B505" i="25"/>
  <c r="B505" i="25" a="1"/>
  <c r="B504" i="25" a="1"/>
  <c r="B504" i="25" s="1"/>
  <c r="B503" i="25" a="1"/>
  <c r="B503" i="25" s="1"/>
  <c r="B502" i="25" a="1"/>
  <c r="B502" i="25" s="1"/>
  <c r="B501" i="25" a="1"/>
  <c r="B501" i="25" s="1"/>
  <c r="B500" i="25" a="1"/>
  <c r="B500" i="25" s="1"/>
  <c r="B499" i="25" a="1"/>
  <c r="B499" i="25" s="1"/>
  <c r="B498" i="25" a="1"/>
  <c r="B498" i="25" s="1"/>
  <c r="B497" i="25"/>
  <c r="B497" i="25" a="1"/>
  <c r="B496" i="25" a="1"/>
  <c r="B496" i="25" s="1"/>
  <c r="B495" i="25"/>
  <c r="B495" i="25" a="1"/>
  <c r="B494" i="25" a="1"/>
  <c r="B494" i="25" s="1"/>
  <c r="B493" i="25" a="1"/>
  <c r="B493" i="25" s="1"/>
  <c r="B492" i="25" a="1"/>
  <c r="B492" i="25" s="1"/>
  <c r="B491" i="25" a="1"/>
  <c r="B491" i="25" s="1"/>
  <c r="B490" i="25" a="1"/>
  <c r="B490" i="25" s="1"/>
  <c r="B489" i="25"/>
  <c r="B489" i="25" a="1"/>
  <c r="B488" i="25" a="1"/>
  <c r="B488" i="25" s="1"/>
  <c r="B487" i="25" a="1"/>
  <c r="B487" i="25" s="1"/>
  <c r="B486" i="25" a="1"/>
  <c r="B486" i="25" s="1"/>
  <c r="B485" i="25" a="1"/>
  <c r="B485" i="25" s="1"/>
  <c r="B484" i="25" a="1"/>
  <c r="B484" i="25" s="1"/>
  <c r="B483" i="25" a="1"/>
  <c r="B483" i="25" s="1"/>
  <c r="B482" i="25" a="1"/>
  <c r="B482" i="25" s="1"/>
  <c r="B481" i="25"/>
  <c r="B481" i="25" a="1"/>
  <c r="B480" i="25" a="1"/>
  <c r="B480" i="25" s="1"/>
  <c r="B479" i="25"/>
  <c r="B479" i="25" a="1"/>
  <c r="B478" i="25" a="1"/>
  <c r="B478" i="25" s="1"/>
  <c r="B477" i="25" a="1"/>
  <c r="B477" i="25" s="1"/>
  <c r="B476" i="25" a="1"/>
  <c r="B476" i="25" s="1"/>
  <c r="B475" i="25" a="1"/>
  <c r="B475" i="25" s="1"/>
  <c r="B474" i="25" a="1"/>
  <c r="B474" i="25" s="1"/>
  <c r="B473" i="25"/>
  <c r="B473" i="25" a="1"/>
  <c r="B472" i="25" a="1"/>
  <c r="B472" i="25" s="1"/>
  <c r="B471" i="25" a="1"/>
  <c r="B471" i="25" s="1"/>
  <c r="B470" i="25" a="1"/>
  <c r="B470" i="25" s="1"/>
  <c r="B469" i="25" a="1"/>
  <c r="B469" i="25" s="1"/>
  <c r="B468" i="25" a="1"/>
  <c r="B468" i="25" s="1"/>
  <c r="B467" i="25" a="1"/>
  <c r="B467" i="25" s="1"/>
  <c r="B466" i="25" a="1"/>
  <c r="B466" i="25" s="1"/>
  <c r="B465" i="25"/>
  <c r="B465" i="25" a="1"/>
  <c r="B464" i="25" a="1"/>
  <c r="B464" i="25" s="1"/>
  <c r="B463" i="25"/>
  <c r="B463" i="25" a="1"/>
  <c r="B462" i="25" a="1"/>
  <c r="B462" i="25" s="1"/>
  <c r="B461" i="25" a="1"/>
  <c r="B461" i="25" s="1"/>
  <c r="B460" i="25" a="1"/>
  <c r="B460" i="25" s="1"/>
  <c r="B459" i="25" a="1"/>
  <c r="B459" i="25" s="1"/>
  <c r="B458" i="25" a="1"/>
  <c r="B458" i="25" s="1"/>
  <c r="B457" i="25"/>
  <c r="B457" i="25" a="1"/>
  <c r="B456" i="25" a="1"/>
  <c r="B456" i="25" s="1"/>
  <c r="B455" i="25" a="1"/>
  <c r="B455" i="25" s="1"/>
  <c r="B454" i="25" a="1"/>
  <c r="B454" i="25" s="1"/>
  <c r="B453" i="25" a="1"/>
  <c r="B453" i="25" s="1"/>
  <c r="B452" i="25" a="1"/>
  <c r="B452" i="25" s="1"/>
  <c r="B451" i="25" a="1"/>
  <c r="B451" i="25" s="1"/>
  <c r="B450" i="25" a="1"/>
  <c r="B450" i="25" s="1"/>
  <c r="B449" i="25"/>
  <c r="B449" i="25" a="1"/>
  <c r="B448" i="25" a="1"/>
  <c r="B448" i="25" s="1"/>
  <c r="B447" i="25"/>
  <c r="B447" i="25" a="1"/>
  <c r="B446" i="25" a="1"/>
  <c r="B446" i="25" s="1"/>
  <c r="B445" i="25" a="1"/>
  <c r="B445" i="25" s="1"/>
  <c r="B444" i="25" a="1"/>
  <c r="B444" i="25" s="1"/>
  <c r="B443" i="25" a="1"/>
  <c r="B443" i="25" s="1"/>
  <c r="B442" i="25" a="1"/>
  <c r="B442" i="25" s="1"/>
  <c r="B441" i="25"/>
  <c r="B441" i="25" a="1"/>
  <c r="B440" i="25" a="1"/>
  <c r="B440" i="25" s="1"/>
  <c r="B439" i="25" a="1"/>
  <c r="B439" i="25" s="1"/>
  <c r="B438" i="25" a="1"/>
  <c r="B438" i="25" s="1"/>
  <c r="B437" i="25" a="1"/>
  <c r="B437" i="25" s="1"/>
  <c r="B436" i="25"/>
  <c r="B436" i="25" a="1"/>
  <c r="B435" i="25" a="1"/>
  <c r="B435" i="25" s="1"/>
  <c r="B434" i="25"/>
  <c r="B434" i="25" a="1"/>
  <c r="B433" i="25" a="1"/>
  <c r="B433" i="25" s="1"/>
  <c r="B432" i="25"/>
  <c r="B432" i="25" a="1"/>
  <c r="B431" i="25" a="1"/>
  <c r="B431" i="25" s="1"/>
  <c r="B430" i="25"/>
  <c r="B430" i="25" a="1"/>
  <c r="B429" i="25" a="1"/>
  <c r="B429" i="25" s="1"/>
  <c r="B428" i="25"/>
  <c r="B428" i="25" a="1"/>
  <c r="B427" i="25" a="1"/>
  <c r="B427" i="25" s="1"/>
  <c r="B426" i="25"/>
  <c r="B426" i="25" a="1"/>
  <c r="B425" i="25" a="1"/>
  <c r="B425" i="25" s="1"/>
  <c r="B424" i="25"/>
  <c r="B424" i="25" a="1"/>
  <c r="B423" i="25" a="1"/>
  <c r="B423" i="25" s="1"/>
  <c r="B422" i="25"/>
  <c r="B422" i="25" a="1"/>
  <c r="B421" i="25" a="1"/>
  <c r="B421" i="25" s="1"/>
  <c r="B420" i="25"/>
  <c r="B420" i="25" a="1"/>
  <c r="B419" i="25" a="1"/>
  <c r="B419" i="25" s="1"/>
  <c r="B418" i="25"/>
  <c r="B418" i="25" a="1"/>
  <c r="B417" i="25" a="1"/>
  <c r="B417" i="25" s="1"/>
  <c r="B416" i="25"/>
  <c r="B416" i="25" a="1"/>
  <c r="B415" i="25" a="1"/>
  <c r="B415" i="25" s="1"/>
  <c r="B414" i="25"/>
  <c r="B414" i="25" a="1"/>
  <c r="B413" i="25" a="1"/>
  <c r="B413" i="25" s="1"/>
  <c r="B412" i="25"/>
  <c r="B412" i="25" a="1"/>
  <c r="B411" i="25" a="1"/>
  <c r="B411" i="25" s="1"/>
  <c r="B410" i="25"/>
  <c r="B410" i="25" a="1"/>
  <c r="B409" i="25" a="1"/>
  <c r="B409" i="25" s="1"/>
  <c r="B408" i="25"/>
  <c r="B408" i="25" a="1"/>
  <c r="B407" i="25" a="1"/>
  <c r="B407" i="25" s="1"/>
  <c r="B406" i="25"/>
  <c r="B406" i="25" a="1"/>
  <c r="B405" i="25" a="1"/>
  <c r="B405" i="25" s="1"/>
  <c r="B404" i="25"/>
  <c r="B404" i="25" a="1"/>
  <c r="B403" i="25" a="1"/>
  <c r="B403" i="25" s="1"/>
  <c r="B402" i="25"/>
  <c r="B402" i="25" a="1"/>
  <c r="B401" i="25" a="1"/>
  <c r="B401" i="25" s="1"/>
  <c r="B400" i="25"/>
  <c r="B400" i="25" a="1"/>
  <c r="B399" i="25" a="1"/>
  <c r="B399" i="25" s="1"/>
  <c r="B398" i="25"/>
  <c r="B398" i="25" a="1"/>
  <c r="B397" i="25" a="1"/>
  <c r="B397" i="25" s="1"/>
  <c r="B396" i="25"/>
  <c r="B396" i="25" a="1"/>
  <c r="B395" i="25" a="1"/>
  <c r="B395" i="25" s="1"/>
  <c r="B394" i="25"/>
  <c r="B394" i="25" a="1"/>
  <c r="B393" i="25" a="1"/>
  <c r="B393" i="25" s="1"/>
  <c r="B392" i="25"/>
  <c r="B392" i="25" a="1"/>
  <c r="B391" i="25" a="1"/>
  <c r="B391" i="25" s="1"/>
  <c r="B390" i="25"/>
  <c r="B390" i="25" a="1"/>
  <c r="B389" i="25" a="1"/>
  <c r="B389" i="25" s="1"/>
  <c r="B388" i="25"/>
  <c r="B388" i="25" a="1"/>
  <c r="B387" i="25" a="1"/>
  <c r="B387" i="25" s="1"/>
  <c r="B386" i="25"/>
  <c r="B386" i="25" a="1"/>
  <c r="B385" i="25" a="1"/>
  <c r="B385" i="25" s="1"/>
  <c r="B384" i="25"/>
  <c r="B384" i="25" a="1"/>
  <c r="B383" i="25" a="1"/>
  <c r="B383" i="25" s="1"/>
  <c r="B382" i="25"/>
  <c r="B382" i="25" a="1"/>
  <c r="B381" i="25" a="1"/>
  <c r="B381" i="25" s="1"/>
  <c r="B380" i="25"/>
  <c r="B380" i="25" a="1"/>
  <c r="B379" i="25" a="1"/>
  <c r="B379" i="25" s="1"/>
  <c r="B378" i="25"/>
  <c r="B378" i="25" a="1"/>
  <c r="B377" i="25" a="1"/>
  <c r="B377" i="25" s="1"/>
  <c r="B376" i="25"/>
  <c r="B376" i="25" a="1"/>
  <c r="B375" i="25" a="1"/>
  <c r="B375" i="25" s="1"/>
  <c r="B374" i="25"/>
  <c r="B374" i="25" a="1"/>
  <c r="B373" i="25" a="1"/>
  <c r="B373" i="25" s="1"/>
  <c r="B372" i="25"/>
  <c r="B372" i="25" a="1"/>
  <c r="B371" i="25" a="1"/>
  <c r="B371" i="25" s="1"/>
  <c r="B370" i="25"/>
  <c r="B370" i="25" a="1"/>
  <c r="B369" i="25" a="1"/>
  <c r="B369" i="25" s="1"/>
  <c r="B368" i="25"/>
  <c r="B368" i="25" a="1"/>
  <c r="B367" i="25" a="1"/>
  <c r="B367" i="25" s="1"/>
  <c r="B366" i="25"/>
  <c r="B366" i="25" a="1"/>
  <c r="B365" i="25" a="1"/>
  <c r="B365" i="25" s="1"/>
  <c r="B364" i="25"/>
  <c r="B364" i="25" a="1"/>
  <c r="B363" i="25" a="1"/>
  <c r="B363" i="25" s="1"/>
  <c r="B362" i="25"/>
  <c r="B362" i="25" a="1"/>
  <c r="B361" i="25" a="1"/>
  <c r="B361" i="25" s="1"/>
  <c r="B360" i="25"/>
  <c r="B360" i="25" a="1"/>
  <c r="B359" i="25" a="1"/>
  <c r="B359" i="25" s="1"/>
  <c r="B358" i="25"/>
  <c r="B358" i="25" a="1"/>
  <c r="B357" i="25" a="1"/>
  <c r="B357" i="25" s="1"/>
  <c r="B356" i="25"/>
  <c r="B356" i="25" a="1"/>
  <c r="B355" i="25" a="1"/>
  <c r="B355" i="25" s="1"/>
  <c r="B354" i="25"/>
  <c r="B354" i="25" a="1"/>
  <c r="B353" i="25" a="1"/>
  <c r="B353" i="25" s="1"/>
  <c r="B352" i="25"/>
  <c r="B352" i="25" a="1"/>
  <c r="B351" i="25" a="1"/>
  <c r="B351" i="25" s="1"/>
  <c r="B350" i="25"/>
  <c r="B350" i="25" a="1"/>
  <c r="B349" i="25" a="1"/>
  <c r="B349" i="25" s="1"/>
  <c r="B348" i="25"/>
  <c r="B348" i="25" a="1"/>
  <c r="B347" i="25" a="1"/>
  <c r="B347" i="25" s="1"/>
  <c r="B346" i="25"/>
  <c r="B346" i="25" a="1"/>
  <c r="B345" i="25" a="1"/>
  <c r="B345" i="25" s="1"/>
  <c r="B344" i="25"/>
  <c r="B344" i="25" a="1"/>
  <c r="B343" i="25" a="1"/>
  <c r="B343" i="25" s="1"/>
  <c r="B342" i="25"/>
  <c r="B342" i="25" a="1"/>
  <c r="B341" i="25" a="1"/>
  <c r="B341" i="25" s="1"/>
  <c r="B340" i="25"/>
  <c r="B340" i="25" a="1"/>
  <c r="B339" i="25" a="1"/>
  <c r="B339" i="25" s="1"/>
  <c r="B338" i="25"/>
  <c r="B338" i="25" a="1"/>
  <c r="B337" i="25" a="1"/>
  <c r="B337" i="25" s="1"/>
  <c r="B336" i="25"/>
  <c r="B336" i="25" a="1"/>
  <c r="B335" i="25" a="1"/>
  <c r="B335" i="25" s="1"/>
  <c r="B334" i="25"/>
  <c r="B334" i="25" a="1"/>
  <c r="B333" i="25" a="1"/>
  <c r="B333" i="25" s="1"/>
  <c r="B332" i="25"/>
  <c r="B332" i="25" a="1"/>
  <c r="B331" i="25" a="1"/>
  <c r="B331" i="25" s="1"/>
  <c r="B330" i="25"/>
  <c r="B330" i="25" a="1"/>
  <c r="B329" i="25" a="1"/>
  <c r="B329" i="25" s="1"/>
  <c r="B328" i="25"/>
  <c r="B328" i="25" a="1"/>
  <c r="B327" i="25" a="1"/>
  <c r="B327" i="25" s="1"/>
  <c r="B326" i="25"/>
  <c r="B326" i="25" a="1"/>
  <c r="B325" i="25" a="1"/>
  <c r="B325" i="25" s="1"/>
  <c r="B324" i="25"/>
  <c r="B324" i="25" a="1"/>
  <c r="B323" i="25" a="1"/>
  <c r="B323" i="25" s="1"/>
  <c r="B322" i="25"/>
  <c r="B322" i="25" a="1"/>
  <c r="B321" i="25" a="1"/>
  <c r="B321" i="25" s="1"/>
  <c r="B320" i="25"/>
  <c r="B320" i="25" a="1"/>
  <c r="B319" i="25" a="1"/>
  <c r="B319" i="25" s="1"/>
  <c r="B318" i="25"/>
  <c r="B318" i="25" a="1"/>
  <c r="B317" i="25" a="1"/>
  <c r="B317" i="25" s="1"/>
  <c r="B316" i="25"/>
  <c r="B316" i="25" a="1"/>
  <c r="B315" i="25" a="1"/>
  <c r="B315" i="25" s="1"/>
  <c r="B314" i="25"/>
  <c r="B314" i="25" a="1"/>
  <c r="B313" i="25" a="1"/>
  <c r="B313" i="25" s="1"/>
  <c r="B312" i="25"/>
  <c r="B312" i="25" a="1"/>
  <c r="B311" i="25" a="1"/>
  <c r="B311" i="25" s="1"/>
  <c r="B310" i="25"/>
  <c r="B310" i="25" a="1"/>
  <c r="B309" i="25" a="1"/>
  <c r="B309" i="25" s="1"/>
  <c r="B308" i="25"/>
  <c r="B308" i="25" a="1"/>
  <c r="B307" i="25" a="1"/>
  <c r="B307" i="25" s="1"/>
  <c r="B306" i="25"/>
  <c r="B306" i="25" a="1"/>
  <c r="B305" i="25" a="1"/>
  <c r="B305" i="25" s="1"/>
  <c r="B304" i="25"/>
  <c r="B304" i="25" a="1"/>
  <c r="B303" i="25" a="1"/>
  <c r="B303" i="25" s="1"/>
  <c r="B302" i="25"/>
  <c r="B302" i="25" a="1"/>
  <c r="B301" i="25" a="1"/>
  <c r="B301" i="25" s="1"/>
  <c r="B300" i="25"/>
  <c r="B300" i="25" a="1"/>
  <c r="B299" i="25" a="1"/>
  <c r="B299" i="25" s="1"/>
  <c r="B298" i="25"/>
  <c r="B298" i="25" a="1"/>
  <c r="B297" i="25" a="1"/>
  <c r="B297" i="25" s="1"/>
  <c r="B296" i="25"/>
  <c r="B296" i="25" a="1"/>
  <c r="B295" i="25" a="1"/>
  <c r="B295" i="25" s="1"/>
  <c r="B294" i="25"/>
  <c r="B294" i="25" a="1"/>
  <c r="B293" i="25" a="1"/>
  <c r="B293" i="25" s="1"/>
  <c r="B292" i="25"/>
  <c r="B292" i="25" a="1"/>
  <c r="B291" i="25" a="1"/>
  <c r="B291" i="25" s="1"/>
  <c r="B290" i="25"/>
  <c r="B290" i="25" a="1"/>
  <c r="B289" i="25" a="1"/>
  <c r="B289" i="25" s="1"/>
  <c r="B288" i="25"/>
  <c r="B288" i="25" a="1"/>
  <c r="B287" i="25" a="1"/>
  <c r="B287" i="25" s="1"/>
  <c r="B286" i="25"/>
  <c r="B286" i="25" a="1"/>
  <c r="B285" i="25" a="1"/>
  <c r="B285" i="25" s="1"/>
  <c r="B284" i="25"/>
  <c r="B284" i="25" a="1"/>
  <c r="B283" i="25" a="1"/>
  <c r="B283" i="25" s="1"/>
  <c r="B282" i="25"/>
  <c r="B282" i="25" a="1"/>
  <c r="B281" i="25" a="1"/>
  <c r="B281" i="25" s="1"/>
  <c r="B280" i="25"/>
  <c r="B280" i="25" a="1"/>
  <c r="B279" i="25" a="1"/>
  <c r="B279" i="25" s="1"/>
  <c r="B278" i="25"/>
  <c r="B278" i="25" a="1"/>
  <c r="B277" i="25" a="1"/>
  <c r="B277" i="25" s="1"/>
  <c r="B276" i="25"/>
  <c r="B276" i="25" a="1"/>
  <c r="B275" i="25" a="1"/>
  <c r="B275" i="25" s="1"/>
  <c r="B274" i="25"/>
  <c r="B274" i="25" a="1"/>
  <c r="B273" i="25" a="1"/>
  <c r="B273" i="25" s="1"/>
  <c r="B272" i="25"/>
  <c r="B272" i="25" a="1"/>
  <c r="B271" i="25" a="1"/>
  <c r="B271" i="25" s="1"/>
  <c r="B270" i="25"/>
  <c r="B270" i="25" a="1"/>
  <c r="B269" i="25" a="1"/>
  <c r="B269" i="25" s="1"/>
  <c r="B268" i="25"/>
  <c r="B268" i="25" a="1"/>
  <c r="B267" i="25" a="1"/>
  <c r="B267" i="25" s="1"/>
  <c r="B266" i="25"/>
  <c r="B266" i="25" a="1"/>
  <c r="B265" i="25" a="1"/>
  <c r="B265" i="25" s="1"/>
  <c r="B264" i="25"/>
  <c r="B264" i="25" a="1"/>
  <c r="B263" i="25" a="1"/>
  <c r="B263" i="25" s="1"/>
  <c r="B262" i="25"/>
  <c r="B262" i="25" a="1"/>
  <c r="B261" i="25" a="1"/>
  <c r="B261" i="25" s="1"/>
  <c r="B260" i="25"/>
  <c r="B260" i="25" a="1"/>
  <c r="B259" i="25" a="1"/>
  <c r="B259" i="25" s="1"/>
  <c r="B258" i="25"/>
  <c r="B258" i="25" a="1"/>
  <c r="B257" i="25" a="1"/>
  <c r="B257" i="25" s="1"/>
  <c r="B256" i="25"/>
  <c r="B256" i="25" a="1"/>
  <c r="B255" i="25" a="1"/>
  <c r="B255" i="25" s="1"/>
  <c r="B254" i="25"/>
  <c r="B254" i="25" a="1"/>
  <c r="B253" i="25" a="1"/>
  <c r="B253" i="25" s="1"/>
  <c r="B252" i="25"/>
  <c r="B252" i="25" a="1"/>
  <c r="B251" i="25" a="1"/>
  <c r="B251" i="25" s="1"/>
  <c r="B250" i="25"/>
  <c r="B250" i="25" a="1"/>
  <c r="B249" i="25" a="1"/>
  <c r="B249" i="25" s="1"/>
  <c r="B248" i="25"/>
  <c r="B248" i="25" a="1"/>
  <c r="B247" i="25" a="1"/>
  <c r="B247" i="25" s="1"/>
  <c r="B246" i="25"/>
  <c r="B246" i="25" a="1"/>
  <c r="B245" i="25" a="1"/>
  <c r="B245" i="25" s="1"/>
  <c r="B244" i="25"/>
  <c r="B244" i="25" a="1"/>
  <c r="B243" i="25" a="1"/>
  <c r="B243" i="25" s="1"/>
  <c r="B242" i="25"/>
  <c r="B242" i="25" a="1"/>
  <c r="B241" i="25" a="1"/>
  <c r="B241" i="25" s="1"/>
  <c r="B240" i="25"/>
  <c r="B240" i="25" a="1"/>
  <c r="B239" i="25" a="1"/>
  <c r="B239" i="25" s="1"/>
  <c r="B238" i="25"/>
  <c r="B238" i="25" a="1"/>
  <c r="B237" i="25" a="1"/>
  <c r="B237" i="25" s="1"/>
  <c r="B236" i="25"/>
  <c r="B236" i="25" a="1"/>
  <c r="B235" i="25" a="1"/>
  <c r="B235" i="25" s="1"/>
  <c r="B234" i="25"/>
  <c r="B234" i="25" a="1"/>
  <c r="B233" i="25" a="1"/>
  <c r="B233" i="25" s="1"/>
  <c r="B232" i="25"/>
  <c r="B232" i="25" a="1"/>
  <c r="B231" i="25" a="1"/>
  <c r="B231" i="25" s="1"/>
  <c r="B230" i="25"/>
  <c r="B230" i="25" a="1"/>
  <c r="B229" i="25" a="1"/>
  <c r="B229" i="25" s="1"/>
  <c r="B228" i="25"/>
  <c r="B228" i="25" a="1"/>
  <c r="B227" i="25" a="1"/>
  <c r="B227" i="25" s="1"/>
  <c r="B226" i="25"/>
  <c r="B226" i="25" a="1"/>
  <c r="B225" i="25" a="1"/>
  <c r="B225" i="25" s="1"/>
  <c r="B224" i="25"/>
  <c r="B224" i="25" a="1"/>
  <c r="B223" i="25" a="1"/>
  <c r="B223" i="25" s="1"/>
  <c r="B222" i="25"/>
  <c r="B222" i="25" a="1"/>
  <c r="B221" i="25" a="1"/>
  <c r="B221" i="25" s="1"/>
  <c r="B220" i="25"/>
  <c r="B220" i="25" a="1"/>
  <c r="B219" i="25" a="1"/>
  <c r="B219" i="25" s="1"/>
  <c r="B218" i="25"/>
  <c r="B218" i="25" a="1"/>
  <c r="B217" i="25" a="1"/>
  <c r="B217" i="25" s="1"/>
  <c r="B216" i="25"/>
  <c r="B216" i="25" a="1"/>
  <c r="B215" i="25" a="1"/>
  <c r="B215" i="25" s="1"/>
  <c r="B214" i="25"/>
  <c r="B214" i="25" a="1"/>
  <c r="B213" i="25" a="1"/>
  <c r="B213" i="25" s="1"/>
  <c r="B212" i="25"/>
  <c r="B212" i="25" a="1"/>
  <c r="B211" i="25" a="1"/>
  <c r="B211" i="25" s="1"/>
  <c r="B210" i="25"/>
  <c r="B210" i="25" a="1"/>
  <c r="B209" i="25" a="1"/>
  <c r="B209" i="25" s="1"/>
  <c r="B208" i="25"/>
  <c r="B208" i="25" a="1"/>
  <c r="B207" i="25" a="1"/>
  <c r="B207" i="25" s="1"/>
  <c r="B206" i="25"/>
  <c r="B206" i="25" a="1"/>
  <c r="B205" i="25" a="1"/>
  <c r="B205" i="25" s="1"/>
  <c r="B204" i="25"/>
  <c r="B204" i="25" a="1"/>
  <c r="B203" i="25" a="1"/>
  <c r="B203" i="25" s="1"/>
  <c r="B202" i="25"/>
  <c r="B202" i="25" a="1"/>
  <c r="B201" i="25" a="1"/>
  <c r="B201" i="25" s="1"/>
  <c r="B200" i="25"/>
  <c r="B200" i="25" a="1"/>
  <c r="B199" i="25" a="1"/>
  <c r="B199" i="25" s="1"/>
  <c r="B198" i="25"/>
  <c r="B198" i="25" a="1"/>
  <c r="B197" i="25" a="1"/>
  <c r="B197" i="25" s="1"/>
  <c r="B196" i="25"/>
  <c r="B196" i="25" a="1"/>
  <c r="B195" i="25" a="1"/>
  <c r="B195" i="25" s="1"/>
  <c r="B194" i="25"/>
  <c r="B194" i="25" a="1"/>
  <c r="B193" i="25" a="1"/>
  <c r="B193" i="25" s="1"/>
  <c r="B192" i="25"/>
  <c r="B192" i="25" a="1"/>
  <c r="B191" i="25" a="1"/>
  <c r="B191" i="25" s="1"/>
  <c r="B190" i="25"/>
  <c r="B190" i="25" a="1"/>
  <c r="B189" i="25" a="1"/>
  <c r="B189" i="25" s="1"/>
  <c r="B188" i="25"/>
  <c r="B188" i="25" a="1"/>
  <c r="B187" i="25" a="1"/>
  <c r="B187" i="25" s="1"/>
  <c r="B186" i="25"/>
  <c r="B186" i="25" a="1"/>
  <c r="B185" i="25" a="1"/>
  <c r="B185" i="25" s="1"/>
  <c r="B184" i="25"/>
  <c r="B184" i="25" a="1"/>
  <c r="B183" i="25" a="1"/>
  <c r="B183" i="25" s="1"/>
  <c r="B182" i="25"/>
  <c r="B182" i="25" a="1"/>
  <c r="B181" i="25" a="1"/>
  <c r="B181" i="25" s="1"/>
  <c r="B180" i="25"/>
  <c r="B180" i="25" a="1"/>
  <c r="B179" i="25" a="1"/>
  <c r="B179" i="25" s="1"/>
  <c r="B178" i="25"/>
  <c r="B178" i="25" a="1"/>
  <c r="B177" i="25" a="1"/>
  <c r="B177" i="25" s="1"/>
  <c r="B176" i="25"/>
  <c r="B176" i="25" a="1"/>
  <c r="B175" i="25" a="1"/>
  <c r="B175" i="25" s="1"/>
  <c r="B174" i="25"/>
  <c r="B174" i="25" a="1"/>
  <c r="B173" i="25" a="1"/>
  <c r="B173" i="25" s="1"/>
  <c r="B172" i="25"/>
  <c r="B172" i="25" a="1"/>
  <c r="B171" i="25" a="1"/>
  <c r="B171" i="25" s="1"/>
  <c r="B170" i="25"/>
  <c r="B170" i="25" a="1"/>
  <c r="B169" i="25" a="1"/>
  <c r="B169" i="25" s="1"/>
  <c r="B168" i="25"/>
  <c r="B168" i="25" a="1"/>
  <c r="B167" i="25" a="1"/>
  <c r="B167" i="25" s="1"/>
  <c r="B166" i="25"/>
  <c r="B166" i="25" a="1"/>
  <c r="B165" i="25" a="1"/>
  <c r="B165" i="25" s="1"/>
  <c r="B164" i="25"/>
  <c r="B164" i="25" a="1"/>
  <c r="B163" i="25" a="1"/>
  <c r="B163" i="25" s="1"/>
  <c r="B162" i="25"/>
  <c r="B162" i="25" a="1"/>
  <c r="B161" i="25" a="1"/>
  <c r="B161" i="25" s="1"/>
  <c r="B160" i="25"/>
  <c r="B160" i="25" a="1"/>
  <c r="B159" i="25" a="1"/>
  <c r="B159" i="25" s="1"/>
  <c r="B158" i="25"/>
  <c r="B158" i="25" a="1"/>
  <c r="B157" i="25" a="1"/>
  <c r="B157" i="25" s="1"/>
  <c r="B156" i="25"/>
  <c r="B156" i="25" a="1"/>
  <c r="B155" i="25" a="1"/>
  <c r="B155" i="25" s="1"/>
  <c r="B154" i="25"/>
  <c r="B154" i="25" a="1"/>
  <c r="B153" i="25" a="1"/>
  <c r="B153" i="25" s="1"/>
  <c r="B152" i="25"/>
  <c r="B152" i="25" a="1"/>
  <c r="B151" i="25" a="1"/>
  <c r="B151" i="25" s="1"/>
  <c r="B150" i="25"/>
  <c r="B150" i="25" a="1"/>
  <c r="B149" i="25" a="1"/>
  <c r="B149" i="25" s="1"/>
  <c r="B148" i="25"/>
  <c r="B148" i="25" a="1"/>
  <c r="B147" i="25" a="1"/>
  <c r="B147" i="25" s="1"/>
  <c r="B146" i="25"/>
  <c r="B146" i="25" a="1"/>
  <c r="B145" i="25" a="1"/>
  <c r="B145" i="25" s="1"/>
  <c r="B144" i="25"/>
  <c r="B144" i="25" a="1"/>
  <c r="B143" i="25" a="1"/>
  <c r="B143" i="25" s="1"/>
  <c r="B142" i="25"/>
  <c r="B142" i="25" a="1"/>
  <c r="B141" i="25" a="1"/>
  <c r="B141" i="25" s="1"/>
  <c r="A140" i="25" a="1"/>
  <c r="A140" i="25" s="1"/>
  <c r="B140" i="25" s="1" a="1"/>
  <c r="B140" i="25" s="1"/>
  <c r="A139" i="25" a="1"/>
  <c r="A139" i="25" s="1"/>
  <c r="B139" i="25" s="1" a="1"/>
  <c r="B139" i="25" s="1"/>
  <c r="A138" i="25" a="1"/>
  <c r="A138" i="25" s="1"/>
  <c r="B138" i="25" s="1" a="1"/>
  <c r="B138" i="25" s="1"/>
  <c r="A137" i="25" a="1"/>
  <c r="A137" i="25" s="1"/>
  <c r="B137" i="25" s="1" a="1"/>
  <c r="B137" i="25" s="1"/>
  <c r="A136" i="25" a="1"/>
  <c r="A136" i="25" s="1"/>
  <c r="B136" i="25" s="1" a="1"/>
  <c r="B136" i="25" s="1"/>
  <c r="A135" i="25" a="1"/>
  <c r="A135" i="25" s="1"/>
  <c r="B135" i="25" s="1" a="1"/>
  <c r="B135" i="25" s="1"/>
  <c r="A134" i="25" a="1"/>
  <c r="A134" i="25" s="1"/>
  <c r="B134" i="25" s="1" a="1"/>
  <c r="B134" i="25" s="1"/>
  <c r="A133" i="25" a="1"/>
  <c r="A133" i="25" s="1"/>
  <c r="B133" i="25" s="1" a="1"/>
  <c r="B133" i="25" s="1"/>
  <c r="A132" i="25" a="1"/>
  <c r="A132" i="25" s="1"/>
  <c r="B132" i="25" s="1" a="1"/>
  <c r="B132" i="25" s="1"/>
  <c r="A131" i="25" a="1"/>
  <c r="A131" i="25" s="1"/>
  <c r="B131" i="25" s="1" a="1"/>
  <c r="B131" i="25" s="1"/>
  <c r="A130" i="25" a="1"/>
  <c r="A130" i="25" s="1"/>
  <c r="B130" i="25" s="1" a="1"/>
  <c r="B130" i="25" s="1"/>
  <c r="A129" i="25" a="1"/>
  <c r="A129" i="25" s="1"/>
  <c r="B129" i="25" s="1" a="1"/>
  <c r="B129" i="25" s="1"/>
  <c r="A128" i="25" a="1"/>
  <c r="A128" i="25" s="1"/>
  <c r="B128" i="25" s="1" a="1"/>
  <c r="B128" i="25" s="1"/>
  <c r="A127" i="25" a="1"/>
  <c r="A127" i="25" s="1"/>
  <c r="B127" i="25" s="1" a="1"/>
  <c r="B127" i="25" s="1"/>
  <c r="A126" i="25" a="1"/>
  <c r="A126" i="25" s="1"/>
  <c r="B126" i="25" s="1" a="1"/>
  <c r="B126" i="25" s="1"/>
  <c r="A125" i="25" a="1"/>
  <c r="A125" i="25" s="1"/>
  <c r="B125" i="25" s="1" a="1"/>
  <c r="B125" i="25" s="1"/>
  <c r="A124" i="25" a="1"/>
  <c r="A124" i="25" s="1"/>
  <c r="B124" i="25" s="1" a="1"/>
  <c r="B124" i="25" s="1"/>
  <c r="A123" i="25" a="1"/>
  <c r="A123" i="25" s="1"/>
  <c r="B123" i="25" s="1" a="1"/>
  <c r="B123" i="25" s="1"/>
  <c r="A122" i="25" a="1"/>
  <c r="A122" i="25" s="1"/>
  <c r="B122" i="25" s="1" a="1"/>
  <c r="B122" i="25" s="1"/>
  <c r="A121" i="25" a="1"/>
  <c r="A121" i="25" s="1"/>
  <c r="B121" i="25" s="1" a="1"/>
  <c r="B121" i="25" s="1"/>
  <c r="A120" i="25" a="1"/>
  <c r="A120" i="25" s="1"/>
  <c r="B120" i="25" s="1" a="1"/>
  <c r="B120" i="25" s="1"/>
  <c r="A119" i="25" a="1"/>
  <c r="A119" i="25" s="1"/>
  <c r="B119" i="25" s="1" a="1"/>
  <c r="B119" i="25" s="1"/>
  <c r="A118" i="25" a="1"/>
  <c r="A118" i="25" s="1"/>
  <c r="B118" i="25" s="1" a="1"/>
  <c r="B118" i="25" s="1"/>
  <c r="A117" i="25" a="1"/>
  <c r="A117" i="25" s="1"/>
  <c r="B117" i="25" s="1" a="1"/>
  <c r="B117" i="25" s="1"/>
  <c r="A116" i="25" a="1"/>
  <c r="A116" i="25" s="1"/>
  <c r="B116" i="25" s="1" a="1"/>
  <c r="B116" i="25" s="1"/>
  <c r="A115" i="25" a="1"/>
  <c r="A115" i="25" s="1"/>
  <c r="B115" i="25" s="1" a="1"/>
  <c r="B115" i="25" s="1"/>
  <c r="A114" i="25" a="1"/>
  <c r="A114" i="25" s="1"/>
  <c r="B114" i="25" s="1" a="1"/>
  <c r="B114" i="25" s="1"/>
  <c r="A113" i="25" a="1"/>
  <c r="A113" i="25" s="1"/>
  <c r="B113" i="25" s="1" a="1"/>
  <c r="B113" i="25" s="1"/>
  <c r="A112" i="25" a="1"/>
  <c r="A112" i="25" s="1"/>
  <c r="B112" i="25" s="1" a="1"/>
  <c r="B112" i="25" s="1"/>
  <c r="A111" i="25" a="1"/>
  <c r="A111" i="25" s="1"/>
  <c r="B111" i="25" s="1" a="1"/>
  <c r="B111" i="25" s="1"/>
  <c r="A110" i="25" a="1"/>
  <c r="A110" i="25" s="1"/>
  <c r="B110" i="25" s="1" a="1"/>
  <c r="B110" i="25" s="1"/>
  <c r="A109" i="25" a="1"/>
  <c r="A109" i="25" s="1"/>
  <c r="B109" i="25" s="1" a="1"/>
  <c r="B109" i="25" s="1"/>
  <c r="A108" i="25" a="1"/>
  <c r="A108" i="25" s="1"/>
  <c r="B108" i="25" s="1" a="1"/>
  <c r="B108" i="25" s="1"/>
  <c r="A107" i="25" a="1"/>
  <c r="A107" i="25" s="1"/>
  <c r="B107" i="25" s="1" a="1"/>
  <c r="B107" i="25" s="1"/>
  <c r="A106" i="25" a="1"/>
  <c r="A106" i="25" s="1"/>
  <c r="B106" i="25" s="1" a="1"/>
  <c r="B106" i="25" s="1"/>
  <c r="A105" i="25" a="1"/>
  <c r="A105" i="25" s="1"/>
  <c r="B105" i="25" s="1" a="1"/>
  <c r="B105" i="25" s="1"/>
  <c r="A104" i="25" a="1"/>
  <c r="A104" i="25" s="1"/>
  <c r="B104" i="25" s="1" a="1"/>
  <c r="B104" i="25" s="1"/>
  <c r="A103" i="25" a="1"/>
  <c r="A103" i="25" s="1"/>
  <c r="B103" i="25" s="1" a="1"/>
  <c r="B103" i="25" s="1"/>
  <c r="A102" i="25" a="1"/>
  <c r="A102" i="25" s="1"/>
  <c r="B102" i="25" s="1" a="1"/>
  <c r="B102" i="25" s="1"/>
  <c r="A101" i="25" a="1"/>
  <c r="A101" i="25" s="1"/>
  <c r="B101" i="25" s="1" a="1"/>
  <c r="B101" i="25" s="1"/>
  <c r="A100" i="25" a="1"/>
  <c r="A100" i="25" s="1"/>
  <c r="B100" i="25" s="1" a="1"/>
  <c r="B100" i="25" s="1"/>
  <c r="A99" i="25" a="1"/>
  <c r="A99" i="25" s="1"/>
  <c r="B99" i="25" s="1" a="1"/>
  <c r="B99" i="25" s="1"/>
  <c r="A98" i="25" a="1"/>
  <c r="A98" i="25" s="1"/>
  <c r="B98" i="25" s="1" a="1"/>
  <c r="B98" i="25" s="1"/>
  <c r="A97" i="25" a="1"/>
  <c r="A97" i="25" s="1"/>
  <c r="B97" i="25" s="1" a="1"/>
  <c r="B97" i="25" s="1"/>
  <c r="A96" i="25" a="1"/>
  <c r="A96" i="25" s="1"/>
  <c r="B96" i="25" s="1" a="1"/>
  <c r="B96" i="25" s="1"/>
  <c r="A95" i="25" a="1"/>
  <c r="A95" i="25" s="1"/>
  <c r="B95" i="25" s="1" a="1"/>
  <c r="B95" i="25" s="1"/>
  <c r="A94" i="25" a="1"/>
  <c r="A94" i="25" s="1"/>
  <c r="B94" i="25" s="1" a="1"/>
  <c r="B94" i="25" s="1"/>
  <c r="A93" i="25" a="1"/>
  <c r="A93" i="25" s="1"/>
  <c r="B93" i="25" s="1" a="1"/>
  <c r="B93" i="25" s="1"/>
  <c r="A92" i="25" a="1"/>
  <c r="A92" i="25" s="1"/>
  <c r="B92" i="25" s="1" a="1"/>
  <c r="B92" i="25" s="1"/>
  <c r="A91" i="25" a="1"/>
  <c r="A91" i="25" s="1"/>
  <c r="B91" i="25" s="1" a="1"/>
  <c r="B91" i="25" s="1"/>
  <c r="A90" i="25" a="1"/>
  <c r="A90" i="25" s="1"/>
  <c r="B90" i="25" s="1" a="1"/>
  <c r="B90" i="25" s="1"/>
  <c r="A89" i="25" a="1"/>
  <c r="A89" i="25" s="1"/>
  <c r="B89" i="25" s="1" a="1"/>
  <c r="B89" i="25" s="1"/>
  <c r="A88" i="25" a="1"/>
  <c r="A88" i="25" s="1"/>
  <c r="B88" i="25" s="1" a="1"/>
  <c r="B88" i="25" s="1"/>
  <c r="A87" i="25" a="1"/>
  <c r="A87" i="25" s="1"/>
  <c r="B87" i="25" s="1" a="1"/>
  <c r="B87" i="25" s="1"/>
  <c r="A86" i="25" a="1"/>
  <c r="A86" i="25" s="1"/>
  <c r="B86" i="25" s="1" a="1"/>
  <c r="B86" i="25" s="1"/>
  <c r="A85" i="25" a="1"/>
  <c r="A85" i="25" s="1"/>
  <c r="B85" i="25" s="1" a="1"/>
  <c r="B85" i="25" s="1"/>
  <c r="A84" i="25" a="1"/>
  <c r="A84" i="25" s="1"/>
  <c r="B84" i="25" s="1" a="1"/>
  <c r="B84" i="25" s="1"/>
  <c r="A83" i="25" a="1"/>
  <c r="A83" i="25" s="1"/>
  <c r="B83" i="25" s="1" a="1"/>
  <c r="B83" i="25" s="1"/>
  <c r="A82" i="25" a="1"/>
  <c r="A82" i="25" s="1"/>
  <c r="B82" i="25" s="1" a="1"/>
  <c r="B82" i="25" s="1"/>
  <c r="A81" i="25" a="1"/>
  <c r="A81" i="25" s="1"/>
  <c r="B81" i="25" s="1" a="1"/>
  <c r="B81" i="25" s="1"/>
  <c r="A80" i="25" a="1"/>
  <c r="A80" i="25" s="1"/>
  <c r="B80" i="25" s="1" a="1"/>
  <c r="B80" i="25" s="1"/>
  <c r="A79" i="25" a="1"/>
  <c r="A79" i="25" s="1"/>
  <c r="B79" i="25" s="1" a="1"/>
  <c r="B79" i="25" s="1"/>
  <c r="A78" i="25" a="1"/>
  <c r="A78" i="25" s="1"/>
  <c r="B78" i="25" s="1" a="1"/>
  <c r="B78" i="25" s="1"/>
  <c r="A77" i="25" a="1"/>
  <c r="A77" i="25" s="1"/>
  <c r="B77" i="25" s="1" a="1"/>
  <c r="B77" i="25" s="1"/>
  <c r="A76" i="25" a="1"/>
  <c r="A76" i="25" s="1"/>
  <c r="B76" i="25" s="1" a="1"/>
  <c r="B76" i="25" s="1"/>
  <c r="A75" i="25" a="1"/>
  <c r="A75" i="25" s="1"/>
  <c r="B75" i="25" s="1" a="1"/>
  <c r="B75" i="25" s="1"/>
  <c r="A74" i="25" a="1"/>
  <c r="A74" i="25" s="1"/>
  <c r="B74" i="25" s="1" a="1"/>
  <c r="B74" i="25" s="1"/>
  <c r="A73" i="25" a="1"/>
  <c r="A73" i="25" s="1"/>
  <c r="B73" i="25" s="1" a="1"/>
  <c r="B73" i="25" s="1"/>
  <c r="A72" i="25" a="1"/>
  <c r="A72" i="25" s="1"/>
  <c r="B72" i="25" s="1" a="1"/>
  <c r="B72" i="25" s="1"/>
  <c r="B71" i="25" a="1"/>
  <c r="B71" i="25" s="1"/>
  <c r="A71" i="25" a="1"/>
  <c r="A71" i="25" s="1"/>
  <c r="A70" i="25" a="1"/>
  <c r="A70" i="25" s="1"/>
  <c r="B70" i="25" s="1" a="1"/>
  <c r="B70" i="25" s="1"/>
  <c r="B69" i="25" a="1"/>
  <c r="B69" i="25" s="1"/>
  <c r="A69" i="25" a="1"/>
  <c r="A69" i="25" s="1"/>
  <c r="A68" i="25" a="1"/>
  <c r="A68" i="25" s="1"/>
  <c r="B68" i="25" s="1" a="1"/>
  <c r="B68" i="25" s="1"/>
  <c r="B67" i="25" a="1"/>
  <c r="B67" i="25" s="1"/>
  <c r="A67" i="25" a="1"/>
  <c r="A67" i="25" s="1"/>
  <c r="A66" i="25" a="1"/>
  <c r="A66" i="25" s="1"/>
  <c r="B66" i="25" s="1" a="1"/>
  <c r="B66" i="25" s="1"/>
  <c r="B65" i="25" a="1"/>
  <c r="B65" i="25" s="1"/>
  <c r="A65" i="25" a="1"/>
  <c r="A65" i="25" s="1"/>
  <c r="A64" i="25" a="1"/>
  <c r="A64" i="25" s="1"/>
  <c r="B64" i="25" s="1" a="1"/>
  <c r="B64" i="25" s="1"/>
  <c r="B63" i="25" a="1"/>
  <c r="B63" i="25" s="1"/>
  <c r="A63" i="25" a="1"/>
  <c r="A63" i="25" s="1"/>
  <c r="A62" i="25" a="1"/>
  <c r="A62" i="25" s="1"/>
  <c r="B62" i="25" s="1" a="1"/>
  <c r="B62" i="25" s="1"/>
  <c r="B61" i="25" a="1"/>
  <c r="B61" i="25" s="1"/>
  <c r="A61" i="25" a="1"/>
  <c r="A61" i="25" s="1"/>
  <c r="A60" i="25" a="1"/>
  <c r="A60" i="25" s="1"/>
  <c r="B60" i="25" s="1" a="1"/>
  <c r="B60" i="25" s="1"/>
  <c r="B59" i="25" a="1"/>
  <c r="B59" i="25" s="1"/>
  <c r="A59" i="25" a="1"/>
  <c r="A59" i="25" s="1"/>
  <c r="A58" i="25" a="1"/>
  <c r="A58" i="25" s="1"/>
  <c r="B58" i="25" s="1" a="1"/>
  <c r="B58" i="25" s="1"/>
  <c r="B57" i="25" a="1"/>
  <c r="B57" i="25" s="1"/>
  <c r="A57" i="25" a="1"/>
  <c r="A57" i="25" s="1"/>
  <c r="A56" i="25" a="1"/>
  <c r="A56" i="25" s="1"/>
  <c r="B56" i="25" s="1" a="1"/>
  <c r="B56" i="25" s="1"/>
  <c r="B55" i="25" a="1"/>
  <c r="B55" i="25" s="1"/>
  <c r="A55" i="25" a="1"/>
  <c r="A55" i="25" s="1"/>
  <c r="A54" i="25" a="1"/>
  <c r="A54" i="25" s="1"/>
  <c r="B54" i="25" s="1" a="1"/>
  <c r="B54" i="25" s="1"/>
  <c r="B53" i="25" a="1"/>
  <c r="B53" i="25" s="1"/>
  <c r="A53" i="25" a="1"/>
  <c r="A53" i="25" s="1"/>
  <c r="A52" i="25" a="1"/>
  <c r="A52" i="25" s="1"/>
  <c r="B52" i="25" s="1" a="1"/>
  <c r="B52" i="25" s="1"/>
  <c r="B51" i="25" a="1"/>
  <c r="B51" i="25" s="1"/>
  <c r="A51" i="25" a="1"/>
  <c r="A51" i="25" s="1"/>
  <c r="A50" i="25" a="1"/>
  <c r="A50" i="25" s="1"/>
  <c r="B50" i="25" s="1" a="1"/>
  <c r="B50" i="25" s="1"/>
  <c r="B49" i="25" a="1"/>
  <c r="B49" i="25" s="1"/>
  <c r="A49" i="25" a="1"/>
  <c r="A49" i="25" s="1"/>
  <c r="A48" i="25" a="1"/>
  <c r="A48" i="25" s="1"/>
  <c r="B48" i="25" s="1" a="1"/>
  <c r="B48" i="25" s="1"/>
  <c r="B47" i="25" a="1"/>
  <c r="B47" i="25" s="1"/>
  <c r="A47" i="25" a="1"/>
  <c r="A47" i="25" s="1"/>
  <c r="A46" i="25" a="1"/>
  <c r="A46" i="25" s="1"/>
  <c r="B46" i="25" s="1" a="1"/>
  <c r="B46" i="25" s="1"/>
  <c r="B45" i="25" a="1"/>
  <c r="B45" i="25" s="1"/>
  <c r="A45" i="25" a="1"/>
  <c r="A45" i="25" s="1"/>
  <c r="A44" i="25" a="1"/>
  <c r="A44" i="25" s="1"/>
  <c r="B44" i="25" s="1" a="1"/>
  <c r="B44" i="25" s="1"/>
  <c r="B43" i="25" a="1"/>
  <c r="B43" i="25" s="1"/>
  <c r="A43" i="25" a="1"/>
  <c r="A43" i="25" s="1"/>
  <c r="A42" i="25" a="1"/>
  <c r="A42" i="25" s="1"/>
  <c r="B42" i="25" s="1" a="1"/>
  <c r="B42" i="25" s="1"/>
  <c r="B41" i="25" a="1"/>
  <c r="B41" i="25" s="1"/>
  <c r="A41" i="25" a="1"/>
  <c r="A41" i="25" s="1"/>
  <c r="A40" i="25" a="1"/>
  <c r="A40" i="25" s="1"/>
  <c r="B40" i="25" s="1" a="1"/>
  <c r="B40" i="25" s="1"/>
  <c r="B39" i="25" a="1"/>
  <c r="B39" i="25" s="1"/>
  <c r="A39" i="25" a="1"/>
  <c r="A39" i="25" s="1"/>
  <c r="A38" i="25" a="1"/>
  <c r="A38" i="25" s="1"/>
  <c r="B38" i="25" s="1" a="1"/>
  <c r="B38" i="25" s="1"/>
  <c r="B37" i="25" a="1"/>
  <c r="B37" i="25" s="1"/>
  <c r="A37" i="25" a="1"/>
  <c r="A37" i="25" s="1"/>
  <c r="A36" i="25" a="1"/>
  <c r="A36" i="25" s="1"/>
  <c r="B36" i="25" s="1" a="1"/>
  <c r="B36" i="25" s="1"/>
  <c r="B35" i="25" a="1"/>
  <c r="B35" i="25" s="1"/>
  <c r="A35" i="25" a="1"/>
  <c r="A35" i="25" s="1"/>
  <c r="A34" i="25" a="1"/>
  <c r="A34" i="25" s="1"/>
  <c r="B34" i="25" s="1" a="1"/>
  <c r="B34" i="25" s="1"/>
  <c r="B33" i="25" a="1"/>
  <c r="B33" i="25" s="1"/>
  <c r="A33" i="25" a="1"/>
  <c r="A33" i="25" s="1"/>
  <c r="A32" i="25" a="1"/>
  <c r="A32" i="25" s="1"/>
  <c r="B32" i="25" s="1" a="1"/>
  <c r="B32" i="25" s="1"/>
  <c r="B31" i="25" a="1"/>
  <c r="B31" i="25" s="1"/>
  <c r="A31" i="25" a="1"/>
  <c r="A31" i="25" s="1"/>
  <c r="A30" i="25" a="1"/>
  <c r="A30" i="25" s="1"/>
  <c r="B30" i="25" s="1" a="1"/>
  <c r="B30" i="25" s="1"/>
  <c r="B29" i="25" a="1"/>
  <c r="B29" i="25" s="1"/>
  <c r="A29" i="25" a="1"/>
  <c r="A29" i="25" s="1"/>
  <c r="A28" i="25" a="1"/>
  <c r="A28" i="25" s="1"/>
  <c r="B28" i="25" s="1" a="1"/>
  <c r="B28" i="25" s="1"/>
  <c r="B27" i="25" a="1"/>
  <c r="B27" i="25" s="1"/>
  <c r="A27" i="25" a="1"/>
  <c r="A27" i="25" s="1"/>
  <c r="A26" i="25" a="1"/>
  <c r="A26" i="25" s="1"/>
  <c r="B26" i="25" s="1" a="1"/>
  <c r="B26" i="25" s="1"/>
  <c r="B25" i="25" a="1"/>
  <c r="B25" i="25" s="1"/>
  <c r="A25" i="25" a="1"/>
  <c r="A25" i="25" s="1"/>
  <c r="A24" i="25" a="1"/>
  <c r="A24" i="25" s="1"/>
  <c r="B24" i="25" s="1" a="1"/>
  <c r="B24" i="25" s="1"/>
  <c r="B23" i="25" a="1"/>
  <c r="B23" i="25" s="1"/>
  <c r="A23" i="25" a="1"/>
  <c r="A23" i="25" s="1"/>
  <c r="A22" i="25" a="1"/>
  <c r="A22" i="25" s="1"/>
  <c r="B22" i="25" s="1" a="1"/>
  <c r="B22" i="25" s="1"/>
  <c r="B21" i="25" a="1"/>
  <c r="B21" i="25" s="1"/>
  <c r="A21" i="25" a="1"/>
  <c r="A21" i="25" s="1"/>
  <c r="A20" i="25" a="1"/>
  <c r="A20" i="25" s="1"/>
  <c r="B20" i="25" s="1" a="1"/>
  <c r="B20" i="25" s="1"/>
  <c r="B19" i="25" a="1"/>
  <c r="B19" i="25" s="1"/>
  <c r="A19" i="25" a="1"/>
  <c r="A19" i="25" s="1"/>
  <c r="A18" i="25" a="1"/>
  <c r="A18" i="25" s="1"/>
  <c r="B18" i="25" s="1" a="1"/>
  <c r="B18" i="25" s="1"/>
  <c r="B17" i="25" a="1"/>
  <c r="B17" i="25" s="1"/>
  <c r="A17" i="25" a="1"/>
  <c r="A17" i="25" s="1"/>
  <c r="A16" i="25" a="1"/>
  <c r="A16" i="25" s="1"/>
  <c r="B16" i="25" s="1" a="1"/>
  <c r="B16" i="25" s="1"/>
  <c r="B15" i="25" a="1"/>
  <c r="B15" i="25" s="1"/>
  <c r="A15" i="25" a="1"/>
  <c r="A15" i="25" s="1"/>
  <c r="A14" i="25" a="1"/>
  <c r="A14" i="25" s="1"/>
  <c r="B14" i="25" s="1" a="1"/>
  <c r="B14" i="25" s="1"/>
  <c r="B13" i="25" a="1"/>
  <c r="B13" i="25" s="1"/>
  <c r="A12" i="25"/>
  <c r="B12" i="25" s="1" a="1"/>
  <c r="B12" i="25" s="1"/>
  <c r="A12" i="25" a="1"/>
  <c r="A11" i="25" a="1"/>
  <c r="A11" i="25" s="1"/>
  <c r="B11" i="25" s="1" a="1"/>
  <c r="B11" i="25" s="1"/>
  <c r="B3" i="25"/>
  <c r="B3" i="24"/>
  <c r="A2" i="21"/>
  <c r="B2" i="23" s="1"/>
  <c r="H336" i="23"/>
  <c r="H335" i="23"/>
  <c r="H334" i="23"/>
  <c r="H333" i="23"/>
  <c r="H332" i="23"/>
  <c r="H331" i="23"/>
  <c r="H330" i="23"/>
  <c r="H329" i="23"/>
  <c r="H328" i="23"/>
  <c r="H327" i="23"/>
  <c r="H326" i="23"/>
  <c r="H325" i="23"/>
  <c r="H324" i="23"/>
  <c r="H323" i="23"/>
  <c r="H322" i="23"/>
  <c r="H321" i="23"/>
  <c r="H320" i="23"/>
  <c r="H319" i="23"/>
  <c r="H318" i="23"/>
  <c r="H317" i="23"/>
  <c r="H316" i="23"/>
  <c r="H315" i="23"/>
  <c r="H314" i="23"/>
  <c r="H313" i="23"/>
  <c r="H312" i="23"/>
  <c r="H311" i="23"/>
  <c r="H310" i="23"/>
  <c r="H309" i="23"/>
  <c r="H308" i="23"/>
  <c r="H307" i="23"/>
  <c r="H306" i="23"/>
  <c r="H305" i="23"/>
  <c r="H304" i="23"/>
  <c r="H303" i="23"/>
  <c r="H302" i="23"/>
  <c r="H301" i="23"/>
  <c r="H300" i="23"/>
  <c r="H299" i="23"/>
  <c r="H298" i="23"/>
  <c r="H297" i="23"/>
  <c r="H296" i="23"/>
  <c r="H295" i="23"/>
  <c r="H294" i="23"/>
  <c r="H293" i="23"/>
  <c r="H292" i="23"/>
  <c r="H291" i="23"/>
  <c r="H290" i="23"/>
  <c r="H289" i="23"/>
  <c r="H288" i="23"/>
  <c r="H287" i="23"/>
  <c r="H286" i="23"/>
  <c r="H285" i="23"/>
  <c r="H284" i="23"/>
  <c r="H283" i="23"/>
  <c r="H282" i="23"/>
  <c r="H281" i="23"/>
  <c r="H280" i="23"/>
  <c r="H279" i="23"/>
  <c r="H278" i="23"/>
  <c r="H277" i="23"/>
  <c r="H276" i="23"/>
  <c r="H275" i="23"/>
  <c r="H274" i="23"/>
  <c r="H273" i="23"/>
  <c r="H272" i="23"/>
  <c r="H271" i="23"/>
  <c r="H270" i="23"/>
  <c r="H269" i="23"/>
  <c r="H268" i="23"/>
  <c r="H267" i="23"/>
  <c r="H266" i="23"/>
  <c r="H265" i="23"/>
  <c r="H264" i="23"/>
  <c r="H263" i="23"/>
  <c r="H262" i="23"/>
  <c r="H261" i="23"/>
  <c r="H260" i="23"/>
  <c r="H259" i="23"/>
  <c r="H258" i="23"/>
  <c r="H257" i="23"/>
  <c r="H256" i="23"/>
  <c r="H255" i="23"/>
  <c r="H254" i="23"/>
  <c r="H253" i="23"/>
  <c r="H252" i="23"/>
  <c r="H251" i="23"/>
  <c r="H250" i="23"/>
  <c r="H249" i="23"/>
  <c r="H248" i="23"/>
  <c r="H247" i="23"/>
  <c r="H246" i="23"/>
  <c r="H245" i="23"/>
  <c r="H244" i="23"/>
  <c r="H243" i="23"/>
  <c r="H242" i="23"/>
  <c r="H241" i="23"/>
  <c r="H240" i="23"/>
  <c r="H239" i="23"/>
  <c r="H238" i="23"/>
  <c r="H237" i="23"/>
  <c r="H236" i="23"/>
  <c r="H235" i="23"/>
  <c r="H234" i="23"/>
  <c r="H233" i="23"/>
  <c r="H232" i="23"/>
  <c r="H231" i="23"/>
  <c r="H230" i="23"/>
  <c r="H229" i="23"/>
  <c r="H228" i="23"/>
  <c r="H227" i="23"/>
  <c r="H226" i="23"/>
  <c r="H225" i="23"/>
  <c r="H224" i="23"/>
  <c r="H223" i="23"/>
  <c r="H222" i="23"/>
  <c r="H221" i="23"/>
  <c r="H220" i="23"/>
  <c r="H219" i="23"/>
  <c r="H218" i="23"/>
  <c r="H217" i="23"/>
  <c r="H216" i="23"/>
  <c r="H215" i="23"/>
  <c r="H214" i="23"/>
  <c r="H213" i="23"/>
  <c r="H212" i="23"/>
  <c r="H211" i="23"/>
  <c r="H210" i="23"/>
  <c r="H209" i="23"/>
  <c r="H208" i="23"/>
  <c r="H207" i="23"/>
  <c r="H206" i="23"/>
  <c r="H205" i="23"/>
  <c r="H204" i="23"/>
  <c r="H203" i="23"/>
  <c r="H202" i="23"/>
  <c r="H201" i="23"/>
  <c r="H200" i="23"/>
  <c r="H199" i="23"/>
  <c r="H198" i="23"/>
  <c r="H197" i="23"/>
  <c r="H196" i="23"/>
  <c r="H195" i="23"/>
  <c r="H194" i="23"/>
  <c r="H193" i="23"/>
  <c r="H192" i="23"/>
  <c r="H191" i="23"/>
  <c r="H190" i="23"/>
  <c r="H189" i="23"/>
  <c r="H188" i="23"/>
  <c r="H187" i="23"/>
  <c r="H186" i="23"/>
  <c r="H185" i="23"/>
  <c r="H184" i="23"/>
  <c r="H183" i="23"/>
  <c r="H182" i="23"/>
  <c r="H181" i="23"/>
  <c r="H180" i="23"/>
  <c r="H179" i="23"/>
  <c r="H178" i="23"/>
  <c r="H177" i="23"/>
  <c r="H176" i="23"/>
  <c r="H175" i="23"/>
  <c r="H174" i="23"/>
  <c r="H173" i="23"/>
  <c r="H172" i="23"/>
  <c r="H171" i="23"/>
  <c r="H170" i="23"/>
  <c r="H169" i="23"/>
  <c r="H168" i="23"/>
  <c r="H167" i="23"/>
  <c r="H166" i="23"/>
  <c r="H165" i="23"/>
  <c r="H164" i="23"/>
  <c r="H163" i="23"/>
  <c r="H162" i="23"/>
  <c r="H161" i="23"/>
  <c r="H160" i="23"/>
  <c r="H159" i="23"/>
  <c r="H158" i="23"/>
  <c r="H157" i="23"/>
  <c r="H156" i="23"/>
  <c r="H155" i="23"/>
  <c r="H154" i="23"/>
  <c r="H153" i="23"/>
  <c r="H152" i="23"/>
  <c r="H151" i="23"/>
  <c r="H150" i="23"/>
  <c r="H149" i="23"/>
  <c r="H148" i="23"/>
  <c r="H147" i="23"/>
  <c r="H146" i="23"/>
  <c r="H145" i="23"/>
  <c r="H144" i="23"/>
  <c r="H143" i="23"/>
  <c r="H142" i="23"/>
  <c r="H141" i="23"/>
  <c r="H140" i="23"/>
  <c r="H139" i="23"/>
  <c r="H138" i="23"/>
  <c r="H137" i="23"/>
  <c r="H136" i="23"/>
  <c r="H135" i="23"/>
  <c r="H134" i="23"/>
  <c r="H133" i="23"/>
  <c r="H132" i="23"/>
  <c r="H131" i="23"/>
  <c r="H130" i="23"/>
  <c r="H129" i="23"/>
  <c r="H128" i="23"/>
  <c r="H127" i="23"/>
  <c r="H126" i="23"/>
  <c r="H125" i="23"/>
  <c r="H124" i="23"/>
  <c r="H123" i="23"/>
  <c r="H122" i="23"/>
  <c r="H121" i="23"/>
  <c r="H120" i="23"/>
  <c r="H119" i="23"/>
  <c r="H118" i="23"/>
  <c r="H117" i="23"/>
  <c r="H116" i="23"/>
  <c r="H115" i="23"/>
  <c r="H114" i="23"/>
  <c r="H113" i="23"/>
  <c r="H112" i="23"/>
  <c r="H111" i="23"/>
  <c r="H110" i="23"/>
  <c r="H109" i="23"/>
  <c r="H108" i="23"/>
  <c r="H107" i="23"/>
  <c r="H106" i="23"/>
  <c r="H105" i="23"/>
  <c r="H104" i="23"/>
  <c r="H103" i="23"/>
  <c r="H102" i="23"/>
  <c r="H101" i="23"/>
  <c r="H100" i="23"/>
  <c r="H99" i="23"/>
  <c r="H98" i="23"/>
  <c r="H97" i="23"/>
  <c r="H96" i="23"/>
  <c r="H95" i="23"/>
  <c r="H94" i="23"/>
  <c r="H93" i="23"/>
  <c r="H92" i="23"/>
  <c r="H91" i="23"/>
  <c r="H90" i="23"/>
  <c r="H89" i="23"/>
  <c r="H88" i="23"/>
  <c r="H87" i="23"/>
  <c r="H86" i="23"/>
  <c r="H85" i="23"/>
  <c r="H84" i="23"/>
  <c r="H83" i="23"/>
  <c r="H82" i="23"/>
  <c r="H81" i="23"/>
  <c r="H80" i="23"/>
  <c r="H79" i="23"/>
  <c r="H78" i="23"/>
  <c r="H77" i="23"/>
  <c r="H76" i="23"/>
  <c r="H75" i="23"/>
  <c r="H74" i="23"/>
  <c r="H73" i="23"/>
  <c r="H72" i="23"/>
  <c r="H71" i="23"/>
  <c r="H70" i="23"/>
  <c r="H69" i="23"/>
  <c r="H68" i="23"/>
  <c r="H67" i="23"/>
  <c r="H66" i="23"/>
  <c r="H65" i="23"/>
  <c r="H64" i="23"/>
  <c r="H63" i="23"/>
  <c r="H62" i="23"/>
  <c r="H61" i="23"/>
  <c r="H60" i="23"/>
  <c r="H59" i="23"/>
  <c r="H58" i="23"/>
  <c r="H57" i="23"/>
  <c r="H56" i="23"/>
  <c r="H55" i="23"/>
  <c r="H54" i="23"/>
  <c r="H53" i="23"/>
  <c r="H52" i="23"/>
  <c r="H51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H26" i="23"/>
  <c r="H25" i="23"/>
  <c r="H24" i="23"/>
  <c r="H23" i="23"/>
  <c r="H22" i="23"/>
  <c r="H21" i="23"/>
  <c r="H20" i="23"/>
  <c r="H19" i="23"/>
  <c r="H18" i="23"/>
  <c r="H17" i="23"/>
  <c r="B1004" i="22"/>
  <c r="B1004" i="22" a="1"/>
  <c r="B1003" i="22" a="1"/>
  <c r="B1003" i="22" s="1"/>
  <c r="B1002" i="22"/>
  <c r="B1002" i="22" a="1"/>
  <c r="B1001" i="22" a="1"/>
  <c r="B1001" i="22" s="1"/>
  <c r="B1000" i="22"/>
  <c r="B1000" i="22" a="1"/>
  <c r="B999" i="22" a="1"/>
  <c r="B999" i="22" s="1"/>
  <c r="B998" i="22"/>
  <c r="B998" i="22" a="1"/>
  <c r="B997" i="22" a="1"/>
  <c r="B997" i="22" s="1"/>
  <c r="B996" i="22"/>
  <c r="B996" i="22" a="1"/>
  <c r="B995" i="22" a="1"/>
  <c r="B995" i="22" s="1"/>
  <c r="B994" i="22"/>
  <c r="B994" i="22" a="1"/>
  <c r="B993" i="22" a="1"/>
  <c r="B993" i="22" s="1"/>
  <c r="B992" i="22"/>
  <c r="B992" i="22" a="1"/>
  <c r="B991" i="22" a="1"/>
  <c r="B991" i="22" s="1"/>
  <c r="B990" i="22"/>
  <c r="B990" i="22" a="1"/>
  <c r="B989" i="22" a="1"/>
  <c r="B989" i="22" s="1"/>
  <c r="B988" i="22"/>
  <c r="B988" i="22" a="1"/>
  <c r="B987" i="22" a="1"/>
  <c r="B987" i="22" s="1"/>
  <c r="B986" i="22"/>
  <c r="B986" i="22" a="1"/>
  <c r="B985" i="22" a="1"/>
  <c r="B985" i="22" s="1"/>
  <c r="B984" i="22"/>
  <c r="B984" i="22" a="1"/>
  <c r="B983" i="22" a="1"/>
  <c r="B983" i="22" s="1"/>
  <c r="B982" i="22"/>
  <c r="B982" i="22" a="1"/>
  <c r="B981" i="22" a="1"/>
  <c r="B981" i="22" s="1"/>
  <c r="B980" i="22"/>
  <c r="B980" i="22" a="1"/>
  <c r="B979" i="22" a="1"/>
  <c r="B979" i="22" s="1"/>
  <c r="B978" i="22"/>
  <c r="B978" i="22" a="1"/>
  <c r="B977" i="22" a="1"/>
  <c r="B977" i="22" s="1"/>
  <c r="B976" i="22"/>
  <c r="B976" i="22" a="1"/>
  <c r="B975" i="22" a="1"/>
  <c r="B975" i="22" s="1"/>
  <c r="B974" i="22"/>
  <c r="B974" i="22" a="1"/>
  <c r="B973" i="22" a="1"/>
  <c r="B973" i="22" s="1"/>
  <c r="B972" i="22"/>
  <c r="B972" i="22" a="1"/>
  <c r="B971" i="22" a="1"/>
  <c r="B971" i="22" s="1"/>
  <c r="B970" i="22"/>
  <c r="B970" i="22" a="1"/>
  <c r="B969" i="22" a="1"/>
  <c r="B969" i="22" s="1"/>
  <c r="B968" i="22"/>
  <c r="B968" i="22" a="1"/>
  <c r="B967" i="22" a="1"/>
  <c r="B967" i="22" s="1"/>
  <c r="B966" i="22"/>
  <c r="B966" i="22" a="1"/>
  <c r="B965" i="22" a="1"/>
  <c r="B965" i="22" s="1"/>
  <c r="B964" i="22"/>
  <c r="B964" i="22" a="1"/>
  <c r="B963" i="22" a="1"/>
  <c r="B963" i="22" s="1"/>
  <c r="B962" i="22"/>
  <c r="B962" i="22" a="1"/>
  <c r="B961" i="22" a="1"/>
  <c r="B961" i="22" s="1"/>
  <c r="B960" i="22"/>
  <c r="B960" i="22" a="1"/>
  <c r="B959" i="22" a="1"/>
  <c r="B959" i="22" s="1"/>
  <c r="B958" i="22"/>
  <c r="B958" i="22" a="1"/>
  <c r="B957" i="22" a="1"/>
  <c r="B957" i="22" s="1"/>
  <c r="B956" i="22"/>
  <c r="B956" i="22" a="1"/>
  <c r="B955" i="22" a="1"/>
  <c r="B955" i="22" s="1"/>
  <c r="B954" i="22"/>
  <c r="B954" i="22" a="1"/>
  <c r="B953" i="22" a="1"/>
  <c r="B953" i="22" s="1"/>
  <c r="B952" i="22"/>
  <c r="B952" i="22" a="1"/>
  <c r="B951" i="22" a="1"/>
  <c r="B951" i="22" s="1"/>
  <c r="B950" i="22"/>
  <c r="B950" i="22" a="1"/>
  <c r="B949" i="22" a="1"/>
  <c r="B949" i="22" s="1"/>
  <c r="B948" i="22"/>
  <c r="B948" i="22" a="1"/>
  <c r="B947" i="22" a="1"/>
  <c r="B947" i="22" s="1"/>
  <c r="B946" i="22"/>
  <c r="B946" i="22" a="1"/>
  <c r="B945" i="22" a="1"/>
  <c r="B945" i="22" s="1"/>
  <c r="B944" i="22"/>
  <c r="B944" i="22" a="1"/>
  <c r="B943" i="22" a="1"/>
  <c r="B943" i="22" s="1"/>
  <c r="B942" i="22"/>
  <c r="B942" i="22" a="1"/>
  <c r="B941" i="22" a="1"/>
  <c r="B941" i="22" s="1"/>
  <c r="B940" i="22"/>
  <c r="B940" i="22" a="1"/>
  <c r="B939" i="22" a="1"/>
  <c r="B939" i="22" s="1"/>
  <c r="B938" i="22"/>
  <c r="B938" i="22" a="1"/>
  <c r="B937" i="22" a="1"/>
  <c r="B937" i="22" s="1"/>
  <c r="B936" i="22"/>
  <c r="B936" i="22" a="1"/>
  <c r="B935" i="22" a="1"/>
  <c r="B935" i="22" s="1"/>
  <c r="B934" i="22"/>
  <c r="B934" i="22" a="1"/>
  <c r="B933" i="22" a="1"/>
  <c r="B933" i="22" s="1"/>
  <c r="B932" i="22"/>
  <c r="B932" i="22" a="1"/>
  <c r="B931" i="22" a="1"/>
  <c r="B931" i="22" s="1"/>
  <c r="B930" i="22"/>
  <c r="B930" i="22" a="1"/>
  <c r="B929" i="22" a="1"/>
  <c r="B929" i="22" s="1"/>
  <c r="B928" i="22"/>
  <c r="B928" i="22" a="1"/>
  <c r="B927" i="22" a="1"/>
  <c r="B927" i="22" s="1"/>
  <c r="B926" i="22"/>
  <c r="B926" i="22" a="1"/>
  <c r="B925" i="22" a="1"/>
  <c r="B925" i="22" s="1"/>
  <c r="B924" i="22"/>
  <c r="B924" i="22" a="1"/>
  <c r="B923" i="22" a="1"/>
  <c r="B923" i="22" s="1"/>
  <c r="B922" i="22"/>
  <c r="B922" i="22" a="1"/>
  <c r="B921" i="22" a="1"/>
  <c r="B921" i="22" s="1"/>
  <c r="B920" i="22"/>
  <c r="B920" i="22" a="1"/>
  <c r="B919" i="22" a="1"/>
  <c r="B919" i="22" s="1"/>
  <c r="B918" i="22"/>
  <c r="B918" i="22" a="1"/>
  <c r="B917" i="22" a="1"/>
  <c r="B917" i="22" s="1"/>
  <c r="B916" i="22"/>
  <c r="B916" i="22" a="1"/>
  <c r="B915" i="22" a="1"/>
  <c r="B915" i="22" s="1"/>
  <c r="B914" i="22"/>
  <c r="B914" i="22" a="1"/>
  <c r="B913" i="22" a="1"/>
  <c r="B913" i="22" s="1"/>
  <c r="B912" i="22"/>
  <c r="B912" i="22" a="1"/>
  <c r="B911" i="22" a="1"/>
  <c r="B911" i="22" s="1"/>
  <c r="B910" i="22"/>
  <c r="B910" i="22" a="1"/>
  <c r="B909" i="22" a="1"/>
  <c r="B909" i="22" s="1"/>
  <c r="B908" i="22"/>
  <c r="B908" i="22" a="1"/>
  <c r="B907" i="22" a="1"/>
  <c r="B907" i="22" s="1"/>
  <c r="B906" i="22"/>
  <c r="B906" i="22" a="1"/>
  <c r="B905" i="22" a="1"/>
  <c r="B905" i="22" s="1"/>
  <c r="B904" i="22"/>
  <c r="B904" i="22" a="1"/>
  <c r="B903" i="22" a="1"/>
  <c r="B903" i="22" s="1"/>
  <c r="B902" i="22"/>
  <c r="B902" i="22" a="1"/>
  <c r="B901" i="22" a="1"/>
  <c r="B901" i="22" s="1"/>
  <c r="B900" i="22"/>
  <c r="B900" i="22" a="1"/>
  <c r="B899" i="22" a="1"/>
  <c r="B899" i="22" s="1"/>
  <c r="B898" i="22"/>
  <c r="B898" i="22" a="1"/>
  <c r="B897" i="22" a="1"/>
  <c r="B897" i="22" s="1"/>
  <c r="B896" i="22"/>
  <c r="B896" i="22" a="1"/>
  <c r="B895" i="22" a="1"/>
  <c r="B895" i="22" s="1"/>
  <c r="B894" i="22"/>
  <c r="B894" i="22" a="1"/>
  <c r="B893" i="22" a="1"/>
  <c r="B893" i="22" s="1"/>
  <c r="B892" i="22"/>
  <c r="B892" i="22" a="1"/>
  <c r="B891" i="22" a="1"/>
  <c r="B891" i="22" s="1"/>
  <c r="B890" i="22"/>
  <c r="B890" i="22" a="1"/>
  <c r="B889" i="22" a="1"/>
  <c r="B889" i="22" s="1"/>
  <c r="B888" i="22"/>
  <c r="B888" i="22" a="1"/>
  <c r="B887" i="22" a="1"/>
  <c r="B887" i="22" s="1"/>
  <c r="B886" i="22"/>
  <c r="B886" i="22" a="1"/>
  <c r="B885" i="22" a="1"/>
  <c r="B885" i="22" s="1"/>
  <c r="B884" i="22"/>
  <c r="B884" i="22" a="1"/>
  <c r="B883" i="22" a="1"/>
  <c r="B883" i="22" s="1"/>
  <c r="B882" i="22"/>
  <c r="B882" i="22" a="1"/>
  <c r="B881" i="22" a="1"/>
  <c r="B881" i="22" s="1"/>
  <c r="B880" i="22"/>
  <c r="B880" i="22" a="1"/>
  <c r="B879" i="22" a="1"/>
  <c r="B879" i="22" s="1"/>
  <c r="B878" i="22"/>
  <c r="B878" i="22" a="1"/>
  <c r="B877" i="22" a="1"/>
  <c r="B877" i="22" s="1"/>
  <c r="B876" i="22"/>
  <c r="B876" i="22" a="1"/>
  <c r="B875" i="22" a="1"/>
  <c r="B875" i="22" s="1"/>
  <c r="B874" i="22"/>
  <c r="B874" i="22" a="1"/>
  <c r="B873" i="22" a="1"/>
  <c r="B873" i="22" s="1"/>
  <c r="B872" i="22"/>
  <c r="B872" i="22" a="1"/>
  <c r="B871" i="22" a="1"/>
  <c r="B871" i="22" s="1"/>
  <c r="B870" i="22"/>
  <c r="B870" i="22" a="1"/>
  <c r="B869" i="22" a="1"/>
  <c r="B869" i="22" s="1"/>
  <c r="B868" i="22"/>
  <c r="B868" i="22" a="1"/>
  <c r="B867" i="22" a="1"/>
  <c r="B867" i="22" s="1"/>
  <c r="B866" i="22"/>
  <c r="B866" i="22" a="1"/>
  <c r="B865" i="22" a="1"/>
  <c r="B865" i="22" s="1"/>
  <c r="B864" i="22"/>
  <c r="B864" i="22" a="1"/>
  <c r="B863" i="22" a="1"/>
  <c r="B863" i="22" s="1"/>
  <c r="B862" i="22"/>
  <c r="B862" i="22" a="1"/>
  <c r="B861" i="22" a="1"/>
  <c r="B861" i="22" s="1"/>
  <c r="B860" i="22"/>
  <c r="B860" i="22" a="1"/>
  <c r="B859" i="22" a="1"/>
  <c r="B859" i="22" s="1"/>
  <c r="B858" i="22"/>
  <c r="B858" i="22" a="1"/>
  <c r="B857" i="22" a="1"/>
  <c r="B857" i="22" s="1"/>
  <c r="B856" i="22"/>
  <c r="B856" i="22" a="1"/>
  <c r="B855" i="22" a="1"/>
  <c r="B855" i="22" s="1"/>
  <c r="B854" i="22"/>
  <c r="B854" i="22" a="1"/>
  <c r="B853" i="22" a="1"/>
  <c r="B853" i="22" s="1"/>
  <c r="B852" i="22"/>
  <c r="B852" i="22" a="1"/>
  <c r="B851" i="22" a="1"/>
  <c r="B851" i="22" s="1"/>
  <c r="B850" i="22"/>
  <c r="B850" i="22" a="1"/>
  <c r="B849" i="22" a="1"/>
  <c r="B849" i="22" s="1"/>
  <c r="B848" i="22"/>
  <c r="B848" i="22" a="1"/>
  <c r="B847" i="22" a="1"/>
  <c r="B847" i="22" s="1"/>
  <c r="B846" i="22"/>
  <c r="B846" i="22" a="1"/>
  <c r="B845" i="22" a="1"/>
  <c r="B845" i="22" s="1"/>
  <c r="B844" i="22"/>
  <c r="B844" i="22" a="1"/>
  <c r="B843" i="22" a="1"/>
  <c r="B843" i="22" s="1"/>
  <c r="B842" i="22"/>
  <c r="B842" i="22" a="1"/>
  <c r="B841" i="22" a="1"/>
  <c r="B841" i="22" s="1"/>
  <c r="B840" i="22"/>
  <c r="B840" i="22" a="1"/>
  <c r="B839" i="22" a="1"/>
  <c r="B839" i="22" s="1"/>
  <c r="B838" i="22"/>
  <c r="B838" i="22" a="1"/>
  <c r="B837" i="22" a="1"/>
  <c r="B837" i="22" s="1"/>
  <c r="B836" i="22"/>
  <c r="B836" i="22" a="1"/>
  <c r="B835" i="22" a="1"/>
  <c r="B835" i="22" s="1"/>
  <c r="B834" i="22"/>
  <c r="B834" i="22" a="1"/>
  <c r="B833" i="22" a="1"/>
  <c r="B833" i="22" s="1"/>
  <c r="B832" i="22" a="1"/>
  <c r="B832" i="22" s="1"/>
  <c r="B831" i="22" a="1"/>
  <c r="B831" i="22" s="1"/>
  <c r="B830" i="22" a="1"/>
  <c r="B830" i="22" s="1"/>
  <c r="B829" i="22"/>
  <c r="B829" i="22" a="1"/>
  <c r="B828" i="22" a="1"/>
  <c r="B828" i="22" s="1"/>
  <c r="B827" i="22"/>
  <c r="B827" i="22" a="1"/>
  <c r="B826" i="22" a="1"/>
  <c r="B826" i="22" s="1"/>
  <c r="B825" i="22" a="1"/>
  <c r="B825" i="22" s="1"/>
  <c r="B824" i="22" a="1"/>
  <c r="B824" i="22" s="1"/>
  <c r="B823" i="22" a="1"/>
  <c r="B823" i="22" s="1"/>
  <c r="B822" i="22" a="1"/>
  <c r="B822" i="22" s="1"/>
  <c r="B821" i="22"/>
  <c r="B821" i="22" a="1"/>
  <c r="B820" i="22" a="1"/>
  <c r="B820" i="22" s="1"/>
  <c r="B819" i="22" a="1"/>
  <c r="B819" i="22" s="1"/>
  <c r="B818" i="22" a="1"/>
  <c r="B818" i="22" s="1"/>
  <c r="B817" i="22" a="1"/>
  <c r="B817" i="22" s="1"/>
  <c r="B816" i="22" a="1"/>
  <c r="B816" i="22" s="1"/>
  <c r="B815" i="22" a="1"/>
  <c r="B815" i="22" s="1"/>
  <c r="B814" i="22" a="1"/>
  <c r="B814" i="22" s="1"/>
  <c r="B813" i="22"/>
  <c r="B813" i="22" a="1"/>
  <c r="B812" i="22" a="1"/>
  <c r="B812" i="22" s="1"/>
  <c r="B811" i="22"/>
  <c r="B811" i="22" a="1"/>
  <c r="B810" i="22" a="1"/>
  <c r="B810" i="22" s="1"/>
  <c r="B809" i="22" a="1"/>
  <c r="B809" i="22" s="1"/>
  <c r="B808" i="22" a="1"/>
  <c r="B808" i="22" s="1"/>
  <c r="B807" i="22" a="1"/>
  <c r="B807" i="22" s="1"/>
  <c r="B806" i="22" a="1"/>
  <c r="B806" i="22" s="1"/>
  <c r="B805" i="22"/>
  <c r="B805" i="22" a="1"/>
  <c r="B804" i="22" a="1"/>
  <c r="B804" i="22" s="1"/>
  <c r="B803" i="22" a="1"/>
  <c r="B803" i="22" s="1"/>
  <c r="B802" i="22" a="1"/>
  <c r="B802" i="22" s="1"/>
  <c r="B801" i="22" a="1"/>
  <c r="B801" i="22" s="1"/>
  <c r="B800" i="22" a="1"/>
  <c r="B800" i="22" s="1"/>
  <c r="B799" i="22" a="1"/>
  <c r="B799" i="22" s="1"/>
  <c r="B798" i="22" a="1"/>
  <c r="B798" i="22" s="1"/>
  <c r="B797" i="22"/>
  <c r="B797" i="22" a="1"/>
  <c r="B796" i="22" a="1"/>
  <c r="B796" i="22" s="1"/>
  <c r="B795" i="22"/>
  <c r="B795" i="22" a="1"/>
  <c r="B794" i="22" a="1"/>
  <c r="B794" i="22" s="1"/>
  <c r="B793" i="22" a="1"/>
  <c r="B793" i="22" s="1"/>
  <c r="B792" i="22" a="1"/>
  <c r="B792" i="22" s="1"/>
  <c r="B791" i="22" a="1"/>
  <c r="B791" i="22" s="1"/>
  <c r="B790" i="22" a="1"/>
  <c r="B790" i="22" s="1"/>
  <c r="B789" i="22"/>
  <c r="B789" i="22" a="1"/>
  <c r="B788" i="22" a="1"/>
  <c r="B788" i="22" s="1"/>
  <c r="B787" i="22" a="1"/>
  <c r="B787" i="22" s="1"/>
  <c r="B786" i="22" a="1"/>
  <c r="B786" i="22" s="1"/>
  <c r="B785" i="22" a="1"/>
  <c r="B785" i="22" s="1"/>
  <c r="B784" i="22" a="1"/>
  <c r="B784" i="22" s="1"/>
  <c r="B783" i="22" a="1"/>
  <c r="B783" i="22" s="1"/>
  <c r="B782" i="22" a="1"/>
  <c r="B782" i="22" s="1"/>
  <c r="B781" i="22"/>
  <c r="B781" i="22" a="1"/>
  <c r="B780" i="22" a="1"/>
  <c r="B780" i="22" s="1"/>
  <c r="B779" i="22"/>
  <c r="B779" i="22" a="1"/>
  <c r="B778" i="22" a="1"/>
  <c r="B778" i="22" s="1"/>
  <c r="B777" i="22" a="1"/>
  <c r="B777" i="22" s="1"/>
  <c r="B776" i="22" a="1"/>
  <c r="B776" i="22" s="1"/>
  <c r="B775" i="22" a="1"/>
  <c r="B775" i="22" s="1"/>
  <c r="B774" i="22" a="1"/>
  <c r="B774" i="22" s="1"/>
  <c r="B773" i="22"/>
  <c r="B773" i="22" a="1"/>
  <c r="B772" i="22" a="1"/>
  <c r="B772" i="22" s="1"/>
  <c r="B771" i="22" a="1"/>
  <c r="B771" i="22" s="1"/>
  <c r="B770" i="22" a="1"/>
  <c r="B770" i="22" s="1"/>
  <c r="B769" i="22" a="1"/>
  <c r="B769" i="22" s="1"/>
  <c r="B768" i="22" a="1"/>
  <c r="B768" i="22" s="1"/>
  <c r="B767" i="22" a="1"/>
  <c r="B767" i="22" s="1"/>
  <c r="B766" i="22" a="1"/>
  <c r="B766" i="22" s="1"/>
  <c r="B765" i="22"/>
  <c r="B765" i="22" a="1"/>
  <c r="B764" i="22" a="1"/>
  <c r="B764" i="22" s="1"/>
  <c r="B763" i="22"/>
  <c r="B763" i="22" a="1"/>
  <c r="B762" i="22" a="1"/>
  <c r="B762" i="22" s="1"/>
  <c r="B761" i="22" a="1"/>
  <c r="B761" i="22" s="1"/>
  <c r="B760" i="22" a="1"/>
  <c r="B760" i="22" s="1"/>
  <c r="B759" i="22" a="1"/>
  <c r="B759" i="22" s="1"/>
  <c r="B758" i="22" a="1"/>
  <c r="B758" i="22" s="1"/>
  <c r="B757" i="22"/>
  <c r="B757" i="22" a="1"/>
  <c r="B756" i="22" a="1"/>
  <c r="B756" i="22" s="1"/>
  <c r="B755" i="22" a="1"/>
  <c r="B755" i="22" s="1"/>
  <c r="B754" i="22" a="1"/>
  <c r="B754" i="22" s="1"/>
  <c r="B753" i="22" a="1"/>
  <c r="B753" i="22" s="1"/>
  <c r="B752" i="22" a="1"/>
  <c r="B752" i="22" s="1"/>
  <c r="B751" i="22" a="1"/>
  <c r="B751" i="22" s="1"/>
  <c r="B750" i="22" a="1"/>
  <c r="B750" i="22" s="1"/>
  <c r="B749" i="22"/>
  <c r="B749" i="22" a="1"/>
  <c r="B748" i="22" a="1"/>
  <c r="B748" i="22" s="1"/>
  <c r="B747" i="22"/>
  <c r="B747" i="22" a="1"/>
  <c r="B746" i="22" a="1"/>
  <c r="B746" i="22" s="1"/>
  <c r="B745" i="22" a="1"/>
  <c r="B745" i="22" s="1"/>
  <c r="B744" i="22" a="1"/>
  <c r="B744" i="22" s="1"/>
  <c r="B743" i="22" a="1"/>
  <c r="B743" i="22" s="1"/>
  <c r="B742" i="22" a="1"/>
  <c r="B742" i="22" s="1"/>
  <c r="B741" i="22"/>
  <c r="B741" i="22" a="1"/>
  <c r="B740" i="22" a="1"/>
  <c r="B740" i="22" s="1"/>
  <c r="B739" i="22" a="1"/>
  <c r="B739" i="22" s="1"/>
  <c r="B738" i="22" a="1"/>
  <c r="B738" i="22" s="1"/>
  <c r="B737" i="22" a="1"/>
  <c r="B737" i="22" s="1"/>
  <c r="B736" i="22" a="1"/>
  <c r="B736" i="22" s="1"/>
  <c r="B735" i="22" a="1"/>
  <c r="B735" i="22" s="1"/>
  <c r="B734" i="22" a="1"/>
  <c r="B734" i="22" s="1"/>
  <c r="B733" i="22"/>
  <c r="B733" i="22" a="1"/>
  <c r="B732" i="22" a="1"/>
  <c r="B732" i="22" s="1"/>
  <c r="B731" i="22"/>
  <c r="B731" i="22" a="1"/>
  <c r="B730" i="22" a="1"/>
  <c r="B730" i="22" s="1"/>
  <c r="B729" i="22" a="1"/>
  <c r="B729" i="22" s="1"/>
  <c r="B728" i="22" a="1"/>
  <c r="B728" i="22" s="1"/>
  <c r="B727" i="22" a="1"/>
  <c r="B727" i="22" s="1"/>
  <c r="B726" i="22" a="1"/>
  <c r="B726" i="22" s="1"/>
  <c r="B725" i="22"/>
  <c r="B725" i="22" a="1"/>
  <c r="B724" i="22" a="1"/>
  <c r="B724" i="22" s="1"/>
  <c r="B723" i="22" a="1"/>
  <c r="B723" i="22" s="1"/>
  <c r="B722" i="22" a="1"/>
  <c r="B722" i="22" s="1"/>
  <c r="B721" i="22" a="1"/>
  <c r="B721" i="22" s="1"/>
  <c r="B720" i="22" a="1"/>
  <c r="B720" i="22" s="1"/>
  <c r="B719" i="22" a="1"/>
  <c r="B719" i="22" s="1"/>
  <c r="B718" i="22" a="1"/>
  <c r="B718" i="22" s="1"/>
  <c r="B717" i="22"/>
  <c r="B717" i="22" a="1"/>
  <c r="B716" i="22" a="1"/>
  <c r="B716" i="22" s="1"/>
  <c r="B715" i="22"/>
  <c r="B715" i="22" a="1"/>
  <c r="B714" i="22" a="1"/>
  <c r="B714" i="22" s="1"/>
  <c r="B713" i="22" a="1"/>
  <c r="B713" i="22" s="1"/>
  <c r="B712" i="22" a="1"/>
  <c r="B712" i="22" s="1"/>
  <c r="B711" i="22" a="1"/>
  <c r="B711" i="22" s="1"/>
  <c r="B710" i="22" a="1"/>
  <c r="B710" i="22" s="1"/>
  <c r="B709" i="22"/>
  <c r="B709" i="22" a="1"/>
  <c r="B708" i="22" a="1"/>
  <c r="B708" i="22" s="1"/>
  <c r="B707" i="22" a="1"/>
  <c r="B707" i="22" s="1"/>
  <c r="B706" i="22" a="1"/>
  <c r="B706" i="22" s="1"/>
  <c r="B705" i="22" a="1"/>
  <c r="B705" i="22" s="1"/>
  <c r="B704" i="22" a="1"/>
  <c r="B704" i="22" s="1"/>
  <c r="B703" i="22" a="1"/>
  <c r="B703" i="22" s="1"/>
  <c r="B702" i="22" a="1"/>
  <c r="B702" i="22" s="1"/>
  <c r="B701" i="22"/>
  <c r="B701" i="22" a="1"/>
  <c r="B700" i="22" a="1"/>
  <c r="B700" i="22" s="1"/>
  <c r="B699" i="22"/>
  <c r="B699" i="22" a="1"/>
  <c r="B698" i="22" a="1"/>
  <c r="B698" i="22" s="1"/>
  <c r="B697" i="22" a="1"/>
  <c r="B697" i="22" s="1"/>
  <c r="B696" i="22" a="1"/>
  <c r="B696" i="22" s="1"/>
  <c r="B695" i="22" a="1"/>
  <c r="B695" i="22" s="1"/>
  <c r="B694" i="22" a="1"/>
  <c r="B694" i="22" s="1"/>
  <c r="B693" i="22"/>
  <c r="B693" i="22" a="1"/>
  <c r="B692" i="22" a="1"/>
  <c r="B692" i="22" s="1"/>
  <c r="B691" i="22" a="1"/>
  <c r="B691" i="22" s="1"/>
  <c r="B690" i="22" a="1"/>
  <c r="B690" i="22" s="1"/>
  <c r="B689" i="22" a="1"/>
  <c r="B689" i="22" s="1"/>
  <c r="B688" i="22" a="1"/>
  <c r="B688" i="22" s="1"/>
  <c r="B687" i="22" a="1"/>
  <c r="B687" i="22" s="1"/>
  <c r="B686" i="22" a="1"/>
  <c r="B686" i="22" s="1"/>
  <c r="B685" i="22"/>
  <c r="B685" i="22" a="1"/>
  <c r="B684" i="22" a="1"/>
  <c r="B684" i="22" s="1"/>
  <c r="B683" i="22"/>
  <c r="B683" i="22" a="1"/>
  <c r="B682" i="22" a="1"/>
  <c r="B682" i="22" s="1"/>
  <c r="B681" i="22" a="1"/>
  <c r="B681" i="22" s="1"/>
  <c r="B680" i="22" a="1"/>
  <c r="B680" i="22" s="1"/>
  <c r="B679" i="22" a="1"/>
  <c r="B679" i="22" s="1"/>
  <c r="B678" i="22" a="1"/>
  <c r="B678" i="22" s="1"/>
  <c r="B677" i="22"/>
  <c r="B677" i="22" a="1"/>
  <c r="B676" i="22" a="1"/>
  <c r="B676" i="22" s="1"/>
  <c r="B675" i="22" a="1"/>
  <c r="B675" i="22" s="1"/>
  <c r="B674" i="22" a="1"/>
  <c r="B674" i="22" s="1"/>
  <c r="B673" i="22" a="1"/>
  <c r="B673" i="22" s="1"/>
  <c r="B672" i="22" a="1"/>
  <c r="B672" i="22" s="1"/>
  <c r="B671" i="22" a="1"/>
  <c r="B671" i="22" s="1"/>
  <c r="B670" i="22" a="1"/>
  <c r="B670" i="22" s="1"/>
  <c r="B669" i="22"/>
  <c r="B669" i="22" a="1"/>
  <c r="B668" i="22" a="1"/>
  <c r="B668" i="22" s="1"/>
  <c r="B667" i="22"/>
  <c r="B667" i="22" a="1"/>
  <c r="B666" i="22" a="1"/>
  <c r="B666" i="22" s="1"/>
  <c r="B665" i="22" a="1"/>
  <c r="B665" i="22" s="1"/>
  <c r="B664" i="22"/>
  <c r="B664" i="22" a="1"/>
  <c r="B663" i="22" a="1"/>
  <c r="B663" i="22" s="1"/>
  <c r="B662" i="22"/>
  <c r="B662" i="22" a="1"/>
  <c r="B661" i="22" a="1"/>
  <c r="B661" i="22" s="1"/>
  <c r="B660" i="22"/>
  <c r="B660" i="22" a="1"/>
  <c r="B659" i="22" a="1"/>
  <c r="B659" i="22" s="1"/>
  <c r="B658" i="22"/>
  <c r="B658" i="22" a="1"/>
  <c r="B657" i="22" a="1"/>
  <c r="B657" i="22" s="1"/>
  <c r="B656" i="22"/>
  <c r="B656" i="22" a="1"/>
  <c r="B655" i="22" a="1"/>
  <c r="B655" i="22" s="1"/>
  <c r="B654" i="22"/>
  <c r="B654" i="22" a="1"/>
  <c r="B653" i="22" a="1"/>
  <c r="B653" i="22" s="1"/>
  <c r="B652" i="22"/>
  <c r="B652" i="22" a="1"/>
  <c r="B651" i="22" a="1"/>
  <c r="B651" i="22" s="1"/>
  <c r="B650" i="22"/>
  <c r="B650" i="22" a="1"/>
  <c r="B649" i="22" a="1"/>
  <c r="B649" i="22" s="1"/>
  <c r="B648" i="22"/>
  <c r="B648" i="22" a="1"/>
  <c r="B647" i="22" a="1"/>
  <c r="B647" i="22" s="1"/>
  <c r="B646" i="22"/>
  <c r="B646" i="22" a="1"/>
  <c r="B645" i="22" a="1"/>
  <c r="B645" i="22" s="1"/>
  <c r="B644" i="22"/>
  <c r="B644" i="22" a="1"/>
  <c r="B643" i="22" a="1"/>
  <c r="B643" i="22" s="1"/>
  <c r="B642" i="22"/>
  <c r="B642" i="22" a="1"/>
  <c r="B641" i="22" a="1"/>
  <c r="B641" i="22" s="1"/>
  <c r="B640" i="22"/>
  <c r="B640" i="22" a="1"/>
  <c r="B639" i="22" a="1"/>
  <c r="B639" i="22" s="1"/>
  <c r="B638" i="22"/>
  <c r="B638" i="22" a="1"/>
  <c r="B637" i="22" a="1"/>
  <c r="B637" i="22" s="1"/>
  <c r="B636" i="22"/>
  <c r="B636" i="22" a="1"/>
  <c r="B635" i="22" a="1"/>
  <c r="B635" i="22" s="1"/>
  <c r="B634" i="22"/>
  <c r="B634" i="22" a="1"/>
  <c r="B633" i="22" a="1"/>
  <c r="B633" i="22" s="1"/>
  <c r="B632" i="22"/>
  <c r="B632" i="22" a="1"/>
  <c r="B631" i="22" a="1"/>
  <c r="B631" i="22" s="1"/>
  <c r="B630" i="22"/>
  <c r="B630" i="22" a="1"/>
  <c r="B629" i="22" a="1"/>
  <c r="B629" i="22" s="1"/>
  <c r="B628" i="22"/>
  <c r="B628" i="22" a="1"/>
  <c r="B627" i="22" a="1"/>
  <c r="B627" i="22" s="1"/>
  <c r="B626" i="22"/>
  <c r="B626" i="22" a="1"/>
  <c r="B625" i="22" a="1"/>
  <c r="B625" i="22" s="1"/>
  <c r="B624" i="22"/>
  <c r="B624" i="22" a="1"/>
  <c r="B623" i="22" a="1"/>
  <c r="B623" i="22" s="1"/>
  <c r="B622" i="22"/>
  <c r="B622" i="22" a="1"/>
  <c r="B621" i="22" a="1"/>
  <c r="B621" i="22" s="1"/>
  <c r="B620" i="22"/>
  <c r="B620" i="22" a="1"/>
  <c r="B619" i="22" a="1"/>
  <c r="B619" i="22" s="1"/>
  <c r="B618" i="22"/>
  <c r="B618" i="22" a="1"/>
  <c r="B617" i="22" a="1"/>
  <c r="B617" i="22" s="1"/>
  <c r="B616" i="22"/>
  <c r="B616" i="22" a="1"/>
  <c r="B615" i="22" a="1"/>
  <c r="B615" i="22" s="1"/>
  <c r="B614" i="22"/>
  <c r="B614" i="22" a="1"/>
  <c r="B613" i="22" a="1"/>
  <c r="B613" i="22" s="1"/>
  <c r="B612" i="22"/>
  <c r="B612" i="22" a="1"/>
  <c r="B611" i="22" a="1"/>
  <c r="B611" i="22" s="1"/>
  <c r="B610" i="22"/>
  <c r="B610" i="22" a="1"/>
  <c r="B609" i="22" a="1"/>
  <c r="B609" i="22" s="1"/>
  <c r="B608" i="22"/>
  <c r="B608" i="22" a="1"/>
  <c r="B607" i="22" a="1"/>
  <c r="B607" i="22" s="1"/>
  <c r="B606" i="22"/>
  <c r="B606" i="22" a="1"/>
  <c r="B605" i="22" a="1"/>
  <c r="B605" i="22" s="1"/>
  <c r="B604" i="22"/>
  <c r="B604" i="22" a="1"/>
  <c r="B603" i="22" a="1"/>
  <c r="B603" i="22" s="1"/>
  <c r="B602" i="22"/>
  <c r="B602" i="22" a="1"/>
  <c r="B601" i="22" a="1"/>
  <c r="B601" i="22" s="1"/>
  <c r="B600" i="22"/>
  <c r="B600" i="22" a="1"/>
  <c r="B599" i="22" a="1"/>
  <c r="B599" i="22" s="1"/>
  <c r="B598" i="22"/>
  <c r="B598" i="22" a="1"/>
  <c r="B597" i="22" a="1"/>
  <c r="B597" i="22" s="1"/>
  <c r="B596" i="22"/>
  <c r="B596" i="22" a="1"/>
  <c r="B595" i="22" a="1"/>
  <c r="B595" i="22" s="1"/>
  <c r="B594" i="22"/>
  <c r="B594" i="22" a="1"/>
  <c r="B593" i="22" a="1"/>
  <c r="B593" i="22" s="1"/>
  <c r="B592" i="22"/>
  <c r="B592" i="22" a="1"/>
  <c r="B591" i="22" a="1"/>
  <c r="B591" i="22" s="1"/>
  <c r="B590" i="22"/>
  <c r="B590" i="22" a="1"/>
  <c r="B589" i="22" a="1"/>
  <c r="B589" i="22" s="1"/>
  <c r="B588" i="22"/>
  <c r="B588" i="22" a="1"/>
  <c r="B587" i="22" a="1"/>
  <c r="B587" i="22" s="1"/>
  <c r="B586" i="22"/>
  <c r="B586" i="22" a="1"/>
  <c r="B585" i="22" a="1"/>
  <c r="B585" i="22" s="1"/>
  <c r="B584" i="22"/>
  <c r="B584" i="22" a="1"/>
  <c r="B583" i="22" a="1"/>
  <c r="B583" i="22" s="1"/>
  <c r="B582" i="22"/>
  <c r="B582" i="22" a="1"/>
  <c r="B581" i="22" a="1"/>
  <c r="B581" i="22" s="1"/>
  <c r="B580" i="22"/>
  <c r="B580" i="22" a="1"/>
  <c r="B579" i="22" a="1"/>
  <c r="B579" i="22" s="1"/>
  <c r="B578" i="22"/>
  <c r="B578" i="22" a="1"/>
  <c r="B577" i="22" a="1"/>
  <c r="B577" i="22" s="1"/>
  <c r="B576" i="22"/>
  <c r="B576" i="22" a="1"/>
  <c r="B575" i="22" a="1"/>
  <c r="B575" i="22" s="1"/>
  <c r="B574" i="22"/>
  <c r="B574" i="22" a="1"/>
  <c r="B573" i="22" a="1"/>
  <c r="B573" i="22" s="1"/>
  <c r="B572" i="22"/>
  <c r="B572" i="22" a="1"/>
  <c r="B571" i="22" a="1"/>
  <c r="B571" i="22" s="1"/>
  <c r="B570" i="22"/>
  <c r="B570" i="22" a="1"/>
  <c r="B569" i="22" a="1"/>
  <c r="B569" i="22" s="1"/>
  <c r="B568" i="22"/>
  <c r="B568" i="22" a="1"/>
  <c r="B567" i="22" a="1"/>
  <c r="B567" i="22" s="1"/>
  <c r="B566" i="22"/>
  <c r="B566" i="22" a="1"/>
  <c r="B565" i="22" a="1"/>
  <c r="B565" i="22" s="1"/>
  <c r="B564" i="22"/>
  <c r="B564" i="22" a="1"/>
  <c r="B563" i="22" a="1"/>
  <c r="B563" i="22" s="1"/>
  <c r="B562" i="22"/>
  <c r="B562" i="22" a="1"/>
  <c r="B561" i="22" a="1"/>
  <c r="B561" i="22" s="1"/>
  <c r="B560" i="22"/>
  <c r="B560" i="22" a="1"/>
  <c r="B559" i="22" a="1"/>
  <c r="B559" i="22" s="1"/>
  <c r="B558" i="22"/>
  <c r="B558" i="22" a="1"/>
  <c r="B557" i="22" a="1"/>
  <c r="B557" i="22" s="1"/>
  <c r="B556" i="22"/>
  <c r="B556" i="22" a="1"/>
  <c r="B555" i="22" a="1"/>
  <c r="B555" i="22" s="1"/>
  <c r="B554" i="22"/>
  <c r="B554" i="22" a="1"/>
  <c r="B553" i="22" a="1"/>
  <c r="B553" i="22" s="1"/>
  <c r="B552" i="22"/>
  <c r="B552" i="22" a="1"/>
  <c r="B551" i="22" a="1"/>
  <c r="B551" i="22" s="1"/>
  <c r="B550" i="22"/>
  <c r="B550" i="22" a="1"/>
  <c r="B549" i="22" a="1"/>
  <c r="B549" i="22" s="1"/>
  <c r="B548" i="22"/>
  <c r="B548" i="22" a="1"/>
  <c r="B547" i="22" a="1"/>
  <c r="B547" i="22" s="1"/>
  <c r="B546" i="22"/>
  <c r="B546" i="22" a="1"/>
  <c r="B545" i="22" a="1"/>
  <c r="B545" i="22" s="1"/>
  <c r="B544" i="22"/>
  <c r="B544" i="22" a="1"/>
  <c r="B543" i="22" a="1"/>
  <c r="B543" i="22" s="1"/>
  <c r="B542" i="22"/>
  <c r="B542" i="22" a="1"/>
  <c r="B541" i="22" a="1"/>
  <c r="B541" i="22" s="1"/>
  <c r="B540" i="22"/>
  <c r="B540" i="22" a="1"/>
  <c r="B539" i="22" a="1"/>
  <c r="B539" i="22" s="1"/>
  <c r="B538" i="22"/>
  <c r="B538" i="22" a="1"/>
  <c r="B537" i="22" a="1"/>
  <c r="B537" i="22" s="1"/>
  <c r="B536" i="22"/>
  <c r="B536" i="22" a="1"/>
  <c r="B535" i="22" a="1"/>
  <c r="B535" i="22" s="1"/>
  <c r="B534" i="22"/>
  <c r="B534" i="22" a="1"/>
  <c r="B533" i="22" a="1"/>
  <c r="B533" i="22" s="1"/>
  <c r="B532" i="22"/>
  <c r="B532" i="22" a="1"/>
  <c r="B531" i="22" a="1"/>
  <c r="B531" i="22" s="1"/>
  <c r="B530" i="22"/>
  <c r="B530" i="22" a="1"/>
  <c r="B529" i="22" a="1"/>
  <c r="B529" i="22" s="1"/>
  <c r="B528" i="22"/>
  <c r="B528" i="22" a="1"/>
  <c r="B527" i="22" a="1"/>
  <c r="B527" i="22" s="1"/>
  <c r="B526" i="22"/>
  <c r="B526" i="22" a="1"/>
  <c r="B525" i="22" a="1"/>
  <c r="B525" i="22" s="1"/>
  <c r="B524" i="22"/>
  <c r="B524" i="22" a="1"/>
  <c r="B523" i="22" a="1"/>
  <c r="B523" i="22" s="1"/>
  <c r="B522" i="22"/>
  <c r="B522" i="22" a="1"/>
  <c r="B521" i="22" a="1"/>
  <c r="B521" i="22" s="1"/>
  <c r="B520" i="22"/>
  <c r="B520" i="22" a="1"/>
  <c r="B519" i="22" a="1"/>
  <c r="B519" i="22" s="1"/>
  <c r="B518" i="22"/>
  <c r="B518" i="22" a="1"/>
  <c r="B517" i="22" a="1"/>
  <c r="B517" i="22" s="1"/>
  <c r="B516" i="22"/>
  <c r="B516" i="22" a="1"/>
  <c r="B515" i="22" a="1"/>
  <c r="B515" i="22" s="1"/>
  <c r="B514" i="22"/>
  <c r="B514" i="22" a="1"/>
  <c r="B513" i="22" a="1"/>
  <c r="B513" i="22" s="1"/>
  <c r="B512" i="22"/>
  <c r="B512" i="22" a="1"/>
  <c r="B511" i="22" a="1"/>
  <c r="B511" i="22" s="1"/>
  <c r="B510" i="22"/>
  <c r="B510" i="22" a="1"/>
  <c r="B509" i="22" a="1"/>
  <c r="B509" i="22" s="1"/>
  <c r="B508" i="22"/>
  <c r="B508" i="22" a="1"/>
  <c r="B507" i="22" a="1"/>
  <c r="B507" i="22" s="1"/>
  <c r="B506" i="22"/>
  <c r="B506" i="22" a="1"/>
  <c r="B505" i="22" a="1"/>
  <c r="B505" i="22" s="1"/>
  <c r="B504" i="22"/>
  <c r="B504" i="22" a="1"/>
  <c r="B503" i="22" a="1"/>
  <c r="B503" i="22" s="1"/>
  <c r="B502" i="22"/>
  <c r="B502" i="22" a="1"/>
  <c r="B501" i="22" a="1"/>
  <c r="B501" i="22" s="1"/>
  <c r="B500" i="22"/>
  <c r="B500" i="22" a="1"/>
  <c r="B499" i="22" a="1"/>
  <c r="B499" i="22" s="1"/>
  <c r="B498" i="22"/>
  <c r="B498" i="22" a="1"/>
  <c r="B497" i="22" a="1"/>
  <c r="B497" i="22" s="1"/>
  <c r="B496" i="22"/>
  <c r="B496" i="22" a="1"/>
  <c r="B495" i="22" a="1"/>
  <c r="B495" i="22" s="1"/>
  <c r="B494" i="22"/>
  <c r="B494" i="22" a="1"/>
  <c r="B493" i="22" a="1"/>
  <c r="B493" i="22" s="1"/>
  <c r="B492" i="22"/>
  <c r="B492" i="22" a="1"/>
  <c r="B491" i="22" a="1"/>
  <c r="B491" i="22" s="1"/>
  <c r="B490" i="22"/>
  <c r="B490" i="22" a="1"/>
  <c r="B489" i="22" a="1"/>
  <c r="B489" i="22" s="1"/>
  <c r="B488" i="22"/>
  <c r="B488" i="22" a="1"/>
  <c r="B487" i="22" a="1"/>
  <c r="B487" i="22" s="1"/>
  <c r="B486" i="22"/>
  <c r="B486" i="22" a="1"/>
  <c r="B485" i="22" a="1"/>
  <c r="B485" i="22" s="1"/>
  <c r="B484" i="22"/>
  <c r="B484" i="22" a="1"/>
  <c r="B483" i="22" a="1"/>
  <c r="B483" i="22" s="1"/>
  <c r="B482" i="22"/>
  <c r="B482" i="22" a="1"/>
  <c r="B481" i="22" a="1"/>
  <c r="B481" i="22" s="1"/>
  <c r="B480" i="22"/>
  <c r="B480" i="22" a="1"/>
  <c r="B479" i="22" a="1"/>
  <c r="B479" i="22" s="1"/>
  <c r="B478" i="22"/>
  <c r="B478" i="22" a="1"/>
  <c r="B477" i="22" a="1"/>
  <c r="B477" i="22" s="1"/>
  <c r="B476" i="22"/>
  <c r="B476" i="22" a="1"/>
  <c r="B475" i="22" a="1"/>
  <c r="B475" i="22" s="1"/>
  <c r="B474" i="22"/>
  <c r="B474" i="22" a="1"/>
  <c r="B473" i="22" a="1"/>
  <c r="B473" i="22" s="1"/>
  <c r="B472" i="22"/>
  <c r="B472" i="22" a="1"/>
  <c r="B471" i="22" a="1"/>
  <c r="B471" i="22" s="1"/>
  <c r="B470" i="22"/>
  <c r="B470" i="22" a="1"/>
  <c r="B469" i="22" a="1"/>
  <c r="B469" i="22" s="1"/>
  <c r="B468" i="22"/>
  <c r="B468" i="22" a="1"/>
  <c r="B467" i="22" a="1"/>
  <c r="B467" i="22" s="1"/>
  <c r="B466" i="22"/>
  <c r="B466" i="22" a="1"/>
  <c r="B465" i="22" a="1"/>
  <c r="B465" i="22" s="1"/>
  <c r="B464" i="22"/>
  <c r="B464" i="22" a="1"/>
  <c r="B463" i="22" a="1"/>
  <c r="B463" i="22" s="1"/>
  <c r="B462" i="22"/>
  <c r="B462" i="22" a="1"/>
  <c r="B461" i="22" a="1"/>
  <c r="B461" i="22" s="1"/>
  <c r="B460" i="22"/>
  <c r="B460" i="22" a="1"/>
  <c r="B459" i="22" a="1"/>
  <c r="B459" i="22" s="1"/>
  <c r="B458" i="22"/>
  <c r="B458" i="22" a="1"/>
  <c r="B457" i="22" a="1"/>
  <c r="B457" i="22" s="1"/>
  <c r="B456" i="22"/>
  <c r="B456" i="22" a="1"/>
  <c r="B455" i="22" a="1"/>
  <c r="B455" i="22" s="1"/>
  <c r="B454" i="22"/>
  <c r="B454" i="22" a="1"/>
  <c r="B453" i="22" a="1"/>
  <c r="B453" i="22" s="1"/>
  <c r="B452" i="22"/>
  <c r="B452" i="22" a="1"/>
  <c r="B451" i="22" a="1"/>
  <c r="B451" i="22" s="1"/>
  <c r="B450" i="22"/>
  <c r="B450" i="22" a="1"/>
  <c r="B449" i="22" a="1"/>
  <c r="B449" i="22" s="1"/>
  <c r="B448" i="22"/>
  <c r="B448" i="22" a="1"/>
  <c r="B447" i="22" a="1"/>
  <c r="B447" i="22" s="1"/>
  <c r="B446" i="22"/>
  <c r="B446" i="22" a="1"/>
  <c r="B445" i="22" a="1"/>
  <c r="B445" i="22" s="1"/>
  <c r="B444" i="22"/>
  <c r="B444" i="22" a="1"/>
  <c r="B443" i="22" a="1"/>
  <c r="B443" i="22" s="1"/>
  <c r="B442" i="22"/>
  <c r="B442" i="22" a="1"/>
  <c r="B441" i="22" a="1"/>
  <c r="B441" i="22" s="1"/>
  <c r="B440" i="22"/>
  <c r="B440" i="22" a="1"/>
  <c r="B439" i="22" a="1"/>
  <c r="B439" i="22" s="1"/>
  <c r="B438" i="22"/>
  <c r="B438" i="22" a="1"/>
  <c r="B437" i="22" a="1"/>
  <c r="B437" i="22" s="1"/>
  <c r="B436" i="22"/>
  <c r="B436" i="22" a="1"/>
  <c r="B435" i="22" a="1"/>
  <c r="B435" i="22" s="1"/>
  <c r="B434" i="22"/>
  <c r="B434" i="22" a="1"/>
  <c r="B433" i="22" a="1"/>
  <c r="B433" i="22" s="1"/>
  <c r="B432" i="22"/>
  <c r="B432" i="22" a="1"/>
  <c r="B431" i="22" a="1"/>
  <c r="B431" i="22" s="1"/>
  <c r="B430" i="22"/>
  <c r="B430" i="22" a="1"/>
  <c r="B429" i="22" a="1"/>
  <c r="B429" i="22" s="1"/>
  <c r="B428" i="22"/>
  <c r="B428" i="22" a="1"/>
  <c r="B427" i="22" a="1"/>
  <c r="B427" i="22" s="1"/>
  <c r="B426" i="22"/>
  <c r="B426" i="22" a="1"/>
  <c r="B425" i="22" a="1"/>
  <c r="B425" i="22" s="1"/>
  <c r="B424" i="22"/>
  <c r="B424" i="22" a="1"/>
  <c r="B423" i="22" a="1"/>
  <c r="B423" i="22" s="1"/>
  <c r="B422" i="22"/>
  <c r="B422" i="22" a="1"/>
  <c r="B421" i="22" a="1"/>
  <c r="B421" i="22" s="1"/>
  <c r="B420" i="22"/>
  <c r="B420" i="22" a="1"/>
  <c r="B419" i="22" a="1"/>
  <c r="B419" i="22" s="1"/>
  <c r="B418" i="22"/>
  <c r="B418" i="22" a="1"/>
  <c r="B417" i="22" a="1"/>
  <c r="B417" i="22" s="1"/>
  <c r="B416" i="22"/>
  <c r="B416" i="22" a="1"/>
  <c r="B415" i="22" a="1"/>
  <c r="B415" i="22" s="1"/>
  <c r="B414" i="22"/>
  <c r="B414" i="22" a="1"/>
  <c r="B413" i="22" a="1"/>
  <c r="B413" i="22" s="1"/>
  <c r="B412" i="22"/>
  <c r="B412" i="22" a="1"/>
  <c r="B411" i="22" a="1"/>
  <c r="B411" i="22" s="1"/>
  <c r="B410" i="22"/>
  <c r="B410" i="22" a="1"/>
  <c r="B409" i="22" a="1"/>
  <c r="B409" i="22" s="1"/>
  <c r="B408" i="22"/>
  <c r="B408" i="22" a="1"/>
  <c r="B407" i="22" a="1"/>
  <c r="B407" i="22" s="1"/>
  <c r="B406" i="22"/>
  <c r="B406" i="22" a="1"/>
  <c r="B405" i="22" a="1"/>
  <c r="B405" i="22" s="1"/>
  <c r="B404" i="22" a="1"/>
  <c r="B404" i="22" s="1"/>
  <c r="B403" i="22" a="1"/>
  <c r="B403" i="22" s="1"/>
  <c r="B402" i="22" a="1"/>
  <c r="B402" i="22" s="1"/>
  <c r="B401" i="22" a="1"/>
  <c r="B401" i="22" s="1"/>
  <c r="B400" i="22"/>
  <c r="B400" i="22" a="1"/>
  <c r="B399" i="22" a="1"/>
  <c r="B399" i="22" s="1"/>
  <c r="B398" i="22"/>
  <c r="B398" i="22" a="1"/>
  <c r="B397" i="22" a="1"/>
  <c r="B397" i="22" s="1"/>
  <c r="B396" i="22" a="1"/>
  <c r="B396" i="22" s="1"/>
  <c r="B395" i="22" a="1"/>
  <c r="B395" i="22" s="1"/>
  <c r="B394" i="22" a="1"/>
  <c r="B394" i="22" s="1"/>
  <c r="B393" i="22" a="1"/>
  <c r="B393" i="22" s="1"/>
  <c r="B392" i="22"/>
  <c r="B392" i="22" a="1"/>
  <c r="B391" i="22" a="1"/>
  <c r="B391" i="22" s="1"/>
  <c r="B390" i="22"/>
  <c r="B390" i="22" a="1"/>
  <c r="B389" i="22" a="1"/>
  <c r="B389" i="22" s="1"/>
  <c r="B388" i="22" a="1"/>
  <c r="B388" i="22" s="1"/>
  <c r="B387" i="22" a="1"/>
  <c r="B387" i="22" s="1"/>
  <c r="B386" i="22" a="1"/>
  <c r="B386" i="22" s="1"/>
  <c r="B385" i="22" a="1"/>
  <c r="B385" i="22" s="1"/>
  <c r="B384" i="22"/>
  <c r="B384" i="22" a="1"/>
  <c r="B383" i="22" a="1"/>
  <c r="B383" i="22" s="1"/>
  <c r="B382" i="22"/>
  <c r="B382" i="22" a="1"/>
  <c r="B381" i="22" a="1"/>
  <c r="B381" i="22" s="1"/>
  <c r="B380" i="22" a="1"/>
  <c r="B380" i="22" s="1"/>
  <c r="B379" i="22" a="1"/>
  <c r="B379" i="22" s="1"/>
  <c r="B378" i="22" a="1"/>
  <c r="B378" i="22" s="1"/>
  <c r="B377" i="22" a="1"/>
  <c r="B377" i="22" s="1"/>
  <c r="B376" i="22"/>
  <c r="B376" i="22" a="1"/>
  <c r="B375" i="22" a="1"/>
  <c r="B375" i="22" s="1"/>
  <c r="B374" i="22"/>
  <c r="B374" i="22" a="1"/>
  <c r="B373" i="22" a="1"/>
  <c r="B373" i="22" s="1"/>
  <c r="B372" i="22"/>
  <c r="B372" i="22" a="1"/>
  <c r="B371" i="22" a="1"/>
  <c r="B371" i="22" s="1"/>
  <c r="B370" i="22"/>
  <c r="B370" i="22" a="1"/>
  <c r="B369" i="22" a="1"/>
  <c r="B369" i="22" s="1"/>
  <c r="B368" i="22"/>
  <c r="B368" i="22" a="1"/>
  <c r="B367" i="22" a="1"/>
  <c r="B367" i="22" s="1"/>
  <c r="B366" i="22"/>
  <c r="B366" i="22" a="1"/>
  <c r="B365" i="22" a="1"/>
  <c r="B365" i="22" s="1"/>
  <c r="B364" i="22"/>
  <c r="B364" i="22" a="1"/>
  <c r="B363" i="22" a="1"/>
  <c r="B363" i="22" s="1"/>
  <c r="B362" i="22"/>
  <c r="B362" i="22" a="1"/>
  <c r="B361" i="22" a="1"/>
  <c r="B361" i="22" s="1"/>
  <c r="B360" i="22"/>
  <c r="B360" i="22" a="1"/>
  <c r="B359" i="22" a="1"/>
  <c r="B359" i="22" s="1"/>
  <c r="B358" i="22"/>
  <c r="B358" i="22" a="1"/>
  <c r="B357" i="22" a="1"/>
  <c r="B357" i="22" s="1"/>
  <c r="B356" i="22"/>
  <c r="B356" i="22" a="1"/>
  <c r="B355" i="22" a="1"/>
  <c r="B355" i="22" s="1"/>
  <c r="B354" i="22"/>
  <c r="B354" i="22" a="1"/>
  <c r="B353" i="22" a="1"/>
  <c r="B353" i="22" s="1"/>
  <c r="B352" i="22"/>
  <c r="B352" i="22" a="1"/>
  <c r="B351" i="22" a="1"/>
  <c r="B351" i="22" s="1"/>
  <c r="B350" i="22"/>
  <c r="B350" i="22" a="1"/>
  <c r="B349" i="22" a="1"/>
  <c r="B349" i="22" s="1"/>
  <c r="B348" i="22"/>
  <c r="B348" i="22" a="1"/>
  <c r="B347" i="22" a="1"/>
  <c r="B347" i="22" s="1"/>
  <c r="B346" i="22"/>
  <c r="B346" i="22" a="1"/>
  <c r="B345" i="22" a="1"/>
  <c r="B345" i="22" s="1"/>
  <c r="B344" i="22"/>
  <c r="B344" i="22" a="1"/>
  <c r="B343" i="22" a="1"/>
  <c r="B343" i="22" s="1"/>
  <c r="B342" i="22"/>
  <c r="B342" i="22" a="1"/>
  <c r="B341" i="22" a="1"/>
  <c r="B341" i="22" s="1"/>
  <c r="B340" i="22"/>
  <c r="B340" i="22" a="1"/>
  <c r="B339" i="22" a="1"/>
  <c r="B339" i="22" s="1"/>
  <c r="B338" i="22"/>
  <c r="B338" i="22" a="1"/>
  <c r="B337" i="22" a="1"/>
  <c r="B337" i="22" s="1"/>
  <c r="B336" i="22"/>
  <c r="B336" i="22" a="1"/>
  <c r="B335" i="22" a="1"/>
  <c r="B335" i="22" s="1"/>
  <c r="B334" i="22"/>
  <c r="B334" i="22" a="1"/>
  <c r="B333" i="22" a="1"/>
  <c r="B333" i="22" s="1"/>
  <c r="B332" i="22"/>
  <c r="B332" i="22" a="1"/>
  <c r="B331" i="22" a="1"/>
  <c r="B331" i="22" s="1"/>
  <c r="B330" i="22"/>
  <c r="B330" i="22" a="1"/>
  <c r="B329" i="22" a="1"/>
  <c r="B329" i="22" s="1"/>
  <c r="B328" i="22"/>
  <c r="B328" i="22" a="1"/>
  <c r="B327" i="22" a="1"/>
  <c r="B327" i="22" s="1"/>
  <c r="B326" i="22"/>
  <c r="B326" i="22" a="1"/>
  <c r="B325" i="22" a="1"/>
  <c r="B325" i="22" s="1"/>
  <c r="B324" i="22"/>
  <c r="B324" i="22" a="1"/>
  <c r="B323" i="22" a="1"/>
  <c r="B323" i="22" s="1"/>
  <c r="B322" i="22"/>
  <c r="B322" i="22" a="1"/>
  <c r="B321" i="22" a="1"/>
  <c r="B321" i="22" s="1"/>
  <c r="B320" i="22"/>
  <c r="B320" i="22" a="1"/>
  <c r="B319" i="22" a="1"/>
  <c r="B319" i="22" s="1"/>
  <c r="B318" i="22"/>
  <c r="B318" i="22" a="1"/>
  <c r="B317" i="22" a="1"/>
  <c r="B317" i="22" s="1"/>
  <c r="B316" i="22"/>
  <c r="B316" i="22" a="1"/>
  <c r="B315" i="22" a="1"/>
  <c r="B315" i="22" s="1"/>
  <c r="B314" i="22"/>
  <c r="B314" i="22" a="1"/>
  <c r="B313" i="22" a="1"/>
  <c r="B313" i="22" s="1"/>
  <c r="B312" i="22"/>
  <c r="B312" i="22" a="1"/>
  <c r="B311" i="22" a="1"/>
  <c r="B311" i="22" s="1"/>
  <c r="B310" i="22"/>
  <c r="B310" i="22" a="1"/>
  <c r="B309" i="22" a="1"/>
  <c r="B309" i="22" s="1"/>
  <c r="B308" i="22"/>
  <c r="B308" i="22" a="1"/>
  <c r="B307" i="22" a="1"/>
  <c r="B307" i="22" s="1"/>
  <c r="B306" i="22"/>
  <c r="B306" i="22" a="1"/>
  <c r="B305" i="22" a="1"/>
  <c r="B305" i="22" s="1"/>
  <c r="B304" i="22"/>
  <c r="B304" i="22" a="1"/>
  <c r="B303" i="22" a="1"/>
  <c r="B303" i="22" s="1"/>
  <c r="B302" i="22"/>
  <c r="B302" i="22" a="1"/>
  <c r="B301" i="22" a="1"/>
  <c r="B301" i="22" s="1"/>
  <c r="B300" i="22"/>
  <c r="B300" i="22" a="1"/>
  <c r="B299" i="22" a="1"/>
  <c r="B299" i="22" s="1"/>
  <c r="B298" i="22"/>
  <c r="B298" i="22" a="1"/>
  <c r="B297" i="22" a="1"/>
  <c r="B297" i="22" s="1"/>
  <c r="B296" i="22"/>
  <c r="B296" i="22" a="1"/>
  <c r="B295" i="22" a="1"/>
  <c r="B295" i="22" s="1"/>
  <c r="B294" i="22"/>
  <c r="B294" i="22" a="1"/>
  <c r="B293" i="22" a="1"/>
  <c r="B293" i="22" s="1"/>
  <c r="B292" i="22"/>
  <c r="B292" i="22" a="1"/>
  <c r="B291" i="22" a="1"/>
  <c r="B291" i="22" s="1"/>
  <c r="B290" i="22"/>
  <c r="B290" i="22" a="1"/>
  <c r="B289" i="22" a="1"/>
  <c r="B289" i="22" s="1"/>
  <c r="B288" i="22"/>
  <c r="B288" i="22" a="1"/>
  <c r="B287" i="22" a="1"/>
  <c r="B287" i="22" s="1"/>
  <c r="B286" i="22"/>
  <c r="B286" i="22" a="1"/>
  <c r="B285" i="22" a="1"/>
  <c r="B285" i="22" s="1"/>
  <c r="B284" i="22"/>
  <c r="B284" i="22" a="1"/>
  <c r="B283" i="22" a="1"/>
  <c r="B283" i="22" s="1"/>
  <c r="B282" i="22"/>
  <c r="B282" i="22" a="1"/>
  <c r="B281" i="22" a="1"/>
  <c r="B281" i="22" s="1"/>
  <c r="B280" i="22"/>
  <c r="B280" i="22" a="1"/>
  <c r="B279" i="22" a="1"/>
  <c r="B279" i="22" s="1"/>
  <c r="B278" i="22"/>
  <c r="B278" i="22" a="1"/>
  <c r="B277" i="22" a="1"/>
  <c r="B277" i="22" s="1"/>
  <c r="B276" i="22"/>
  <c r="B276" i="22" a="1"/>
  <c r="B275" i="22" a="1"/>
  <c r="B275" i="22" s="1"/>
  <c r="B274" i="22"/>
  <c r="B274" i="22" a="1"/>
  <c r="B273" i="22" a="1"/>
  <c r="B273" i="22" s="1"/>
  <c r="B272" i="22"/>
  <c r="B272" i="22" a="1"/>
  <c r="B271" i="22" a="1"/>
  <c r="B271" i="22" s="1"/>
  <c r="B270" i="22"/>
  <c r="B270" i="22" a="1"/>
  <c r="B269" i="22" a="1"/>
  <c r="B269" i="22" s="1"/>
  <c r="B268" i="22"/>
  <c r="B268" i="22" a="1"/>
  <c r="B267" i="22" a="1"/>
  <c r="B267" i="22" s="1"/>
  <c r="B266" i="22"/>
  <c r="B266" i="22" a="1"/>
  <c r="B265" i="22" a="1"/>
  <c r="B265" i="22" s="1"/>
  <c r="B264" i="22"/>
  <c r="B264" i="22" a="1"/>
  <c r="B263" i="22" a="1"/>
  <c r="B263" i="22" s="1"/>
  <c r="B262" i="22"/>
  <c r="B262" i="22" a="1"/>
  <c r="B261" i="22" a="1"/>
  <c r="B261" i="22" s="1"/>
  <c r="B260" i="22"/>
  <c r="B260" i="22" a="1"/>
  <c r="B259" i="22" a="1"/>
  <c r="B259" i="22" s="1"/>
  <c r="B258" i="22"/>
  <c r="B258" i="22" a="1"/>
  <c r="B257" i="22" a="1"/>
  <c r="B257" i="22" s="1"/>
  <c r="B256" i="22"/>
  <c r="B256" i="22" a="1"/>
  <c r="B255" i="22" a="1"/>
  <c r="B255" i="22" s="1"/>
  <c r="B254" i="22"/>
  <c r="B254" i="22" a="1"/>
  <c r="B253" i="22" a="1"/>
  <c r="B253" i="22" s="1"/>
  <c r="B252" i="22"/>
  <c r="B252" i="22" a="1"/>
  <c r="B251" i="22" a="1"/>
  <c r="B251" i="22" s="1"/>
  <c r="B250" i="22"/>
  <c r="B250" i="22" a="1"/>
  <c r="B249" i="22" a="1"/>
  <c r="B249" i="22" s="1"/>
  <c r="B248" i="22"/>
  <c r="B248" i="22" a="1"/>
  <c r="B247" i="22" a="1"/>
  <c r="B247" i="22" s="1"/>
  <c r="B246" i="22"/>
  <c r="B246" i="22" a="1"/>
  <c r="B245" i="22" a="1"/>
  <c r="B245" i="22" s="1"/>
  <c r="B244" i="22"/>
  <c r="B244" i="22" a="1"/>
  <c r="B243" i="22" a="1"/>
  <c r="B243" i="22" s="1"/>
  <c r="B242" i="22"/>
  <c r="B242" i="22" a="1"/>
  <c r="B241" i="22" a="1"/>
  <c r="B241" i="22" s="1"/>
  <c r="B240" i="22"/>
  <c r="B240" i="22" a="1"/>
  <c r="B239" i="22" a="1"/>
  <c r="B239" i="22" s="1"/>
  <c r="B238" i="22"/>
  <c r="B238" i="22" a="1"/>
  <c r="B237" i="22" a="1"/>
  <c r="B237" i="22" s="1"/>
  <c r="B236" i="22"/>
  <c r="B236" i="22" a="1"/>
  <c r="B235" i="22" a="1"/>
  <c r="B235" i="22" s="1"/>
  <c r="B234" i="22"/>
  <c r="B234" i="22" a="1"/>
  <c r="B233" i="22" a="1"/>
  <c r="B233" i="22" s="1"/>
  <c r="B232" i="22"/>
  <c r="B232" i="22" a="1"/>
  <c r="B231" i="22" a="1"/>
  <c r="B231" i="22" s="1"/>
  <c r="B230" i="22"/>
  <c r="B230" i="22" a="1"/>
  <c r="B229" i="22" a="1"/>
  <c r="B229" i="22" s="1"/>
  <c r="B228" i="22"/>
  <c r="B228" i="22" a="1"/>
  <c r="B227" i="22" a="1"/>
  <c r="B227" i="22" s="1"/>
  <c r="B226" i="22"/>
  <c r="B226" i="22" a="1"/>
  <c r="B225" i="22" a="1"/>
  <c r="B225" i="22" s="1"/>
  <c r="B224" i="22"/>
  <c r="B224" i="22" a="1"/>
  <c r="B223" i="22" a="1"/>
  <c r="B223" i="22" s="1"/>
  <c r="B222" i="22"/>
  <c r="B222" i="22" a="1"/>
  <c r="B221" i="22" a="1"/>
  <c r="B221" i="22" s="1"/>
  <c r="B220" i="22"/>
  <c r="B220" i="22" a="1"/>
  <c r="B219" i="22" a="1"/>
  <c r="B219" i="22" s="1"/>
  <c r="B218" i="22"/>
  <c r="B218" i="22" a="1"/>
  <c r="B217" i="22" a="1"/>
  <c r="B217" i="22" s="1"/>
  <c r="B216" i="22"/>
  <c r="B216" i="22" a="1"/>
  <c r="B215" i="22" a="1"/>
  <c r="B215" i="22" s="1"/>
  <c r="B214" i="22"/>
  <c r="B214" i="22" a="1"/>
  <c r="B213" i="22" a="1"/>
  <c r="B213" i="22" s="1"/>
  <c r="B212" i="22"/>
  <c r="B212" i="22" a="1"/>
  <c r="B211" i="22" a="1"/>
  <c r="B211" i="22" s="1"/>
  <c r="B210" i="22"/>
  <c r="B210" i="22" a="1"/>
  <c r="B209" i="22" a="1"/>
  <c r="B209" i="22" s="1"/>
  <c r="B208" i="22"/>
  <c r="B208" i="22" a="1"/>
  <c r="B207" i="22" a="1"/>
  <c r="B207" i="22" s="1"/>
  <c r="B206" i="22"/>
  <c r="B206" i="22" a="1"/>
  <c r="B205" i="22" a="1"/>
  <c r="B205" i="22" s="1"/>
  <c r="B204" i="22"/>
  <c r="B204" i="22" a="1"/>
  <c r="B203" i="22" a="1"/>
  <c r="B203" i="22" s="1"/>
  <c r="B202" i="22"/>
  <c r="B202" i="22" a="1"/>
  <c r="B201" i="22" a="1"/>
  <c r="B201" i="22" s="1"/>
  <c r="B200" i="22"/>
  <c r="B200" i="22" a="1"/>
  <c r="B199" i="22" a="1"/>
  <c r="B199" i="22" s="1"/>
  <c r="B198" i="22"/>
  <c r="B198" i="22" a="1"/>
  <c r="B197" i="22" a="1"/>
  <c r="B197" i="22" s="1"/>
  <c r="B196" i="22"/>
  <c r="B196" i="22" a="1"/>
  <c r="B195" i="22" a="1"/>
  <c r="B195" i="22" s="1"/>
  <c r="B194" i="22"/>
  <c r="B194" i="22" a="1"/>
  <c r="B193" i="22" a="1"/>
  <c r="B193" i="22" s="1"/>
  <c r="B192" i="22"/>
  <c r="B192" i="22" a="1"/>
  <c r="B191" i="22" a="1"/>
  <c r="B191" i="22" s="1"/>
  <c r="B190" i="22"/>
  <c r="B190" i="22" a="1"/>
  <c r="B189" i="22" a="1"/>
  <c r="B189" i="22" s="1"/>
  <c r="B188" i="22"/>
  <c r="B188" i="22" a="1"/>
  <c r="B187" i="22" a="1"/>
  <c r="B187" i="22" s="1"/>
  <c r="B186" i="22"/>
  <c r="B186" i="22" a="1"/>
  <c r="B185" i="22" a="1"/>
  <c r="B185" i="22" s="1"/>
  <c r="B184" i="22"/>
  <c r="B184" i="22" a="1"/>
  <c r="B183" i="22" a="1"/>
  <c r="B183" i="22" s="1"/>
  <c r="B182" i="22"/>
  <c r="B182" i="22" a="1"/>
  <c r="B181" i="22" a="1"/>
  <c r="B181" i="22" s="1"/>
  <c r="B180" i="22"/>
  <c r="B180" i="22" a="1"/>
  <c r="B179" i="22" a="1"/>
  <c r="B179" i="22" s="1"/>
  <c r="B178" i="22"/>
  <c r="B178" i="22" a="1"/>
  <c r="B177" i="22" a="1"/>
  <c r="B177" i="22" s="1"/>
  <c r="B176" i="22"/>
  <c r="B176" i="22" a="1"/>
  <c r="B175" i="22" a="1"/>
  <c r="B175" i="22" s="1"/>
  <c r="B174" i="22"/>
  <c r="B174" i="22" a="1"/>
  <c r="B173" i="22" a="1"/>
  <c r="B173" i="22" s="1"/>
  <c r="B172" i="22"/>
  <c r="B172" i="22" a="1"/>
  <c r="B171" i="22" a="1"/>
  <c r="B171" i="22" s="1"/>
  <c r="B170" i="22"/>
  <c r="B170" i="22" a="1"/>
  <c r="B169" i="22" a="1"/>
  <c r="B169" i="22" s="1"/>
  <c r="B168" i="22"/>
  <c r="B168" i="22" a="1"/>
  <c r="B167" i="22" a="1"/>
  <c r="B167" i="22" s="1"/>
  <c r="B166" i="22"/>
  <c r="B166" i="22" a="1"/>
  <c r="B165" i="22" a="1"/>
  <c r="B165" i="22" s="1"/>
  <c r="B164" i="22"/>
  <c r="B164" i="22" a="1"/>
  <c r="B163" i="22" a="1"/>
  <c r="B163" i="22" s="1"/>
  <c r="B162" i="22"/>
  <c r="B162" i="22" a="1"/>
  <c r="B161" i="22" a="1"/>
  <c r="B161" i="22" s="1"/>
  <c r="B160" i="22"/>
  <c r="B160" i="22" a="1"/>
  <c r="B159" i="22" a="1"/>
  <c r="B159" i="22" s="1"/>
  <c r="B158" i="22"/>
  <c r="B158" i="22" a="1"/>
  <c r="B157" i="22" a="1"/>
  <c r="B157" i="22" s="1"/>
  <c r="B156" i="22"/>
  <c r="B156" i="22" a="1"/>
  <c r="B155" i="22" a="1"/>
  <c r="B155" i="22" s="1"/>
  <c r="B154" i="22"/>
  <c r="B154" i="22" a="1"/>
  <c r="B153" i="22" a="1"/>
  <c r="B153" i="22" s="1"/>
  <c r="B152" i="22"/>
  <c r="B152" i="22" a="1"/>
  <c r="B151" i="22" a="1"/>
  <c r="B151" i="22" s="1"/>
  <c r="B150" i="22"/>
  <c r="B150" i="22" a="1"/>
  <c r="B149" i="22" a="1"/>
  <c r="B149" i="22" s="1"/>
  <c r="B148" i="22"/>
  <c r="B148" i="22" a="1"/>
  <c r="B147" i="22" a="1"/>
  <c r="B147" i="22" s="1"/>
  <c r="B146" i="22"/>
  <c r="B146" i="22" a="1"/>
  <c r="B145" i="22" a="1"/>
  <c r="B145" i="22" s="1"/>
  <c r="B144" i="22"/>
  <c r="B144" i="22" a="1"/>
  <c r="B143" i="22" a="1"/>
  <c r="B143" i="22" s="1"/>
  <c r="B142" i="22"/>
  <c r="B142" i="22" a="1"/>
  <c r="B141" i="22" a="1"/>
  <c r="B141" i="22" s="1"/>
  <c r="A140" i="22" a="1"/>
  <c r="A140" i="22" s="1"/>
  <c r="B140" i="22" s="1" a="1"/>
  <c r="B140" i="22" s="1"/>
  <c r="A139" i="22" a="1"/>
  <c r="A139" i="22" s="1"/>
  <c r="B139" i="22" s="1" a="1"/>
  <c r="B139" i="22" s="1"/>
  <c r="A138" i="22" a="1"/>
  <c r="A138" i="22" s="1"/>
  <c r="B138" i="22" s="1" a="1"/>
  <c r="B138" i="22" s="1"/>
  <c r="A137" i="22" a="1"/>
  <c r="A137" i="22" s="1"/>
  <c r="B137" i="22" s="1" a="1"/>
  <c r="B137" i="22" s="1"/>
  <c r="A136" i="22" a="1"/>
  <c r="A136" i="22" s="1"/>
  <c r="B136" i="22" s="1" a="1"/>
  <c r="B136" i="22" s="1"/>
  <c r="A135" i="22" a="1"/>
  <c r="A135" i="22" s="1"/>
  <c r="B135" i="22" s="1" a="1"/>
  <c r="B135" i="22" s="1"/>
  <c r="A134" i="22" a="1"/>
  <c r="A134" i="22" s="1"/>
  <c r="B134" i="22" s="1" a="1"/>
  <c r="B134" i="22" s="1"/>
  <c r="A133" i="22" a="1"/>
  <c r="A133" i="22" s="1"/>
  <c r="B133" i="22" s="1" a="1"/>
  <c r="B133" i="22" s="1"/>
  <c r="A132" i="22" a="1"/>
  <c r="A132" i="22" s="1"/>
  <c r="B132" i="22" s="1" a="1"/>
  <c r="B132" i="22" s="1"/>
  <c r="A131" i="22" a="1"/>
  <c r="A131" i="22" s="1"/>
  <c r="B131" i="22" s="1" a="1"/>
  <c r="B131" i="22" s="1"/>
  <c r="A130" i="22" a="1"/>
  <c r="A130" i="22" s="1"/>
  <c r="B130" i="22" s="1" a="1"/>
  <c r="B130" i="22" s="1"/>
  <c r="A129" i="22" a="1"/>
  <c r="A129" i="22" s="1"/>
  <c r="B129" i="22" s="1" a="1"/>
  <c r="B129" i="22" s="1"/>
  <c r="A128" i="22" a="1"/>
  <c r="A128" i="22" s="1"/>
  <c r="B128" i="22" s="1" a="1"/>
  <c r="B128" i="22" s="1"/>
  <c r="A127" i="22" a="1"/>
  <c r="A127" i="22" s="1"/>
  <c r="B127" i="22" s="1" a="1"/>
  <c r="B127" i="22" s="1"/>
  <c r="A126" i="22" a="1"/>
  <c r="A126" i="22" s="1"/>
  <c r="B126" i="22" s="1" a="1"/>
  <c r="B126" i="22" s="1"/>
  <c r="A125" i="22" a="1"/>
  <c r="A125" i="22" s="1"/>
  <c r="B125" i="22" s="1" a="1"/>
  <c r="B125" i="22" s="1"/>
  <c r="A124" i="22" a="1"/>
  <c r="A124" i="22" s="1"/>
  <c r="B124" i="22" s="1" a="1"/>
  <c r="B124" i="22" s="1"/>
  <c r="A123" i="22" a="1"/>
  <c r="A123" i="22" s="1"/>
  <c r="B123" i="22" s="1" a="1"/>
  <c r="B123" i="22" s="1"/>
  <c r="A122" i="22" a="1"/>
  <c r="A122" i="22" s="1"/>
  <c r="B122" i="22" s="1" a="1"/>
  <c r="B122" i="22" s="1"/>
  <c r="A121" i="22" a="1"/>
  <c r="A121" i="22" s="1"/>
  <c r="B121" i="22" s="1" a="1"/>
  <c r="B121" i="22" s="1"/>
  <c r="A120" i="22" a="1"/>
  <c r="A120" i="22" s="1"/>
  <c r="B120" i="22" s="1" a="1"/>
  <c r="B120" i="22" s="1"/>
  <c r="A119" i="22" a="1"/>
  <c r="A119" i="22" s="1"/>
  <c r="B119" i="22" s="1" a="1"/>
  <c r="B119" i="22" s="1"/>
  <c r="A118" i="22" a="1"/>
  <c r="A118" i="22" s="1"/>
  <c r="B118" i="22" s="1" a="1"/>
  <c r="B118" i="22" s="1"/>
  <c r="A117" i="22" a="1"/>
  <c r="A117" i="22" s="1"/>
  <c r="B117" i="22" s="1" a="1"/>
  <c r="B117" i="22" s="1"/>
  <c r="A116" i="22" a="1"/>
  <c r="A116" i="22" s="1"/>
  <c r="B116" i="22" s="1" a="1"/>
  <c r="B116" i="22" s="1"/>
  <c r="A115" i="22" a="1"/>
  <c r="A115" i="22" s="1"/>
  <c r="B115" i="22" s="1" a="1"/>
  <c r="B115" i="22" s="1"/>
  <c r="A114" i="22" a="1"/>
  <c r="A114" i="22" s="1"/>
  <c r="B114" i="22" s="1" a="1"/>
  <c r="B114" i="22" s="1"/>
  <c r="A113" i="22" a="1"/>
  <c r="A113" i="22" s="1"/>
  <c r="B113" i="22" s="1" a="1"/>
  <c r="B113" i="22" s="1"/>
  <c r="A112" i="22" a="1"/>
  <c r="A112" i="22" s="1"/>
  <c r="B112" i="22" s="1" a="1"/>
  <c r="B112" i="22" s="1"/>
  <c r="A111" i="22" a="1"/>
  <c r="A111" i="22" s="1"/>
  <c r="B111" i="22" s="1" a="1"/>
  <c r="B111" i="22" s="1"/>
  <c r="A110" i="22" a="1"/>
  <c r="A110" i="22" s="1"/>
  <c r="B110" i="22" s="1" a="1"/>
  <c r="B110" i="22" s="1"/>
  <c r="A109" i="22" a="1"/>
  <c r="A109" i="22" s="1"/>
  <c r="B109" i="22" s="1" a="1"/>
  <c r="B109" i="22" s="1"/>
  <c r="A108" i="22" a="1"/>
  <c r="A108" i="22" s="1"/>
  <c r="B108" i="22" s="1" a="1"/>
  <c r="B108" i="22" s="1"/>
  <c r="A107" i="22" a="1"/>
  <c r="A107" i="22" s="1"/>
  <c r="B107" i="22" s="1" a="1"/>
  <c r="B107" i="22" s="1"/>
  <c r="A106" i="22" a="1"/>
  <c r="A106" i="22" s="1"/>
  <c r="B106" i="22" s="1" a="1"/>
  <c r="B106" i="22" s="1"/>
  <c r="A105" i="22" a="1"/>
  <c r="A105" i="22" s="1"/>
  <c r="B105" i="22" s="1" a="1"/>
  <c r="B105" i="22" s="1"/>
  <c r="A104" i="22" a="1"/>
  <c r="A104" i="22" s="1"/>
  <c r="B104" i="22" s="1" a="1"/>
  <c r="B104" i="22" s="1"/>
  <c r="A103" i="22" a="1"/>
  <c r="A103" i="22" s="1"/>
  <c r="B103" i="22" s="1" a="1"/>
  <c r="B103" i="22" s="1"/>
  <c r="A102" i="22" a="1"/>
  <c r="A102" i="22" s="1"/>
  <c r="B102" i="22" s="1" a="1"/>
  <c r="B102" i="22" s="1"/>
  <c r="A101" i="22" a="1"/>
  <c r="A101" i="22" s="1"/>
  <c r="B101" i="22" s="1" a="1"/>
  <c r="B101" i="22" s="1"/>
  <c r="A100" i="22" a="1"/>
  <c r="A100" i="22" s="1"/>
  <c r="B100" i="22" s="1" a="1"/>
  <c r="B100" i="22" s="1"/>
  <c r="A99" i="22" a="1"/>
  <c r="A99" i="22" s="1"/>
  <c r="B99" i="22" s="1" a="1"/>
  <c r="B99" i="22" s="1"/>
  <c r="A98" i="22" a="1"/>
  <c r="A98" i="22" s="1"/>
  <c r="B98" i="22" s="1" a="1"/>
  <c r="B98" i="22" s="1"/>
  <c r="A97" i="22" a="1"/>
  <c r="A97" i="22" s="1"/>
  <c r="B97" i="22" s="1" a="1"/>
  <c r="B97" i="22" s="1"/>
  <c r="A96" i="22" a="1"/>
  <c r="A96" i="22" s="1"/>
  <c r="B96" i="22" s="1" a="1"/>
  <c r="B96" i="22" s="1"/>
  <c r="A95" i="22" a="1"/>
  <c r="A95" i="22" s="1"/>
  <c r="B95" i="22" s="1" a="1"/>
  <c r="B95" i="22" s="1"/>
  <c r="A94" i="22" a="1"/>
  <c r="A94" i="22" s="1"/>
  <c r="B94" i="22" s="1" a="1"/>
  <c r="B94" i="22" s="1"/>
  <c r="A93" i="22" a="1"/>
  <c r="A93" i="22" s="1"/>
  <c r="B93" i="22" s="1" a="1"/>
  <c r="B93" i="22" s="1"/>
  <c r="A92" i="22" a="1"/>
  <c r="A92" i="22" s="1"/>
  <c r="B92" i="22" s="1" a="1"/>
  <c r="B92" i="22" s="1"/>
  <c r="A91" i="22" a="1"/>
  <c r="A91" i="22" s="1"/>
  <c r="B91" i="22" s="1" a="1"/>
  <c r="B91" i="22" s="1"/>
  <c r="A90" i="22" a="1"/>
  <c r="A90" i="22" s="1"/>
  <c r="B90" i="22" s="1" a="1"/>
  <c r="B90" i="22" s="1"/>
  <c r="A89" i="22" a="1"/>
  <c r="A89" i="22" s="1"/>
  <c r="B89" i="22" s="1" a="1"/>
  <c r="B89" i="22" s="1"/>
  <c r="A88" i="22" a="1"/>
  <c r="A88" i="22" s="1"/>
  <c r="B88" i="22" s="1" a="1"/>
  <c r="B88" i="22" s="1"/>
  <c r="A87" i="22" a="1"/>
  <c r="A87" i="22" s="1"/>
  <c r="B87" i="22" s="1" a="1"/>
  <c r="B87" i="22" s="1"/>
  <c r="A86" i="22" a="1"/>
  <c r="A86" i="22" s="1"/>
  <c r="B86" i="22" s="1" a="1"/>
  <c r="B86" i="22" s="1"/>
  <c r="A85" i="22" a="1"/>
  <c r="A85" i="22" s="1"/>
  <c r="B85" i="22" s="1" a="1"/>
  <c r="B85" i="22" s="1"/>
  <c r="A84" i="22" a="1"/>
  <c r="A84" i="22" s="1"/>
  <c r="B84" i="22" s="1" a="1"/>
  <c r="B84" i="22" s="1"/>
  <c r="A83" i="22" a="1"/>
  <c r="A83" i="22" s="1"/>
  <c r="B83" i="22" s="1" a="1"/>
  <c r="B83" i="22" s="1"/>
  <c r="A82" i="22" a="1"/>
  <c r="A82" i="22" s="1"/>
  <c r="B82" i="22" s="1" a="1"/>
  <c r="B82" i="22" s="1"/>
  <c r="A81" i="22" a="1"/>
  <c r="A81" i="22" s="1"/>
  <c r="B81" i="22" s="1" a="1"/>
  <c r="B81" i="22" s="1"/>
  <c r="A80" i="22" a="1"/>
  <c r="A80" i="22" s="1"/>
  <c r="B80" i="22" s="1" a="1"/>
  <c r="B80" i="22" s="1"/>
  <c r="A79" i="22" a="1"/>
  <c r="A79" i="22" s="1"/>
  <c r="B79" i="22" s="1" a="1"/>
  <c r="B79" i="22" s="1"/>
  <c r="A78" i="22" a="1"/>
  <c r="A78" i="22" s="1"/>
  <c r="B78" i="22" s="1" a="1"/>
  <c r="B78" i="22" s="1"/>
  <c r="A77" i="22" a="1"/>
  <c r="A77" i="22" s="1"/>
  <c r="B77" i="22" s="1" a="1"/>
  <c r="B77" i="22" s="1"/>
  <c r="A76" i="22" a="1"/>
  <c r="A76" i="22" s="1"/>
  <c r="B76" i="22" s="1" a="1"/>
  <c r="B76" i="22" s="1"/>
  <c r="A75" i="22" a="1"/>
  <c r="A75" i="22" s="1"/>
  <c r="B75" i="22" s="1" a="1"/>
  <c r="B75" i="22" s="1"/>
  <c r="A74" i="22" a="1"/>
  <c r="A74" i="22" s="1"/>
  <c r="B74" i="22" s="1" a="1"/>
  <c r="B74" i="22" s="1"/>
  <c r="A73" i="22" a="1"/>
  <c r="A73" i="22" s="1"/>
  <c r="B73" i="22" s="1" a="1"/>
  <c r="B73" i="22" s="1"/>
  <c r="A72" i="22" a="1"/>
  <c r="A72" i="22" s="1"/>
  <c r="B72" i="22" s="1" a="1"/>
  <c r="B72" i="22" s="1"/>
  <c r="A71" i="22" a="1"/>
  <c r="A71" i="22" s="1"/>
  <c r="B71" i="22" s="1" a="1"/>
  <c r="B71" i="22" s="1"/>
  <c r="A70" i="22" a="1"/>
  <c r="A70" i="22" s="1"/>
  <c r="B70" i="22" s="1" a="1"/>
  <c r="B70" i="22" s="1"/>
  <c r="A69" i="22" a="1"/>
  <c r="A69" i="22" s="1"/>
  <c r="B69" i="22" s="1" a="1"/>
  <c r="B69" i="22" s="1"/>
  <c r="A68" i="22" a="1"/>
  <c r="A68" i="22" s="1"/>
  <c r="B68" i="22" s="1" a="1"/>
  <c r="B68" i="22" s="1"/>
  <c r="A67" i="22" a="1"/>
  <c r="A67" i="22" s="1"/>
  <c r="B67" i="22" s="1" a="1"/>
  <c r="B67" i="22" s="1"/>
  <c r="A66" i="22" a="1"/>
  <c r="A66" i="22" s="1"/>
  <c r="B66" i="22" s="1" a="1"/>
  <c r="B66" i="22" s="1"/>
  <c r="A65" i="22" a="1"/>
  <c r="A65" i="22" s="1"/>
  <c r="B65" i="22" s="1" a="1"/>
  <c r="B65" i="22" s="1"/>
  <c r="A64" i="22" a="1"/>
  <c r="A64" i="22" s="1"/>
  <c r="B64" i="22" s="1" a="1"/>
  <c r="B64" i="22" s="1"/>
  <c r="A63" i="22" a="1"/>
  <c r="A63" i="22" s="1"/>
  <c r="B63" i="22" s="1" a="1"/>
  <c r="B63" i="22" s="1"/>
  <c r="A62" i="22" a="1"/>
  <c r="A62" i="22" s="1"/>
  <c r="B62" i="22" s="1" a="1"/>
  <c r="B62" i="22" s="1"/>
  <c r="A61" i="22" a="1"/>
  <c r="A61" i="22" s="1"/>
  <c r="B61" i="22" s="1" a="1"/>
  <c r="B61" i="22" s="1"/>
  <c r="A60" i="22" a="1"/>
  <c r="A60" i="22" s="1"/>
  <c r="B60" i="22" s="1" a="1"/>
  <c r="B60" i="22" s="1"/>
  <c r="A59" i="22" a="1"/>
  <c r="A59" i="22" s="1"/>
  <c r="B59" i="22" s="1" a="1"/>
  <c r="B59" i="22" s="1"/>
  <c r="A58" i="22" a="1"/>
  <c r="A58" i="22" s="1"/>
  <c r="B58" i="22" s="1" a="1"/>
  <c r="B58" i="22" s="1"/>
  <c r="A57" i="22" a="1"/>
  <c r="A57" i="22" s="1"/>
  <c r="B57" i="22" s="1" a="1"/>
  <c r="B57" i="22" s="1"/>
  <c r="A56" i="22" a="1"/>
  <c r="A56" i="22" s="1"/>
  <c r="B56" i="22" s="1" a="1"/>
  <c r="B56" i="22" s="1"/>
  <c r="A55" i="22" a="1"/>
  <c r="A55" i="22" s="1"/>
  <c r="B55" i="22" s="1" a="1"/>
  <c r="B55" i="22" s="1"/>
  <c r="A54" i="22" a="1"/>
  <c r="A54" i="22" s="1"/>
  <c r="B54" i="22" s="1" a="1"/>
  <c r="B54" i="22" s="1"/>
  <c r="A53" i="22" a="1"/>
  <c r="A53" i="22" s="1"/>
  <c r="B53" i="22" s="1" a="1"/>
  <c r="B53" i="22" s="1"/>
  <c r="A52" i="22" a="1"/>
  <c r="A52" i="22" s="1"/>
  <c r="B52" i="22" s="1" a="1"/>
  <c r="B52" i="22" s="1"/>
  <c r="A51" i="22" a="1"/>
  <c r="A51" i="22" s="1"/>
  <c r="B51" i="22" s="1" a="1"/>
  <c r="B51" i="22" s="1"/>
  <c r="A50" i="22" a="1"/>
  <c r="A50" i="22" s="1"/>
  <c r="B50" i="22" s="1" a="1"/>
  <c r="B50" i="22" s="1"/>
  <c r="A49" i="22" a="1"/>
  <c r="A49" i="22" s="1"/>
  <c r="B49" i="22" s="1" a="1"/>
  <c r="B49" i="22" s="1"/>
  <c r="A48" i="22" a="1"/>
  <c r="A48" i="22" s="1"/>
  <c r="B48" i="22" s="1" a="1"/>
  <c r="B48" i="22" s="1"/>
  <c r="A47" i="22" a="1"/>
  <c r="A47" i="22" s="1"/>
  <c r="B47" i="22" s="1" a="1"/>
  <c r="B47" i="22" s="1"/>
  <c r="A46" i="22" a="1"/>
  <c r="A46" i="22" s="1"/>
  <c r="B46" i="22" s="1" a="1"/>
  <c r="B46" i="22" s="1"/>
  <c r="A45" i="22" a="1"/>
  <c r="A45" i="22" s="1"/>
  <c r="B45" i="22" s="1" a="1"/>
  <c r="B45" i="22" s="1"/>
  <c r="A44" i="22" a="1"/>
  <c r="A44" i="22" s="1"/>
  <c r="B44" i="22" s="1" a="1"/>
  <c r="B44" i="22" s="1"/>
  <c r="A43" i="22" a="1"/>
  <c r="A43" i="22" s="1"/>
  <c r="B43" i="22" s="1" a="1"/>
  <c r="B43" i="22" s="1"/>
  <c r="A42" i="22" a="1"/>
  <c r="A42" i="22" s="1"/>
  <c r="B42" i="22" s="1" a="1"/>
  <c r="B42" i="22" s="1"/>
  <c r="A41" i="22" a="1"/>
  <c r="A41" i="22" s="1"/>
  <c r="B41" i="22" s="1" a="1"/>
  <c r="B41" i="22" s="1"/>
  <c r="A40" i="22" a="1"/>
  <c r="A40" i="22" s="1"/>
  <c r="B40" i="22" s="1" a="1"/>
  <c r="B40" i="22" s="1"/>
  <c r="A39" i="22" a="1"/>
  <c r="A39" i="22" s="1"/>
  <c r="B39" i="22" s="1" a="1"/>
  <c r="B39" i="22" s="1"/>
  <c r="A38" i="22" a="1"/>
  <c r="A38" i="22" s="1"/>
  <c r="B38" i="22" s="1" a="1"/>
  <c r="B38" i="22" s="1"/>
  <c r="A37" i="22" a="1"/>
  <c r="A37" i="22" s="1"/>
  <c r="B37" i="22" s="1" a="1"/>
  <c r="B37" i="22" s="1"/>
  <c r="A36" i="22" a="1"/>
  <c r="A36" i="22" s="1"/>
  <c r="B36" i="22" s="1" a="1"/>
  <c r="B36" i="22" s="1"/>
  <c r="A35" i="22" a="1"/>
  <c r="A35" i="22" s="1"/>
  <c r="B35" i="22" s="1" a="1"/>
  <c r="B35" i="22" s="1"/>
  <c r="A34" i="22" a="1"/>
  <c r="A34" i="22" s="1"/>
  <c r="B34" i="22" s="1" a="1"/>
  <c r="B34" i="22" s="1"/>
  <c r="A33" i="22" a="1"/>
  <c r="A33" i="22" s="1"/>
  <c r="B33" i="22" s="1" a="1"/>
  <c r="B33" i="22" s="1"/>
  <c r="A32" i="22" a="1"/>
  <c r="A32" i="22" s="1"/>
  <c r="B32" i="22" s="1" a="1"/>
  <c r="B32" i="22" s="1"/>
  <c r="A31" i="22" a="1"/>
  <c r="A31" i="22" s="1"/>
  <c r="B31" i="22" s="1" a="1"/>
  <c r="B31" i="22" s="1"/>
  <c r="A30" i="22" a="1"/>
  <c r="A30" i="22" s="1"/>
  <c r="B30" i="22" s="1" a="1"/>
  <c r="B30" i="22" s="1"/>
  <c r="A29" i="22" a="1"/>
  <c r="A29" i="22" s="1"/>
  <c r="B29" i="22" s="1" a="1"/>
  <c r="B29" i="22" s="1"/>
  <c r="A28" i="22" a="1"/>
  <c r="A28" i="22" s="1"/>
  <c r="B28" i="22" s="1" a="1"/>
  <c r="B28" i="22" s="1"/>
  <c r="A27" i="22" a="1"/>
  <c r="A27" i="22" s="1"/>
  <c r="B27" i="22" s="1" a="1"/>
  <c r="B27" i="22" s="1"/>
  <c r="A26" i="22" a="1"/>
  <c r="A26" i="22" s="1"/>
  <c r="B26" i="22" s="1" a="1"/>
  <c r="B26" i="22" s="1"/>
  <c r="A25" i="22" a="1"/>
  <c r="A25" i="22" s="1"/>
  <c r="B25" i="22" s="1" a="1"/>
  <c r="B25" i="22" s="1"/>
  <c r="A24" i="22" a="1"/>
  <c r="A24" i="22" s="1"/>
  <c r="B24" i="22" s="1" a="1"/>
  <c r="B24" i="22" s="1"/>
  <c r="A23" i="22" a="1"/>
  <c r="A23" i="22" s="1"/>
  <c r="B23" i="22" s="1" a="1"/>
  <c r="B23" i="22" s="1"/>
  <c r="A22" i="22" a="1"/>
  <c r="A22" i="22" s="1"/>
  <c r="B22" i="22" s="1" a="1"/>
  <c r="B22" i="22" s="1"/>
  <c r="A21" i="22" a="1"/>
  <c r="A21" i="22" s="1"/>
  <c r="B21" i="22" s="1" a="1"/>
  <c r="B21" i="22" s="1"/>
  <c r="A20" i="22" a="1"/>
  <c r="A20" i="22" s="1"/>
  <c r="B20" i="22" s="1" a="1"/>
  <c r="B20" i="22" s="1"/>
  <c r="A19" i="22" a="1"/>
  <c r="A19" i="22" s="1"/>
  <c r="B19" i="22" s="1" a="1"/>
  <c r="B19" i="22" s="1"/>
  <c r="A18" i="22" a="1"/>
  <c r="A18" i="22" s="1"/>
  <c r="B18" i="22" s="1" a="1"/>
  <c r="B18" i="22" s="1"/>
  <c r="A17" i="22" a="1"/>
  <c r="A17" i="22" s="1"/>
  <c r="B17" i="22" s="1" a="1"/>
  <c r="B17" i="22" s="1"/>
  <c r="A16" i="22" a="1"/>
  <c r="A16" i="22" s="1"/>
  <c r="B16" i="22" s="1" a="1"/>
  <c r="B16" i="22" s="1"/>
  <c r="A15" i="22" a="1"/>
  <c r="A15" i="22" s="1"/>
  <c r="B15" i="22" s="1" a="1"/>
  <c r="B15" i="22" s="1"/>
  <c r="A14" i="22" a="1"/>
  <c r="A14" i="22" s="1"/>
  <c r="B14" i="22" s="1" a="1"/>
  <c r="B14" i="22" s="1"/>
  <c r="B13" i="22"/>
  <c r="B13" i="22" a="1"/>
  <c r="A12" i="22"/>
  <c r="B12" i="22" s="1" a="1"/>
  <c r="B12" i="22" s="1"/>
  <c r="A12" i="22" a="1"/>
  <c r="A11" i="22" a="1"/>
  <c r="A11" i="22" s="1"/>
  <c r="B11" i="22" s="1" a="1"/>
  <c r="B11" i="22" s="1"/>
  <c r="B3" i="22"/>
  <c r="B3" i="21"/>
  <c r="A2" i="18"/>
  <c r="H336" i="20"/>
  <c r="H335" i="20"/>
  <c r="H334" i="20"/>
  <c r="H333" i="20"/>
  <c r="H332" i="20"/>
  <c r="H331" i="20"/>
  <c r="H330" i="20"/>
  <c r="H329" i="20"/>
  <c r="H328" i="20"/>
  <c r="H327" i="20"/>
  <c r="H326" i="20"/>
  <c r="H325" i="20"/>
  <c r="H324" i="20"/>
  <c r="H323" i="20"/>
  <c r="H322" i="20"/>
  <c r="H321" i="20"/>
  <c r="H320" i="20"/>
  <c r="H319" i="20"/>
  <c r="H318" i="20"/>
  <c r="H317" i="20"/>
  <c r="H316" i="20"/>
  <c r="H315" i="20"/>
  <c r="H314" i="20"/>
  <c r="H313" i="20"/>
  <c r="H312" i="20"/>
  <c r="H311" i="20"/>
  <c r="H310" i="20"/>
  <c r="H309" i="20"/>
  <c r="H308" i="20"/>
  <c r="H307" i="20"/>
  <c r="H306" i="20"/>
  <c r="H305" i="20"/>
  <c r="H304" i="20"/>
  <c r="H303" i="20"/>
  <c r="H302" i="20"/>
  <c r="H301" i="20"/>
  <c r="H300" i="20"/>
  <c r="H299" i="20"/>
  <c r="H298" i="20"/>
  <c r="H297" i="20"/>
  <c r="H296" i="20"/>
  <c r="H295" i="20"/>
  <c r="H294" i="20"/>
  <c r="H293" i="20"/>
  <c r="H292" i="20"/>
  <c r="H291" i="20"/>
  <c r="H290" i="20"/>
  <c r="H289" i="20"/>
  <c r="H288" i="20"/>
  <c r="H287" i="20"/>
  <c r="H286" i="20"/>
  <c r="H285" i="20"/>
  <c r="H284" i="20"/>
  <c r="H283" i="20"/>
  <c r="H282" i="20"/>
  <c r="H281" i="20"/>
  <c r="H280" i="20"/>
  <c r="H279" i="20"/>
  <c r="H278" i="20"/>
  <c r="H277" i="20"/>
  <c r="H276" i="20"/>
  <c r="H275" i="20"/>
  <c r="H274" i="20"/>
  <c r="H273" i="20"/>
  <c r="H272" i="20"/>
  <c r="H271" i="20"/>
  <c r="H270" i="20"/>
  <c r="H269" i="20"/>
  <c r="H268" i="20"/>
  <c r="H267" i="20"/>
  <c r="H266" i="20"/>
  <c r="H265" i="20"/>
  <c r="H264" i="20"/>
  <c r="H263" i="20"/>
  <c r="H262" i="20"/>
  <c r="H261" i="20"/>
  <c r="H260" i="20"/>
  <c r="H259" i="20"/>
  <c r="H258" i="20"/>
  <c r="H257" i="20"/>
  <c r="H256" i="20"/>
  <c r="H255" i="20"/>
  <c r="H254" i="20"/>
  <c r="H253" i="20"/>
  <c r="H252" i="20"/>
  <c r="H251" i="20"/>
  <c r="H250" i="20"/>
  <c r="H249" i="20"/>
  <c r="H248" i="20"/>
  <c r="H247" i="20"/>
  <c r="H246" i="20"/>
  <c r="H245" i="20"/>
  <c r="H244" i="20"/>
  <c r="H243" i="20"/>
  <c r="H242" i="20"/>
  <c r="H241" i="20"/>
  <c r="H240" i="20"/>
  <c r="H239" i="20"/>
  <c r="H238" i="20"/>
  <c r="H237" i="20"/>
  <c r="H236" i="20"/>
  <c r="H235" i="20"/>
  <c r="H234" i="20"/>
  <c r="H233" i="20"/>
  <c r="H232" i="20"/>
  <c r="H231" i="20"/>
  <c r="H230" i="20"/>
  <c r="H229" i="20"/>
  <c r="H228" i="20"/>
  <c r="H227" i="20"/>
  <c r="H226" i="20"/>
  <c r="H225" i="20"/>
  <c r="H224" i="20"/>
  <c r="H223" i="20"/>
  <c r="H222" i="20"/>
  <c r="H221" i="20"/>
  <c r="H220" i="20"/>
  <c r="H219" i="20"/>
  <c r="H218" i="20"/>
  <c r="H217" i="20"/>
  <c r="H216" i="20"/>
  <c r="H215" i="20"/>
  <c r="H214" i="20"/>
  <c r="H213" i="20"/>
  <c r="H212" i="20"/>
  <c r="H211" i="20"/>
  <c r="H210" i="20"/>
  <c r="H209" i="20"/>
  <c r="H208" i="20"/>
  <c r="H207" i="20"/>
  <c r="H206" i="20"/>
  <c r="H205" i="20"/>
  <c r="H204" i="20"/>
  <c r="H203" i="20"/>
  <c r="H202" i="20"/>
  <c r="H201" i="20"/>
  <c r="H200" i="20"/>
  <c r="H199" i="20"/>
  <c r="H198" i="20"/>
  <c r="H197" i="20"/>
  <c r="H196" i="20"/>
  <c r="H195" i="20"/>
  <c r="H194" i="20"/>
  <c r="H193" i="20"/>
  <c r="H192" i="20"/>
  <c r="H191" i="20"/>
  <c r="H190" i="20"/>
  <c r="H189" i="20"/>
  <c r="H188" i="20"/>
  <c r="H187" i="20"/>
  <c r="H186" i="20"/>
  <c r="H185" i="20"/>
  <c r="H184" i="20"/>
  <c r="H183" i="20"/>
  <c r="H182" i="20"/>
  <c r="H181" i="20"/>
  <c r="H180" i="20"/>
  <c r="H179" i="20"/>
  <c r="H178" i="20"/>
  <c r="H177" i="20"/>
  <c r="H176" i="20"/>
  <c r="H175" i="20"/>
  <c r="H174" i="20"/>
  <c r="H173" i="20"/>
  <c r="H172" i="20"/>
  <c r="H171" i="20"/>
  <c r="H170" i="20"/>
  <c r="H169" i="20"/>
  <c r="H168" i="20"/>
  <c r="H167" i="20"/>
  <c r="H166" i="20"/>
  <c r="H165" i="20"/>
  <c r="H164" i="20"/>
  <c r="H163" i="20"/>
  <c r="H162" i="20"/>
  <c r="H161" i="20"/>
  <c r="H160" i="20"/>
  <c r="H159" i="20"/>
  <c r="H158" i="20"/>
  <c r="H157" i="20"/>
  <c r="H156" i="20"/>
  <c r="H155" i="20"/>
  <c r="H154" i="20"/>
  <c r="H153" i="20"/>
  <c r="H152" i="20"/>
  <c r="H151" i="20"/>
  <c r="H150" i="20"/>
  <c r="H149" i="20"/>
  <c r="H148" i="20"/>
  <c r="H147" i="20"/>
  <c r="H146" i="20"/>
  <c r="H145" i="20"/>
  <c r="H144" i="20"/>
  <c r="H143" i="20"/>
  <c r="H142" i="20"/>
  <c r="H141" i="20"/>
  <c r="H140" i="20"/>
  <c r="H139" i="20"/>
  <c r="H138" i="20"/>
  <c r="H137" i="20"/>
  <c r="H136" i="20"/>
  <c r="H135" i="20"/>
  <c r="H134" i="20"/>
  <c r="H133" i="20"/>
  <c r="H132" i="20"/>
  <c r="H131" i="20"/>
  <c r="H130" i="20"/>
  <c r="H129" i="20"/>
  <c r="H128" i="20"/>
  <c r="H127" i="20"/>
  <c r="H126" i="20"/>
  <c r="H125" i="20"/>
  <c r="H124" i="20"/>
  <c r="H123" i="20"/>
  <c r="H122" i="20"/>
  <c r="H121" i="20"/>
  <c r="H120" i="20"/>
  <c r="H119" i="20"/>
  <c r="H118" i="20"/>
  <c r="H117" i="20"/>
  <c r="H116" i="20"/>
  <c r="H115" i="20"/>
  <c r="H114" i="20"/>
  <c r="H113" i="20"/>
  <c r="H112" i="20"/>
  <c r="H111" i="20"/>
  <c r="H110" i="20"/>
  <c r="H109" i="20"/>
  <c r="H108" i="20"/>
  <c r="H107" i="20"/>
  <c r="H106" i="20"/>
  <c r="H105" i="20"/>
  <c r="H104" i="20"/>
  <c r="H103" i="20"/>
  <c r="H102" i="20"/>
  <c r="H101" i="20"/>
  <c r="H100" i="20"/>
  <c r="H99" i="20"/>
  <c r="H98" i="20"/>
  <c r="H97" i="20"/>
  <c r="H96" i="20"/>
  <c r="H95" i="20"/>
  <c r="H94" i="20"/>
  <c r="H93" i="20"/>
  <c r="H92" i="20"/>
  <c r="H91" i="20"/>
  <c r="H90" i="20"/>
  <c r="H89" i="20"/>
  <c r="H88" i="20"/>
  <c r="H87" i="20"/>
  <c r="H86" i="20"/>
  <c r="H85" i="20"/>
  <c r="H84" i="20"/>
  <c r="H83" i="20"/>
  <c r="H82" i="20"/>
  <c r="H81" i="20"/>
  <c r="H80" i="20"/>
  <c r="H79" i="20"/>
  <c r="H78" i="20"/>
  <c r="H77" i="20"/>
  <c r="H76" i="20"/>
  <c r="H75" i="20"/>
  <c r="H74" i="20"/>
  <c r="H73" i="20"/>
  <c r="H72" i="20"/>
  <c r="H71" i="20"/>
  <c r="H70" i="20"/>
  <c r="H69" i="20"/>
  <c r="H68" i="20"/>
  <c r="H67" i="20"/>
  <c r="H66" i="20"/>
  <c r="H65" i="20"/>
  <c r="H64" i="20"/>
  <c r="H63" i="20"/>
  <c r="H62" i="20"/>
  <c r="H61" i="20"/>
  <c r="H60" i="20"/>
  <c r="H59" i="20"/>
  <c r="H58" i="20"/>
  <c r="H57" i="20"/>
  <c r="H56" i="20"/>
  <c r="H55" i="20"/>
  <c r="H54" i="20"/>
  <c r="H53" i="20"/>
  <c r="H52" i="20"/>
  <c r="H51" i="20"/>
  <c r="H50" i="20"/>
  <c r="H49" i="20"/>
  <c r="H48" i="20"/>
  <c r="H47" i="20"/>
  <c r="H46" i="20"/>
  <c r="H45" i="20"/>
  <c r="H44" i="20"/>
  <c r="H43" i="20"/>
  <c r="H42" i="20"/>
  <c r="H41" i="20"/>
  <c r="H40" i="20"/>
  <c r="H39" i="20"/>
  <c r="H38" i="20"/>
  <c r="H37" i="20"/>
  <c r="H36" i="20"/>
  <c r="H35" i="20"/>
  <c r="H34" i="20"/>
  <c r="H33" i="20"/>
  <c r="H32" i="20"/>
  <c r="H31" i="20"/>
  <c r="H30" i="20"/>
  <c r="H29" i="20"/>
  <c r="H28" i="20"/>
  <c r="H27" i="20"/>
  <c r="H26" i="20"/>
  <c r="H25" i="20"/>
  <c r="H24" i="20"/>
  <c r="H23" i="20"/>
  <c r="H22" i="20"/>
  <c r="H21" i="20"/>
  <c r="B1004" i="19"/>
  <c r="B1004" i="19" a="1"/>
  <c r="B1003" i="19" a="1"/>
  <c r="B1003" i="19" s="1"/>
  <c r="B1002" i="19"/>
  <c r="B1002" i="19" a="1"/>
  <c r="B1001" i="19" a="1"/>
  <c r="B1001" i="19" s="1"/>
  <c r="B1000" i="19"/>
  <c r="B1000" i="19" a="1"/>
  <c r="B999" i="19" a="1"/>
  <c r="B999" i="19" s="1"/>
  <c r="B998" i="19"/>
  <c r="B998" i="19" a="1"/>
  <c r="B997" i="19" a="1"/>
  <c r="B997" i="19" s="1"/>
  <c r="B996" i="19"/>
  <c r="B996" i="19" a="1"/>
  <c r="B995" i="19" a="1"/>
  <c r="B995" i="19" s="1"/>
  <c r="B994" i="19"/>
  <c r="B994" i="19" a="1"/>
  <c r="B993" i="19" a="1"/>
  <c r="B993" i="19" s="1"/>
  <c r="B992" i="19"/>
  <c r="B992" i="19" a="1"/>
  <c r="B991" i="19" a="1"/>
  <c r="B991" i="19" s="1"/>
  <c r="B990" i="19"/>
  <c r="B990" i="19" a="1"/>
  <c r="B989" i="19" a="1"/>
  <c r="B989" i="19" s="1"/>
  <c r="B988" i="19"/>
  <c r="B988" i="19" a="1"/>
  <c r="B987" i="19" a="1"/>
  <c r="B987" i="19" s="1"/>
  <c r="B986" i="19"/>
  <c r="B986" i="19" a="1"/>
  <c r="B985" i="19" a="1"/>
  <c r="B985" i="19" s="1"/>
  <c r="B984" i="19"/>
  <c r="B984" i="19" a="1"/>
  <c r="B983" i="19" a="1"/>
  <c r="B983" i="19" s="1"/>
  <c r="B982" i="19"/>
  <c r="B982" i="19" a="1"/>
  <c r="B981" i="19" a="1"/>
  <c r="B981" i="19" s="1"/>
  <c r="B980" i="19"/>
  <c r="B980" i="19" a="1"/>
  <c r="B979" i="19" a="1"/>
  <c r="B979" i="19" s="1"/>
  <c r="B978" i="19"/>
  <c r="B978" i="19" a="1"/>
  <c r="B977" i="19" a="1"/>
  <c r="B977" i="19" s="1"/>
  <c r="B976" i="19"/>
  <c r="B976" i="19" a="1"/>
  <c r="B975" i="19" a="1"/>
  <c r="B975" i="19" s="1"/>
  <c r="B974" i="19"/>
  <c r="B974" i="19" a="1"/>
  <c r="B973" i="19" a="1"/>
  <c r="B973" i="19" s="1"/>
  <c r="B972" i="19"/>
  <c r="B972" i="19" a="1"/>
  <c r="B971" i="19" a="1"/>
  <c r="B971" i="19" s="1"/>
  <c r="B970" i="19"/>
  <c r="B970" i="19" a="1"/>
  <c r="B969" i="19" a="1"/>
  <c r="B969" i="19" s="1"/>
  <c r="B968" i="19"/>
  <c r="B968" i="19" a="1"/>
  <c r="B967" i="19" a="1"/>
  <c r="B967" i="19" s="1"/>
  <c r="B966" i="19"/>
  <c r="B966" i="19" a="1"/>
  <c r="B965" i="19" a="1"/>
  <c r="B965" i="19" s="1"/>
  <c r="B964" i="19"/>
  <c r="B964" i="19" a="1"/>
  <c r="B963" i="19" a="1"/>
  <c r="B963" i="19" s="1"/>
  <c r="B962" i="19"/>
  <c r="B962" i="19" a="1"/>
  <c r="B961" i="19" a="1"/>
  <c r="B961" i="19" s="1"/>
  <c r="B960" i="19"/>
  <c r="B960" i="19" a="1"/>
  <c r="B959" i="19" a="1"/>
  <c r="B959" i="19" s="1"/>
  <c r="B958" i="19"/>
  <c r="B958" i="19" a="1"/>
  <c r="B957" i="19" a="1"/>
  <c r="B957" i="19" s="1"/>
  <c r="B956" i="19"/>
  <c r="B956" i="19" a="1"/>
  <c r="B955" i="19" a="1"/>
  <c r="B955" i="19" s="1"/>
  <c r="B954" i="19"/>
  <c r="B954" i="19" a="1"/>
  <c r="B953" i="19" a="1"/>
  <c r="B953" i="19" s="1"/>
  <c r="B952" i="19"/>
  <c r="B952" i="19" a="1"/>
  <c r="B951" i="19" a="1"/>
  <c r="B951" i="19" s="1"/>
  <c r="B950" i="19"/>
  <c r="B950" i="19" a="1"/>
  <c r="B949" i="19" a="1"/>
  <c r="B949" i="19" s="1"/>
  <c r="B948" i="19"/>
  <c r="B948" i="19" a="1"/>
  <c r="B947" i="19" a="1"/>
  <c r="B947" i="19" s="1"/>
  <c r="B946" i="19"/>
  <c r="B946" i="19" a="1"/>
  <c r="B945" i="19" a="1"/>
  <c r="B945" i="19" s="1"/>
  <c r="B944" i="19"/>
  <c r="B944" i="19" a="1"/>
  <c r="B943" i="19" a="1"/>
  <c r="B943" i="19" s="1"/>
  <c r="B942" i="19"/>
  <c r="B942" i="19" a="1"/>
  <c r="B941" i="19" a="1"/>
  <c r="B941" i="19" s="1"/>
  <c r="B940" i="19"/>
  <c r="B940" i="19" a="1"/>
  <c r="B939" i="19" a="1"/>
  <c r="B939" i="19" s="1"/>
  <c r="B938" i="19"/>
  <c r="B938" i="19" a="1"/>
  <c r="B937" i="19" a="1"/>
  <c r="B937" i="19" s="1"/>
  <c r="B936" i="19"/>
  <c r="B936" i="19" a="1"/>
  <c r="B935" i="19" a="1"/>
  <c r="B935" i="19" s="1"/>
  <c r="B934" i="19"/>
  <c r="B934" i="19" a="1"/>
  <c r="B933" i="19" a="1"/>
  <c r="B933" i="19" s="1"/>
  <c r="B932" i="19"/>
  <c r="B932" i="19" a="1"/>
  <c r="B931" i="19" a="1"/>
  <c r="B931" i="19" s="1"/>
  <c r="B930" i="19"/>
  <c r="B930" i="19" a="1"/>
  <c r="B929" i="19" a="1"/>
  <c r="B929" i="19" s="1"/>
  <c r="B928" i="19"/>
  <c r="B928" i="19" a="1"/>
  <c r="B927" i="19" a="1"/>
  <c r="B927" i="19" s="1"/>
  <c r="B926" i="19"/>
  <c r="B926" i="19" a="1"/>
  <c r="B925" i="19" a="1"/>
  <c r="B925" i="19" s="1"/>
  <c r="B924" i="19"/>
  <c r="B924" i="19" a="1"/>
  <c r="B923" i="19" a="1"/>
  <c r="B923" i="19" s="1"/>
  <c r="B922" i="19"/>
  <c r="B922" i="19" a="1"/>
  <c r="B921" i="19" a="1"/>
  <c r="B921" i="19" s="1"/>
  <c r="B920" i="19"/>
  <c r="B920" i="19" a="1"/>
  <c r="B919" i="19" a="1"/>
  <c r="B919" i="19" s="1"/>
  <c r="B918" i="19"/>
  <c r="B918" i="19" a="1"/>
  <c r="B917" i="19" a="1"/>
  <c r="B917" i="19" s="1"/>
  <c r="B916" i="19"/>
  <c r="B916" i="19" a="1"/>
  <c r="B915" i="19" a="1"/>
  <c r="B915" i="19" s="1"/>
  <c r="B914" i="19"/>
  <c r="B914" i="19" a="1"/>
  <c r="B913" i="19" a="1"/>
  <c r="B913" i="19" s="1"/>
  <c r="B912" i="19"/>
  <c r="B912" i="19" a="1"/>
  <c r="B911" i="19" a="1"/>
  <c r="B911" i="19" s="1"/>
  <c r="B910" i="19"/>
  <c r="B910" i="19" a="1"/>
  <c r="B909" i="19" a="1"/>
  <c r="B909" i="19" s="1"/>
  <c r="B908" i="19"/>
  <c r="B908" i="19" a="1"/>
  <c r="B907" i="19" a="1"/>
  <c r="B907" i="19" s="1"/>
  <c r="B906" i="19"/>
  <c r="B906" i="19" a="1"/>
  <c r="B905" i="19" a="1"/>
  <c r="B905" i="19" s="1"/>
  <c r="B904" i="19"/>
  <c r="B904" i="19" a="1"/>
  <c r="B903" i="19" a="1"/>
  <c r="B903" i="19" s="1"/>
  <c r="B902" i="19"/>
  <c r="B902" i="19" a="1"/>
  <c r="B901" i="19" a="1"/>
  <c r="B901" i="19" s="1"/>
  <c r="B900" i="19"/>
  <c r="B900" i="19" a="1"/>
  <c r="B899" i="19" a="1"/>
  <c r="B899" i="19" s="1"/>
  <c r="B898" i="19"/>
  <c r="B898" i="19" a="1"/>
  <c r="B897" i="19" a="1"/>
  <c r="B897" i="19" s="1"/>
  <c r="B896" i="19"/>
  <c r="B896" i="19" a="1"/>
  <c r="B895" i="19" a="1"/>
  <c r="B895" i="19" s="1"/>
  <c r="B894" i="19"/>
  <c r="B894" i="19" a="1"/>
  <c r="B893" i="19" a="1"/>
  <c r="B893" i="19" s="1"/>
  <c r="B892" i="19"/>
  <c r="B892" i="19" a="1"/>
  <c r="B891" i="19" a="1"/>
  <c r="B891" i="19" s="1"/>
  <c r="B890" i="19"/>
  <c r="B890" i="19" a="1"/>
  <c r="B889" i="19" a="1"/>
  <c r="B889" i="19" s="1"/>
  <c r="B888" i="19"/>
  <c r="B888" i="19" a="1"/>
  <c r="B887" i="19" a="1"/>
  <c r="B887" i="19" s="1"/>
  <c r="B886" i="19"/>
  <c r="B886" i="19" a="1"/>
  <c r="B885" i="19" a="1"/>
  <c r="B885" i="19" s="1"/>
  <c r="B884" i="19"/>
  <c r="B884" i="19" a="1"/>
  <c r="B883" i="19" a="1"/>
  <c r="B883" i="19" s="1"/>
  <c r="B882" i="19"/>
  <c r="B882" i="19" a="1"/>
  <c r="B881" i="19" a="1"/>
  <c r="B881" i="19" s="1"/>
  <c r="B880" i="19"/>
  <c r="B880" i="19" a="1"/>
  <c r="B879" i="19" a="1"/>
  <c r="B879" i="19" s="1"/>
  <c r="B878" i="19"/>
  <c r="B878" i="19" a="1"/>
  <c r="B877" i="19" a="1"/>
  <c r="B877" i="19" s="1"/>
  <c r="B876" i="19"/>
  <c r="B876" i="19" a="1"/>
  <c r="B875" i="19" a="1"/>
  <c r="B875" i="19" s="1"/>
  <c r="B874" i="19"/>
  <c r="B874" i="19" a="1"/>
  <c r="B873" i="19" a="1"/>
  <c r="B873" i="19" s="1"/>
  <c r="B872" i="19"/>
  <c r="B872" i="19" a="1"/>
  <c r="B871" i="19" a="1"/>
  <c r="B871" i="19" s="1"/>
  <c r="B870" i="19"/>
  <c r="B870" i="19" a="1"/>
  <c r="B869" i="19" a="1"/>
  <c r="B869" i="19" s="1"/>
  <c r="B868" i="19"/>
  <c r="B868" i="19" a="1"/>
  <c r="B867" i="19" a="1"/>
  <c r="B867" i="19" s="1"/>
  <c r="B866" i="19"/>
  <c r="B866" i="19" a="1"/>
  <c r="B865" i="19" a="1"/>
  <c r="B865" i="19" s="1"/>
  <c r="B864" i="19"/>
  <c r="B864" i="19" a="1"/>
  <c r="B863" i="19" a="1"/>
  <c r="B863" i="19" s="1"/>
  <c r="B862" i="19"/>
  <c r="B862" i="19" a="1"/>
  <c r="B861" i="19" a="1"/>
  <c r="B861" i="19" s="1"/>
  <c r="B860" i="19"/>
  <c r="B860" i="19" a="1"/>
  <c r="B859" i="19" a="1"/>
  <c r="B859" i="19" s="1"/>
  <c r="B858" i="19"/>
  <c r="B858" i="19" a="1"/>
  <c r="B857" i="19" a="1"/>
  <c r="B857" i="19" s="1"/>
  <c r="B856" i="19"/>
  <c r="B856" i="19" a="1"/>
  <c r="B855" i="19" a="1"/>
  <c r="B855" i="19" s="1"/>
  <c r="B854" i="19"/>
  <c r="B854" i="19" a="1"/>
  <c r="B853" i="19" a="1"/>
  <c r="B853" i="19" s="1"/>
  <c r="B852" i="19"/>
  <c r="B852" i="19" a="1"/>
  <c r="B851" i="19" a="1"/>
  <c r="B851" i="19" s="1"/>
  <c r="B850" i="19"/>
  <c r="B850" i="19" a="1"/>
  <c r="B849" i="19" a="1"/>
  <c r="B849" i="19" s="1"/>
  <c r="B848" i="19"/>
  <c r="B848" i="19" a="1"/>
  <c r="B847" i="19" a="1"/>
  <c r="B847" i="19" s="1"/>
  <c r="B846" i="19"/>
  <c r="B846" i="19" a="1"/>
  <c r="B845" i="19" a="1"/>
  <c r="B845" i="19" s="1"/>
  <c r="B844" i="19"/>
  <c r="B844" i="19" a="1"/>
  <c r="B843" i="19" a="1"/>
  <c r="B843" i="19" s="1"/>
  <c r="B842" i="19"/>
  <c r="B842" i="19" a="1"/>
  <c r="B841" i="19" a="1"/>
  <c r="B841" i="19" s="1"/>
  <c r="B840" i="19"/>
  <c r="B840" i="19" a="1"/>
  <c r="B839" i="19" a="1"/>
  <c r="B839" i="19" s="1"/>
  <c r="B838" i="19"/>
  <c r="B838" i="19" a="1"/>
  <c r="B837" i="19" a="1"/>
  <c r="B837" i="19" s="1"/>
  <c r="B836" i="19"/>
  <c r="B836" i="19" a="1"/>
  <c r="B835" i="19" a="1"/>
  <c r="B835" i="19" s="1"/>
  <c r="B834" i="19"/>
  <c r="B834" i="19" a="1"/>
  <c r="B833" i="19" a="1"/>
  <c r="B833" i="19" s="1"/>
  <c r="B832" i="19"/>
  <c r="B832" i="19" a="1"/>
  <c r="B831" i="19" a="1"/>
  <c r="B831" i="19" s="1"/>
  <c r="B830" i="19"/>
  <c r="B830" i="19" a="1"/>
  <c r="B829" i="19" a="1"/>
  <c r="B829" i="19" s="1"/>
  <c r="B828" i="19"/>
  <c r="B828" i="19" a="1"/>
  <c r="B827" i="19" a="1"/>
  <c r="B827" i="19" s="1"/>
  <c r="B826" i="19"/>
  <c r="B826" i="19" a="1"/>
  <c r="B825" i="19" a="1"/>
  <c r="B825" i="19" s="1"/>
  <c r="B824" i="19"/>
  <c r="B824" i="19" a="1"/>
  <c r="B823" i="19" a="1"/>
  <c r="B823" i="19" s="1"/>
  <c r="B822" i="19"/>
  <c r="B822" i="19" a="1"/>
  <c r="B821" i="19" a="1"/>
  <c r="B821" i="19" s="1"/>
  <c r="B820" i="19"/>
  <c r="B820" i="19" a="1"/>
  <c r="B819" i="19" a="1"/>
  <c r="B819" i="19" s="1"/>
  <c r="B818" i="19"/>
  <c r="B818" i="19" a="1"/>
  <c r="B817" i="19" a="1"/>
  <c r="B817" i="19" s="1"/>
  <c r="B816" i="19"/>
  <c r="B816" i="19" a="1"/>
  <c r="B815" i="19" a="1"/>
  <c r="B815" i="19" s="1"/>
  <c r="B814" i="19"/>
  <c r="B814" i="19" a="1"/>
  <c r="B813" i="19" a="1"/>
  <c r="B813" i="19" s="1"/>
  <c r="B812" i="19"/>
  <c r="B812" i="19" a="1"/>
  <c r="B811" i="19" a="1"/>
  <c r="B811" i="19" s="1"/>
  <c r="B810" i="19"/>
  <c r="B810" i="19" a="1"/>
  <c r="B809" i="19" a="1"/>
  <c r="B809" i="19" s="1"/>
  <c r="B808" i="19"/>
  <c r="B808" i="19" a="1"/>
  <c r="B807" i="19" a="1"/>
  <c r="B807" i="19" s="1"/>
  <c r="B806" i="19"/>
  <c r="B806" i="19" a="1"/>
  <c r="B805" i="19" a="1"/>
  <c r="B805" i="19" s="1"/>
  <c r="B804" i="19"/>
  <c r="B804" i="19" a="1"/>
  <c r="B803" i="19" a="1"/>
  <c r="B803" i="19" s="1"/>
  <c r="B802" i="19"/>
  <c r="B802" i="19" a="1"/>
  <c r="B801" i="19" a="1"/>
  <c r="B801" i="19" s="1"/>
  <c r="B800" i="19"/>
  <c r="B800" i="19" a="1"/>
  <c r="B799" i="19" a="1"/>
  <c r="B799" i="19" s="1"/>
  <c r="B798" i="19"/>
  <c r="B798" i="19" a="1"/>
  <c r="B797" i="19" a="1"/>
  <c r="B797" i="19" s="1"/>
  <c r="B796" i="19"/>
  <c r="B796" i="19" a="1"/>
  <c r="B795" i="19" a="1"/>
  <c r="B795" i="19" s="1"/>
  <c r="B794" i="19"/>
  <c r="B794" i="19" a="1"/>
  <c r="B793" i="19" a="1"/>
  <c r="B793" i="19" s="1"/>
  <c r="B792" i="19"/>
  <c r="B792" i="19" a="1"/>
  <c r="B791" i="19" a="1"/>
  <c r="B791" i="19" s="1"/>
  <c r="B790" i="19"/>
  <c r="B790" i="19" a="1"/>
  <c r="B789" i="19" a="1"/>
  <c r="B789" i="19" s="1"/>
  <c r="B788" i="19"/>
  <c r="B788" i="19" a="1"/>
  <c r="B787" i="19" a="1"/>
  <c r="B787" i="19" s="1"/>
  <c r="B786" i="19"/>
  <c r="B786" i="19" a="1"/>
  <c r="B785" i="19" a="1"/>
  <c r="B785" i="19" s="1"/>
  <c r="B784" i="19"/>
  <c r="B784" i="19" a="1"/>
  <c r="B783" i="19" a="1"/>
  <c r="B783" i="19" s="1"/>
  <c r="B782" i="19"/>
  <c r="B782" i="19" a="1"/>
  <c r="B781" i="19" a="1"/>
  <c r="B781" i="19" s="1"/>
  <c r="B780" i="19"/>
  <c r="B780" i="19" a="1"/>
  <c r="B779" i="19" a="1"/>
  <c r="B779" i="19" s="1"/>
  <c r="B778" i="19"/>
  <c r="B778" i="19" a="1"/>
  <c r="B777" i="19" a="1"/>
  <c r="B777" i="19" s="1"/>
  <c r="B776" i="19"/>
  <c r="B776" i="19" a="1"/>
  <c r="B775" i="19" a="1"/>
  <c r="B775" i="19" s="1"/>
  <c r="B774" i="19"/>
  <c r="B774" i="19" a="1"/>
  <c r="B773" i="19" a="1"/>
  <c r="B773" i="19" s="1"/>
  <c r="B772" i="19"/>
  <c r="B772" i="19" a="1"/>
  <c r="B771" i="19" a="1"/>
  <c r="B771" i="19" s="1"/>
  <c r="B770" i="19"/>
  <c r="B770" i="19" a="1"/>
  <c r="B769" i="19" a="1"/>
  <c r="B769" i="19" s="1"/>
  <c r="B768" i="19"/>
  <c r="B768" i="19" a="1"/>
  <c r="B767" i="19" a="1"/>
  <c r="B767" i="19" s="1"/>
  <c r="B766" i="19"/>
  <c r="B766" i="19" a="1"/>
  <c r="B765" i="19" a="1"/>
  <c r="B765" i="19" s="1"/>
  <c r="B764" i="19"/>
  <c r="B764" i="19" a="1"/>
  <c r="B763" i="19" a="1"/>
  <c r="B763" i="19" s="1"/>
  <c r="B762" i="19"/>
  <c r="B762" i="19" a="1"/>
  <c r="B761" i="19" a="1"/>
  <c r="B761" i="19" s="1"/>
  <c r="B760" i="19"/>
  <c r="B760" i="19" a="1"/>
  <c r="B759" i="19" a="1"/>
  <c r="B759" i="19" s="1"/>
  <c r="B758" i="19"/>
  <c r="B758" i="19" a="1"/>
  <c r="B757" i="19" a="1"/>
  <c r="B757" i="19" s="1"/>
  <c r="B756" i="19"/>
  <c r="B756" i="19" a="1"/>
  <c r="B755" i="19" a="1"/>
  <c r="B755" i="19" s="1"/>
  <c r="B754" i="19"/>
  <c r="B754" i="19" a="1"/>
  <c r="B753" i="19" a="1"/>
  <c r="B753" i="19" s="1"/>
  <c r="B752" i="19"/>
  <c r="B752" i="19" a="1"/>
  <c r="B751" i="19" a="1"/>
  <c r="B751" i="19" s="1"/>
  <c r="B750" i="19"/>
  <c r="B750" i="19" a="1"/>
  <c r="B749" i="19" a="1"/>
  <c r="B749" i="19" s="1"/>
  <c r="B748" i="19"/>
  <c r="B748" i="19" a="1"/>
  <c r="B747" i="19" a="1"/>
  <c r="B747" i="19" s="1"/>
  <c r="B746" i="19"/>
  <c r="B746" i="19" a="1"/>
  <c r="B745" i="19" a="1"/>
  <c r="B745" i="19" s="1"/>
  <c r="B744" i="19"/>
  <c r="B744" i="19" a="1"/>
  <c r="B743" i="19" a="1"/>
  <c r="B743" i="19" s="1"/>
  <c r="B742" i="19"/>
  <c r="B742" i="19" a="1"/>
  <c r="B741" i="19" a="1"/>
  <c r="B741" i="19" s="1"/>
  <c r="B740" i="19"/>
  <c r="B740" i="19" a="1"/>
  <c r="B739" i="19" a="1"/>
  <c r="B739" i="19" s="1"/>
  <c r="B738" i="19"/>
  <c r="B738" i="19" a="1"/>
  <c r="B737" i="19" a="1"/>
  <c r="B737" i="19" s="1"/>
  <c r="B736" i="19"/>
  <c r="B736" i="19" a="1"/>
  <c r="B735" i="19" a="1"/>
  <c r="B735" i="19" s="1"/>
  <c r="B734" i="19"/>
  <c r="B734" i="19" a="1"/>
  <c r="B733" i="19" a="1"/>
  <c r="B733" i="19" s="1"/>
  <c r="B732" i="19"/>
  <c r="B732" i="19" a="1"/>
  <c r="B731" i="19" a="1"/>
  <c r="B731" i="19" s="1"/>
  <c r="B730" i="19"/>
  <c r="B730" i="19" a="1"/>
  <c r="B729" i="19" a="1"/>
  <c r="B729" i="19" s="1"/>
  <c r="B728" i="19"/>
  <c r="B728" i="19" a="1"/>
  <c r="B727" i="19" a="1"/>
  <c r="B727" i="19" s="1"/>
  <c r="B726" i="19"/>
  <c r="B726" i="19" a="1"/>
  <c r="B725" i="19" a="1"/>
  <c r="B725" i="19" s="1"/>
  <c r="B724" i="19"/>
  <c r="B724" i="19" a="1"/>
  <c r="B723" i="19" a="1"/>
  <c r="B723" i="19" s="1"/>
  <c r="B722" i="19"/>
  <c r="B722" i="19" a="1"/>
  <c r="B721" i="19" a="1"/>
  <c r="B721" i="19" s="1"/>
  <c r="B720" i="19"/>
  <c r="B720" i="19" a="1"/>
  <c r="B719" i="19" a="1"/>
  <c r="B719" i="19" s="1"/>
  <c r="B718" i="19"/>
  <c r="B718" i="19" a="1"/>
  <c r="B717" i="19" a="1"/>
  <c r="B717" i="19" s="1"/>
  <c r="B716" i="19"/>
  <c r="B716" i="19" a="1"/>
  <c r="B715" i="19" a="1"/>
  <c r="B715" i="19" s="1"/>
  <c r="B714" i="19"/>
  <c r="B714" i="19" a="1"/>
  <c r="B713" i="19" a="1"/>
  <c r="B713" i="19" s="1"/>
  <c r="B712" i="19"/>
  <c r="B712" i="19" a="1"/>
  <c r="B711" i="19" a="1"/>
  <c r="B711" i="19" s="1"/>
  <c r="B710" i="19"/>
  <c r="B710" i="19" a="1"/>
  <c r="B709" i="19" a="1"/>
  <c r="B709" i="19" s="1"/>
  <c r="B708" i="19"/>
  <c r="B708" i="19" a="1"/>
  <c r="B707" i="19" a="1"/>
  <c r="B707" i="19" s="1"/>
  <c r="B706" i="19"/>
  <c r="B706" i="19" a="1"/>
  <c r="B705" i="19" a="1"/>
  <c r="B705" i="19" s="1"/>
  <c r="B704" i="19"/>
  <c r="B704" i="19" a="1"/>
  <c r="B703" i="19" a="1"/>
  <c r="B703" i="19" s="1"/>
  <c r="B702" i="19"/>
  <c r="B702" i="19" a="1"/>
  <c r="B701" i="19" a="1"/>
  <c r="B701" i="19" s="1"/>
  <c r="B700" i="19"/>
  <c r="B700" i="19" a="1"/>
  <c r="B699" i="19" a="1"/>
  <c r="B699" i="19" s="1"/>
  <c r="B698" i="19"/>
  <c r="B698" i="19" a="1"/>
  <c r="B697" i="19" a="1"/>
  <c r="B697" i="19" s="1"/>
  <c r="B696" i="19"/>
  <c r="B696" i="19" a="1"/>
  <c r="B695" i="19" a="1"/>
  <c r="B695" i="19" s="1"/>
  <c r="B694" i="19"/>
  <c r="B694" i="19" a="1"/>
  <c r="B693" i="19" a="1"/>
  <c r="B693" i="19" s="1"/>
  <c r="B692" i="19"/>
  <c r="B692" i="19" a="1"/>
  <c r="B691" i="19" a="1"/>
  <c r="B691" i="19" s="1"/>
  <c r="B690" i="19"/>
  <c r="B690" i="19" a="1"/>
  <c r="B689" i="19" a="1"/>
  <c r="B689" i="19" s="1"/>
  <c r="B688" i="19"/>
  <c r="B688" i="19" a="1"/>
  <c r="B687" i="19" a="1"/>
  <c r="B687" i="19" s="1"/>
  <c r="B686" i="19"/>
  <c r="B686" i="19" a="1"/>
  <c r="B685" i="19" a="1"/>
  <c r="B685" i="19" s="1"/>
  <c r="B684" i="19"/>
  <c r="B684" i="19" a="1"/>
  <c r="B683" i="19" a="1"/>
  <c r="B683" i="19" s="1"/>
  <c r="B682" i="19"/>
  <c r="B682" i="19" a="1"/>
  <c r="B681" i="19" a="1"/>
  <c r="B681" i="19" s="1"/>
  <c r="B680" i="19"/>
  <c r="B680" i="19" a="1"/>
  <c r="B679" i="19" a="1"/>
  <c r="B679" i="19" s="1"/>
  <c r="B678" i="19"/>
  <c r="B678" i="19" a="1"/>
  <c r="B677" i="19" a="1"/>
  <c r="B677" i="19" s="1"/>
  <c r="B676" i="19"/>
  <c r="B676" i="19" a="1"/>
  <c r="B675" i="19" a="1"/>
  <c r="B675" i="19" s="1"/>
  <c r="B674" i="19"/>
  <c r="B674" i="19" a="1"/>
  <c r="B673" i="19" a="1"/>
  <c r="B673" i="19" s="1"/>
  <c r="B672" i="19"/>
  <c r="B672" i="19" a="1"/>
  <c r="B671" i="19"/>
  <c r="B671" i="19" a="1"/>
  <c r="B670" i="19"/>
  <c r="B670" i="19" a="1"/>
  <c r="B669" i="19"/>
  <c r="B669" i="19" a="1"/>
  <c r="B668" i="19"/>
  <c r="B668" i="19" a="1"/>
  <c r="B667" i="19"/>
  <c r="B667" i="19" a="1"/>
  <c r="B666" i="19"/>
  <c r="B666" i="19" a="1"/>
  <c r="B665" i="19"/>
  <c r="B665" i="19" a="1"/>
  <c r="B664" i="19"/>
  <c r="B664" i="19" a="1"/>
  <c r="B663" i="19"/>
  <c r="B663" i="19" a="1"/>
  <c r="B662" i="19"/>
  <c r="B662" i="19" a="1"/>
  <c r="B661" i="19"/>
  <c r="B661" i="19" a="1"/>
  <c r="B660" i="19"/>
  <c r="B660" i="19" a="1"/>
  <c r="B659" i="19"/>
  <c r="B659" i="19" a="1"/>
  <c r="B658" i="19"/>
  <c r="B658" i="19" a="1"/>
  <c r="B657" i="19"/>
  <c r="B657" i="19" a="1"/>
  <c r="B656" i="19"/>
  <c r="B656" i="19" a="1"/>
  <c r="B655" i="19"/>
  <c r="B655" i="19" a="1"/>
  <c r="B654" i="19"/>
  <c r="B654" i="19" a="1"/>
  <c r="B653" i="19"/>
  <c r="B653" i="19" a="1"/>
  <c r="B652" i="19"/>
  <c r="B652" i="19" a="1"/>
  <c r="B651" i="19"/>
  <c r="B651" i="19" a="1"/>
  <c r="B650" i="19"/>
  <c r="B650" i="19" a="1"/>
  <c r="B649" i="19"/>
  <c r="B649" i="19" a="1"/>
  <c r="B648" i="19"/>
  <c r="B648" i="19" a="1"/>
  <c r="B647" i="19"/>
  <c r="B647" i="19" a="1"/>
  <c r="B646" i="19"/>
  <c r="B646" i="19" a="1"/>
  <c r="B645" i="19"/>
  <c r="B645" i="19" a="1"/>
  <c r="B644" i="19"/>
  <c r="B644" i="19" a="1"/>
  <c r="B643" i="19"/>
  <c r="B643" i="19" a="1"/>
  <c r="B642" i="19"/>
  <c r="B642" i="19" a="1"/>
  <c r="B641" i="19"/>
  <c r="B641" i="19" a="1"/>
  <c r="B640" i="19"/>
  <c r="B640" i="19" a="1"/>
  <c r="B639" i="19"/>
  <c r="B639" i="19" a="1"/>
  <c r="B638" i="19"/>
  <c r="B638" i="19" a="1"/>
  <c r="B637" i="19"/>
  <c r="B637" i="19" a="1"/>
  <c r="B636" i="19"/>
  <c r="B636" i="19" a="1"/>
  <c r="B635" i="19"/>
  <c r="B635" i="19" a="1"/>
  <c r="B634" i="19"/>
  <c r="B634" i="19" a="1"/>
  <c r="B633" i="19"/>
  <c r="B633" i="19" a="1"/>
  <c r="B632" i="19"/>
  <c r="B632" i="19" a="1"/>
  <c r="B631" i="19"/>
  <c r="B631" i="19" a="1"/>
  <c r="B630" i="19"/>
  <c r="B630" i="19" a="1"/>
  <c r="B629" i="19"/>
  <c r="B629" i="19" a="1"/>
  <c r="B628" i="19"/>
  <c r="B628" i="19" a="1"/>
  <c r="B627" i="19"/>
  <c r="B627" i="19" a="1"/>
  <c r="B626" i="19"/>
  <c r="B626" i="19" a="1"/>
  <c r="B625" i="19"/>
  <c r="B625" i="19" a="1"/>
  <c r="B624" i="19"/>
  <c r="B624" i="19" a="1"/>
  <c r="B623" i="19"/>
  <c r="B623" i="19" a="1"/>
  <c r="B622" i="19"/>
  <c r="B622" i="19" a="1"/>
  <c r="B621" i="19"/>
  <c r="B621" i="19" a="1"/>
  <c r="B620" i="19"/>
  <c r="B620" i="19" a="1"/>
  <c r="B619" i="19"/>
  <c r="B619" i="19" a="1"/>
  <c r="B618" i="19"/>
  <c r="B618" i="19" a="1"/>
  <c r="B617" i="19"/>
  <c r="B617" i="19" a="1"/>
  <c r="B616" i="19"/>
  <c r="B616" i="19" a="1"/>
  <c r="B615" i="19"/>
  <c r="B615" i="19" a="1"/>
  <c r="B614" i="19"/>
  <c r="B614" i="19" a="1"/>
  <c r="B613" i="19"/>
  <c r="B613" i="19" a="1"/>
  <c r="B612" i="19"/>
  <c r="B612" i="19" a="1"/>
  <c r="B611" i="19"/>
  <c r="B611" i="19" a="1"/>
  <c r="B610" i="19"/>
  <c r="B610" i="19" a="1"/>
  <c r="B609" i="19"/>
  <c r="B609" i="19" a="1"/>
  <c r="B608" i="19"/>
  <c r="B608" i="19" a="1"/>
  <c r="B607" i="19"/>
  <c r="B607" i="19" a="1"/>
  <c r="B606" i="19"/>
  <c r="B606" i="19" a="1"/>
  <c r="B605" i="19"/>
  <c r="B605" i="19" a="1"/>
  <c r="B604" i="19"/>
  <c r="B604" i="19" a="1"/>
  <c r="B603" i="19"/>
  <c r="B603" i="19" a="1"/>
  <c r="B602" i="19"/>
  <c r="B602" i="19" a="1"/>
  <c r="B601" i="19"/>
  <c r="B601" i="19" a="1"/>
  <c r="B600" i="19"/>
  <c r="B600" i="19" a="1"/>
  <c r="B599" i="19"/>
  <c r="B599" i="19" a="1"/>
  <c r="B598" i="19"/>
  <c r="B598" i="19" a="1"/>
  <c r="B597" i="19"/>
  <c r="B597" i="19" a="1"/>
  <c r="B596" i="19"/>
  <c r="B596" i="19" a="1"/>
  <c r="B595" i="19"/>
  <c r="B595" i="19" a="1"/>
  <c r="B594" i="19"/>
  <c r="B594" i="19" a="1"/>
  <c r="B593" i="19"/>
  <c r="B593" i="19" a="1"/>
  <c r="B592" i="19"/>
  <c r="B592" i="19" a="1"/>
  <c r="B591" i="19"/>
  <c r="B591" i="19" a="1"/>
  <c r="B590" i="19"/>
  <c r="B590" i="19" a="1"/>
  <c r="B589" i="19"/>
  <c r="B589" i="19" a="1"/>
  <c r="B588" i="19"/>
  <c r="B588" i="19" a="1"/>
  <c r="B587" i="19"/>
  <c r="B587" i="19" a="1"/>
  <c r="B586" i="19"/>
  <c r="B586" i="19" a="1"/>
  <c r="B585" i="19"/>
  <c r="B585" i="19" a="1"/>
  <c r="B584" i="19"/>
  <c r="B584" i="19" a="1"/>
  <c r="B583" i="19"/>
  <c r="B583" i="19" a="1"/>
  <c r="B582" i="19"/>
  <c r="B582" i="19" a="1"/>
  <c r="B581" i="19"/>
  <c r="B581" i="19" a="1"/>
  <c r="B580" i="19"/>
  <c r="B580" i="19" a="1"/>
  <c r="B579" i="19"/>
  <c r="B579" i="19" a="1"/>
  <c r="B578" i="19"/>
  <c r="B578" i="19" a="1"/>
  <c r="B577" i="19"/>
  <c r="B577" i="19" a="1"/>
  <c r="B576" i="19"/>
  <c r="B576" i="19" a="1"/>
  <c r="B575" i="19"/>
  <c r="B575" i="19" a="1"/>
  <c r="B574" i="19"/>
  <c r="B574" i="19" a="1"/>
  <c r="B573" i="19"/>
  <c r="B573" i="19" a="1"/>
  <c r="B572" i="19"/>
  <c r="B572" i="19" a="1"/>
  <c r="B571" i="19"/>
  <c r="B571" i="19" a="1"/>
  <c r="B570" i="19"/>
  <c r="B570" i="19" a="1"/>
  <c r="B569" i="19"/>
  <c r="B569" i="19" a="1"/>
  <c r="B568" i="19"/>
  <c r="B568" i="19" a="1"/>
  <c r="B567" i="19"/>
  <c r="B567" i="19" a="1"/>
  <c r="B566" i="19"/>
  <c r="B566" i="19" a="1"/>
  <c r="B565" i="19"/>
  <c r="B565" i="19" a="1"/>
  <c r="B564" i="19"/>
  <c r="B564" i="19" a="1"/>
  <c r="B563" i="19"/>
  <c r="B563" i="19" a="1"/>
  <c r="B562" i="19"/>
  <c r="B562" i="19" a="1"/>
  <c r="B561" i="19"/>
  <c r="B561" i="19" a="1"/>
  <c r="B560" i="19"/>
  <c r="B560" i="19" a="1"/>
  <c r="B559" i="19"/>
  <c r="B559" i="19" a="1"/>
  <c r="B558" i="19"/>
  <c r="B558" i="19" a="1"/>
  <c r="B557" i="19"/>
  <c r="B557" i="19" a="1"/>
  <c r="B556" i="19"/>
  <c r="B556" i="19" a="1"/>
  <c r="B555" i="19"/>
  <c r="B555" i="19" a="1"/>
  <c r="B554" i="19"/>
  <c r="B554" i="19" a="1"/>
  <c r="B553" i="19"/>
  <c r="B553" i="19" a="1"/>
  <c r="B552" i="19"/>
  <c r="B552" i="19" a="1"/>
  <c r="B551" i="19"/>
  <c r="B551" i="19" a="1"/>
  <c r="B550" i="19"/>
  <c r="B550" i="19" a="1"/>
  <c r="B549" i="19"/>
  <c r="B549" i="19" a="1"/>
  <c r="B548" i="19"/>
  <c r="B548" i="19" a="1"/>
  <c r="B547" i="19"/>
  <c r="B547" i="19" a="1"/>
  <c r="B546" i="19"/>
  <c r="B546" i="19" a="1"/>
  <c r="B545" i="19"/>
  <c r="B545" i="19" a="1"/>
  <c r="B544" i="19"/>
  <c r="B544" i="19" a="1"/>
  <c r="B543" i="19"/>
  <c r="B543" i="19" a="1"/>
  <c r="B542" i="19"/>
  <c r="B542" i="19" a="1"/>
  <c r="B541" i="19"/>
  <c r="B541" i="19" a="1"/>
  <c r="B540" i="19"/>
  <c r="B540" i="19" a="1"/>
  <c r="B539" i="19"/>
  <c r="B539" i="19" a="1"/>
  <c r="B538" i="19"/>
  <c r="B538" i="19" a="1"/>
  <c r="B537" i="19"/>
  <c r="B537" i="19" a="1"/>
  <c r="B536" i="19"/>
  <c r="B536" i="19" a="1"/>
  <c r="B535" i="19"/>
  <c r="B535" i="19" a="1"/>
  <c r="B534" i="19"/>
  <c r="B534" i="19" a="1"/>
  <c r="B533" i="19"/>
  <c r="B533" i="19" a="1"/>
  <c r="B532" i="19"/>
  <c r="B532" i="19" a="1"/>
  <c r="B531" i="19"/>
  <c r="B531" i="19" a="1"/>
  <c r="B530" i="19"/>
  <c r="B530" i="19" a="1"/>
  <c r="B529" i="19"/>
  <c r="B529" i="19" a="1"/>
  <c r="B528" i="19"/>
  <c r="B528" i="19" a="1"/>
  <c r="B527" i="19"/>
  <c r="B527" i="19" a="1"/>
  <c r="B526" i="19"/>
  <c r="B526" i="19" a="1"/>
  <c r="B525" i="19"/>
  <c r="B525" i="19" a="1"/>
  <c r="B524" i="19"/>
  <c r="B524" i="19" a="1"/>
  <c r="B523" i="19"/>
  <c r="B523" i="19" a="1"/>
  <c r="B522" i="19"/>
  <c r="B522" i="19" a="1"/>
  <c r="B521" i="19"/>
  <c r="B521" i="19" a="1"/>
  <c r="B520" i="19"/>
  <c r="B520" i="19" a="1"/>
  <c r="B519" i="19"/>
  <c r="B519" i="19" a="1"/>
  <c r="B518" i="19"/>
  <c r="B518" i="19" a="1"/>
  <c r="B517" i="19"/>
  <c r="B517" i="19" a="1"/>
  <c r="B516" i="19"/>
  <c r="B516" i="19" a="1"/>
  <c r="B515" i="19"/>
  <c r="B515" i="19" a="1"/>
  <c r="B514" i="19"/>
  <c r="B514" i="19" a="1"/>
  <c r="B513" i="19"/>
  <c r="B513" i="19" a="1"/>
  <c r="B512" i="19"/>
  <c r="B512" i="19" a="1"/>
  <c r="B511" i="19"/>
  <c r="B511" i="19" a="1"/>
  <c r="B510" i="19"/>
  <c r="B510" i="19" a="1"/>
  <c r="B509" i="19"/>
  <c r="B509" i="19" a="1"/>
  <c r="B508" i="19"/>
  <c r="B508" i="19" a="1"/>
  <c r="B507" i="19"/>
  <c r="B507" i="19" a="1"/>
  <c r="B506" i="19"/>
  <c r="B506" i="19" a="1"/>
  <c r="B505" i="19"/>
  <c r="B505" i="19" a="1"/>
  <c r="B504" i="19"/>
  <c r="B504" i="19" a="1"/>
  <c r="B503" i="19"/>
  <c r="B503" i="19" a="1"/>
  <c r="B502" i="19"/>
  <c r="B502" i="19" a="1"/>
  <c r="B501" i="19"/>
  <c r="B501" i="19" a="1"/>
  <c r="B500" i="19"/>
  <c r="B500" i="19" a="1"/>
  <c r="B499" i="19"/>
  <c r="B499" i="19" a="1"/>
  <c r="B498" i="19"/>
  <c r="B498" i="19" a="1"/>
  <c r="B497" i="19"/>
  <c r="B497" i="19" a="1"/>
  <c r="B496" i="19"/>
  <c r="B496" i="19" a="1"/>
  <c r="B495" i="19"/>
  <c r="B495" i="19" a="1"/>
  <c r="B494" i="19"/>
  <c r="B494" i="19" a="1"/>
  <c r="B493" i="19"/>
  <c r="B493" i="19" a="1"/>
  <c r="B492" i="19"/>
  <c r="B492" i="19" a="1"/>
  <c r="B491" i="19"/>
  <c r="B491" i="19" a="1"/>
  <c r="B490" i="19"/>
  <c r="B490" i="19" a="1"/>
  <c r="B489" i="19"/>
  <c r="B489" i="19" a="1"/>
  <c r="B488" i="19"/>
  <c r="B488" i="19" a="1"/>
  <c r="B487" i="19"/>
  <c r="B487" i="19" a="1"/>
  <c r="B486" i="19"/>
  <c r="B486" i="19" a="1"/>
  <c r="B485" i="19"/>
  <c r="B485" i="19" a="1"/>
  <c r="B484" i="19"/>
  <c r="B484" i="19" a="1"/>
  <c r="B483" i="19"/>
  <c r="B483" i="19" a="1"/>
  <c r="B482" i="19"/>
  <c r="B482" i="19" a="1"/>
  <c r="B481" i="19"/>
  <c r="B481" i="19" a="1"/>
  <c r="B480" i="19"/>
  <c r="B480" i="19" a="1"/>
  <c r="B479" i="19"/>
  <c r="B479" i="19" a="1"/>
  <c r="B478" i="19"/>
  <c r="B478" i="19" a="1"/>
  <c r="B477" i="19"/>
  <c r="B477" i="19" a="1"/>
  <c r="B476" i="19"/>
  <c r="B476" i="19" a="1"/>
  <c r="B475" i="19"/>
  <c r="B475" i="19" a="1"/>
  <c r="B474" i="19"/>
  <c r="B474" i="19" a="1"/>
  <c r="B473" i="19"/>
  <c r="B473" i="19" a="1"/>
  <c r="B472" i="19"/>
  <c r="B472" i="19" a="1"/>
  <c r="B471" i="19"/>
  <c r="B471" i="19" a="1"/>
  <c r="B470" i="19"/>
  <c r="B470" i="19" a="1"/>
  <c r="B469" i="19"/>
  <c r="B469" i="19" a="1"/>
  <c r="B468" i="19"/>
  <c r="B468" i="19" a="1"/>
  <c r="B467" i="19"/>
  <c r="B467" i="19" a="1"/>
  <c r="B466" i="19"/>
  <c r="B466" i="19" a="1"/>
  <c r="B465" i="19"/>
  <c r="B465" i="19" a="1"/>
  <c r="B464" i="19"/>
  <c r="B464" i="19" a="1"/>
  <c r="B463" i="19"/>
  <c r="B463" i="19" a="1"/>
  <c r="B462" i="19"/>
  <c r="B462" i="19" a="1"/>
  <c r="B461" i="19"/>
  <c r="B461" i="19" a="1"/>
  <c r="B460" i="19"/>
  <c r="B460" i="19" a="1"/>
  <c r="B459" i="19"/>
  <c r="B459" i="19" a="1"/>
  <c r="B458" i="19"/>
  <c r="B458" i="19" a="1"/>
  <c r="B457" i="19"/>
  <c r="B457" i="19" a="1"/>
  <c r="B456" i="19"/>
  <c r="B456" i="19" a="1"/>
  <c r="B455" i="19"/>
  <c r="B455" i="19" a="1"/>
  <c r="B454" i="19"/>
  <c r="B454" i="19" a="1"/>
  <c r="B453" i="19"/>
  <c r="B453" i="19" a="1"/>
  <c r="B452" i="19"/>
  <c r="B452" i="19" a="1"/>
  <c r="B451" i="19"/>
  <c r="B451" i="19" a="1"/>
  <c r="B450" i="19"/>
  <c r="B450" i="19" a="1"/>
  <c r="B449" i="19"/>
  <c r="B449" i="19" a="1"/>
  <c r="B448" i="19"/>
  <c r="B448" i="19" a="1"/>
  <c r="B447" i="19"/>
  <c r="B447" i="19" a="1"/>
  <c r="B446" i="19"/>
  <c r="B446" i="19" a="1"/>
  <c r="B445" i="19"/>
  <c r="B445" i="19" a="1"/>
  <c r="B444" i="19"/>
  <c r="B444" i="19" a="1"/>
  <c r="B443" i="19"/>
  <c r="B443" i="19" a="1"/>
  <c r="B442" i="19"/>
  <c r="B442" i="19" a="1"/>
  <c r="B441" i="19"/>
  <c r="B441" i="19" a="1"/>
  <c r="B440" i="19"/>
  <c r="B440" i="19" a="1"/>
  <c r="B439" i="19"/>
  <c r="B439" i="19" a="1"/>
  <c r="B438" i="19" a="1"/>
  <c r="B438" i="19" s="1"/>
  <c r="B437" i="19" a="1"/>
  <c r="B437" i="19" s="1"/>
  <c r="B436" i="19" a="1"/>
  <c r="B436" i="19" s="1"/>
  <c r="B435" i="19"/>
  <c r="B435" i="19" a="1"/>
  <c r="B434" i="19" a="1"/>
  <c r="B434" i="19" s="1"/>
  <c r="B433" i="19" a="1"/>
  <c r="B433" i="19" s="1"/>
  <c r="B432" i="19" a="1"/>
  <c r="B432" i="19" s="1"/>
  <c r="B431" i="19"/>
  <c r="B431" i="19" a="1"/>
  <c r="B430" i="19" a="1"/>
  <c r="B430" i="19" s="1"/>
  <c r="B429" i="19" a="1"/>
  <c r="B429" i="19" s="1"/>
  <c r="B428" i="19" a="1"/>
  <c r="B428" i="19" s="1"/>
  <c r="B427" i="19"/>
  <c r="B427" i="19" a="1"/>
  <c r="B426" i="19" a="1"/>
  <c r="B426" i="19" s="1"/>
  <c r="B425" i="19" a="1"/>
  <c r="B425" i="19" s="1"/>
  <c r="B424" i="19" a="1"/>
  <c r="B424" i="19" s="1"/>
  <c r="B423" i="19"/>
  <c r="B423" i="19" a="1"/>
  <c r="B422" i="19" a="1"/>
  <c r="B422" i="19" s="1"/>
  <c r="B421" i="19" a="1"/>
  <c r="B421" i="19" s="1"/>
  <c r="B420" i="19" a="1"/>
  <c r="B420" i="19" s="1"/>
  <c r="B419" i="19"/>
  <c r="B419" i="19" a="1"/>
  <c r="B418" i="19" a="1"/>
  <c r="B418" i="19" s="1"/>
  <c r="B417" i="19" a="1"/>
  <c r="B417" i="19" s="1"/>
  <c r="B416" i="19" a="1"/>
  <c r="B416" i="19" s="1"/>
  <c r="B415" i="19"/>
  <c r="B415" i="19" a="1"/>
  <c r="B414" i="19" a="1"/>
  <c r="B414" i="19" s="1"/>
  <c r="B413" i="19" a="1"/>
  <c r="B413" i="19" s="1"/>
  <c r="B412" i="19" a="1"/>
  <c r="B412" i="19" s="1"/>
  <c r="B411" i="19"/>
  <c r="B411" i="19" a="1"/>
  <c r="B410" i="19" a="1"/>
  <c r="B410" i="19" s="1"/>
  <c r="B409" i="19" a="1"/>
  <c r="B409" i="19" s="1"/>
  <c r="B408" i="19" a="1"/>
  <c r="B408" i="19" s="1"/>
  <c r="B407" i="19"/>
  <c r="B407" i="19" a="1"/>
  <c r="B406" i="19" a="1"/>
  <c r="B406" i="19" s="1"/>
  <c r="B405" i="19" a="1"/>
  <c r="B405" i="19" s="1"/>
  <c r="B404" i="19" a="1"/>
  <c r="B404" i="19" s="1"/>
  <c r="B403" i="19"/>
  <c r="B403" i="19" a="1"/>
  <c r="B402" i="19" a="1"/>
  <c r="B402" i="19" s="1"/>
  <c r="B401" i="19" a="1"/>
  <c r="B401" i="19" s="1"/>
  <c r="B400" i="19" a="1"/>
  <c r="B400" i="19" s="1"/>
  <c r="B399" i="19"/>
  <c r="B399" i="19" a="1"/>
  <c r="B398" i="19" a="1"/>
  <c r="B398" i="19" s="1"/>
  <c r="B397" i="19" a="1"/>
  <c r="B397" i="19" s="1"/>
  <c r="B396" i="19" a="1"/>
  <c r="B396" i="19" s="1"/>
  <c r="B395" i="19"/>
  <c r="B395" i="19" a="1"/>
  <c r="B394" i="19" a="1"/>
  <c r="B394" i="19" s="1"/>
  <c r="B393" i="19" a="1"/>
  <c r="B393" i="19" s="1"/>
  <c r="B392" i="19" a="1"/>
  <c r="B392" i="19" s="1"/>
  <c r="B391" i="19"/>
  <c r="B391" i="19" a="1"/>
  <c r="B390" i="19" a="1"/>
  <c r="B390" i="19" s="1"/>
  <c r="B389" i="19" a="1"/>
  <c r="B389" i="19" s="1"/>
  <c r="B388" i="19" a="1"/>
  <c r="B388" i="19" s="1"/>
  <c r="B387" i="19"/>
  <c r="B387" i="19" a="1"/>
  <c r="B386" i="19" a="1"/>
  <c r="B386" i="19" s="1"/>
  <c r="B385" i="19" a="1"/>
  <c r="B385" i="19" s="1"/>
  <c r="B384" i="19" a="1"/>
  <c r="B384" i="19" s="1"/>
  <c r="B383" i="19"/>
  <c r="B383" i="19" a="1"/>
  <c r="B382" i="19" a="1"/>
  <c r="B382" i="19" s="1"/>
  <c r="B381" i="19" a="1"/>
  <c r="B381" i="19" s="1"/>
  <c r="B380" i="19" a="1"/>
  <c r="B380" i="19" s="1"/>
  <c r="B379" i="19"/>
  <c r="B379" i="19" a="1"/>
  <c r="B378" i="19" a="1"/>
  <c r="B378" i="19" s="1"/>
  <c r="B377" i="19" a="1"/>
  <c r="B377" i="19" s="1"/>
  <c r="B376" i="19" a="1"/>
  <c r="B376" i="19" s="1"/>
  <c r="B375" i="19"/>
  <c r="B375" i="19" a="1"/>
  <c r="B374" i="19" a="1"/>
  <c r="B374" i="19" s="1"/>
  <c r="B373" i="19" a="1"/>
  <c r="B373" i="19" s="1"/>
  <c r="B372" i="19" a="1"/>
  <c r="B372" i="19" s="1"/>
  <c r="B371" i="19"/>
  <c r="B371" i="19" a="1"/>
  <c r="B370" i="19" a="1"/>
  <c r="B370" i="19" s="1"/>
  <c r="B369" i="19" a="1"/>
  <c r="B369" i="19" s="1"/>
  <c r="B368" i="19" a="1"/>
  <c r="B368" i="19" s="1"/>
  <c r="B367" i="19"/>
  <c r="B367" i="19" a="1"/>
  <c r="B366" i="19" a="1"/>
  <c r="B366" i="19" s="1"/>
  <c r="B365" i="19" a="1"/>
  <c r="B365" i="19" s="1"/>
  <c r="B364" i="19" a="1"/>
  <c r="B364" i="19" s="1"/>
  <c r="B363" i="19"/>
  <c r="B363" i="19" a="1"/>
  <c r="B362" i="19" a="1"/>
  <c r="B362" i="19" s="1"/>
  <c r="B361" i="19" a="1"/>
  <c r="B361" i="19" s="1"/>
  <c r="B360" i="19" a="1"/>
  <c r="B360" i="19" s="1"/>
  <c r="B359" i="19"/>
  <c r="B359" i="19" a="1"/>
  <c r="B358" i="19" a="1"/>
  <c r="B358" i="19" s="1"/>
  <c r="B357" i="19" a="1"/>
  <c r="B357" i="19" s="1"/>
  <c r="B356" i="19" a="1"/>
  <c r="B356" i="19" s="1"/>
  <c r="B355" i="19"/>
  <c r="B355" i="19" a="1"/>
  <c r="B354" i="19" a="1"/>
  <c r="B354" i="19" s="1"/>
  <c r="B353" i="19" a="1"/>
  <c r="B353" i="19" s="1"/>
  <c r="B352" i="19" a="1"/>
  <c r="B352" i="19" s="1"/>
  <c r="B351" i="19"/>
  <c r="B351" i="19" a="1"/>
  <c r="B350" i="19" a="1"/>
  <c r="B350" i="19" s="1"/>
  <c r="B349" i="19" a="1"/>
  <c r="B349" i="19" s="1"/>
  <c r="B348" i="19" a="1"/>
  <c r="B348" i="19" s="1"/>
  <c r="B347" i="19"/>
  <c r="B347" i="19" a="1"/>
  <c r="B346" i="19" a="1"/>
  <c r="B346" i="19" s="1"/>
  <c r="B345" i="19" a="1"/>
  <c r="B345" i="19" s="1"/>
  <c r="B344" i="19" a="1"/>
  <c r="B344" i="19" s="1"/>
  <c r="B343" i="19"/>
  <c r="B343" i="19" a="1"/>
  <c r="B342" i="19" a="1"/>
  <c r="B342" i="19" s="1"/>
  <c r="B341" i="19" a="1"/>
  <c r="B341" i="19" s="1"/>
  <c r="B340" i="19" a="1"/>
  <c r="B340" i="19" s="1"/>
  <c r="B339" i="19"/>
  <c r="B339" i="19" a="1"/>
  <c r="B338" i="19" a="1"/>
  <c r="B338" i="19" s="1"/>
  <c r="B337" i="19" a="1"/>
  <c r="B337" i="19" s="1"/>
  <c r="B336" i="19" a="1"/>
  <c r="B336" i="19" s="1"/>
  <c r="B335" i="19"/>
  <c r="B335" i="19" a="1"/>
  <c r="B334" i="19" a="1"/>
  <c r="B334" i="19" s="1"/>
  <c r="B333" i="19" a="1"/>
  <c r="B333" i="19" s="1"/>
  <c r="B332" i="19" a="1"/>
  <c r="B332" i="19" s="1"/>
  <c r="B331" i="19"/>
  <c r="B331" i="19" a="1"/>
  <c r="B330" i="19" a="1"/>
  <c r="B330" i="19" s="1"/>
  <c r="B329" i="19" a="1"/>
  <c r="B329" i="19" s="1"/>
  <c r="B328" i="19" a="1"/>
  <c r="B328" i="19" s="1"/>
  <c r="B327" i="19"/>
  <c r="B327" i="19" a="1"/>
  <c r="B326" i="19" a="1"/>
  <c r="B326" i="19" s="1"/>
  <c r="B325" i="19" a="1"/>
  <c r="B325" i="19" s="1"/>
  <c r="B324" i="19" a="1"/>
  <c r="B324" i="19" s="1"/>
  <c r="B323" i="19"/>
  <c r="B323" i="19" a="1"/>
  <c r="B322" i="19" a="1"/>
  <c r="B322" i="19" s="1"/>
  <c r="B321" i="19" a="1"/>
  <c r="B321" i="19" s="1"/>
  <c r="B320" i="19" a="1"/>
  <c r="B320" i="19" s="1"/>
  <c r="B319" i="19"/>
  <c r="B319" i="19" a="1"/>
  <c r="B318" i="19" a="1"/>
  <c r="B318" i="19" s="1"/>
  <c r="B317" i="19" a="1"/>
  <c r="B317" i="19" s="1"/>
  <c r="B316" i="19" a="1"/>
  <c r="B316" i="19" s="1"/>
  <c r="B315" i="19"/>
  <c r="B315" i="19" a="1"/>
  <c r="B314" i="19" a="1"/>
  <c r="B314" i="19" s="1"/>
  <c r="B313" i="19" a="1"/>
  <c r="B313" i="19" s="1"/>
  <c r="B312" i="19" a="1"/>
  <c r="B312" i="19" s="1"/>
  <c r="B311" i="19"/>
  <c r="B311" i="19" a="1"/>
  <c r="B310" i="19" a="1"/>
  <c r="B310" i="19" s="1"/>
  <c r="B309" i="19" a="1"/>
  <c r="B309" i="19" s="1"/>
  <c r="B308" i="19" a="1"/>
  <c r="B308" i="19" s="1"/>
  <c r="B307" i="19"/>
  <c r="B307" i="19" a="1"/>
  <c r="B306" i="19" a="1"/>
  <c r="B306" i="19" s="1"/>
  <c r="B305" i="19" a="1"/>
  <c r="B305" i="19" s="1"/>
  <c r="B304" i="19" a="1"/>
  <c r="B304" i="19" s="1"/>
  <c r="B303" i="19"/>
  <c r="B303" i="19" a="1"/>
  <c r="B302" i="19"/>
  <c r="B302" i="19" a="1"/>
  <c r="B301" i="19"/>
  <c r="B301" i="19" a="1"/>
  <c r="B300" i="19"/>
  <c r="B300" i="19" a="1"/>
  <c r="B299" i="19"/>
  <c r="B299" i="19" a="1"/>
  <c r="B298" i="19"/>
  <c r="B298" i="19" a="1"/>
  <c r="B297" i="19"/>
  <c r="B297" i="19" a="1"/>
  <c r="B296" i="19"/>
  <c r="B296" i="19" a="1"/>
  <c r="B295" i="19"/>
  <c r="B295" i="19" a="1"/>
  <c r="B294" i="19"/>
  <c r="B294" i="19" a="1"/>
  <c r="B293" i="19"/>
  <c r="B293" i="19" a="1"/>
  <c r="B292" i="19"/>
  <c r="B292" i="19" a="1"/>
  <c r="B291" i="19"/>
  <c r="B291" i="19" a="1"/>
  <c r="B290" i="19"/>
  <c r="B290" i="19" a="1"/>
  <c r="B289" i="19"/>
  <c r="B289" i="19" a="1"/>
  <c r="B288" i="19"/>
  <c r="B288" i="19" a="1"/>
  <c r="B287" i="19"/>
  <c r="B287" i="19" a="1"/>
  <c r="B286" i="19"/>
  <c r="B286" i="19" a="1"/>
  <c r="B285" i="19"/>
  <c r="B285" i="19" a="1"/>
  <c r="B284" i="19"/>
  <c r="B284" i="19" a="1"/>
  <c r="B283" i="19"/>
  <c r="B283" i="19" a="1"/>
  <c r="B282" i="19"/>
  <c r="B282" i="19" a="1"/>
  <c r="B281" i="19"/>
  <c r="B281" i="19" a="1"/>
  <c r="B280" i="19"/>
  <c r="B280" i="19" a="1"/>
  <c r="B279" i="19"/>
  <c r="B279" i="19" a="1"/>
  <c r="B278" i="19"/>
  <c r="B278" i="19" a="1"/>
  <c r="B277" i="19"/>
  <c r="B277" i="19" a="1"/>
  <c r="B276" i="19"/>
  <c r="B276" i="19" a="1"/>
  <c r="B275" i="19"/>
  <c r="B275" i="19" a="1"/>
  <c r="B274" i="19"/>
  <c r="B274" i="19" a="1"/>
  <c r="B273" i="19"/>
  <c r="B273" i="19" a="1"/>
  <c r="B272" i="19"/>
  <c r="B272" i="19" a="1"/>
  <c r="B271" i="19"/>
  <c r="B271" i="19" a="1"/>
  <c r="B270" i="19"/>
  <c r="B270" i="19" a="1"/>
  <c r="B269" i="19"/>
  <c r="B269" i="19" a="1"/>
  <c r="B268" i="19"/>
  <c r="B268" i="19" a="1"/>
  <c r="B267" i="19"/>
  <c r="B267" i="19" a="1"/>
  <c r="B266" i="19"/>
  <c r="B266" i="19" a="1"/>
  <c r="B265" i="19"/>
  <c r="B265" i="19" a="1"/>
  <c r="B264" i="19"/>
  <c r="B264" i="19" a="1"/>
  <c r="B263" i="19"/>
  <c r="B263" i="19" a="1"/>
  <c r="B262" i="19"/>
  <c r="B262" i="19" a="1"/>
  <c r="B261" i="19"/>
  <c r="B261" i="19" a="1"/>
  <c r="B260" i="19"/>
  <c r="B260" i="19" a="1"/>
  <c r="B259" i="19"/>
  <c r="B259" i="19" a="1"/>
  <c r="B258" i="19"/>
  <c r="B258" i="19" a="1"/>
  <c r="B257" i="19"/>
  <c r="B257" i="19" a="1"/>
  <c r="B256" i="19"/>
  <c r="B256" i="19" a="1"/>
  <c r="B255" i="19"/>
  <c r="B255" i="19" a="1"/>
  <c r="B254" i="19"/>
  <c r="B254" i="19" a="1"/>
  <c r="B253" i="19"/>
  <c r="B253" i="19" a="1"/>
  <c r="B252" i="19"/>
  <c r="B252" i="19" a="1"/>
  <c r="B251" i="19"/>
  <c r="B251" i="19" a="1"/>
  <c r="B250" i="19"/>
  <c r="B250" i="19" a="1"/>
  <c r="B249" i="19"/>
  <c r="B249" i="19" a="1"/>
  <c r="B248" i="19"/>
  <c r="B248" i="19" a="1"/>
  <c r="B247" i="19"/>
  <c r="B247" i="19" a="1"/>
  <c r="B246" i="19"/>
  <c r="B246" i="19" a="1"/>
  <c r="B245" i="19"/>
  <c r="B245" i="19" a="1"/>
  <c r="B244" i="19"/>
  <c r="B244" i="19" a="1"/>
  <c r="B243" i="19"/>
  <c r="B243" i="19" a="1"/>
  <c r="B242" i="19"/>
  <c r="B242" i="19" a="1"/>
  <c r="B241" i="19"/>
  <c r="B241" i="19" a="1"/>
  <c r="B240" i="19"/>
  <c r="B240" i="19" a="1"/>
  <c r="B239" i="19"/>
  <c r="B239" i="19" a="1"/>
  <c r="B238" i="19"/>
  <c r="B238" i="19" a="1"/>
  <c r="B237" i="19"/>
  <c r="B237" i="19" a="1"/>
  <c r="B236" i="19"/>
  <c r="B236" i="19" a="1"/>
  <c r="B235" i="19"/>
  <c r="B235" i="19" a="1"/>
  <c r="B234" i="19"/>
  <c r="B234" i="19" a="1"/>
  <c r="B233" i="19"/>
  <c r="B233" i="19" a="1"/>
  <c r="B232" i="19"/>
  <c r="B232" i="19" a="1"/>
  <c r="B231" i="19"/>
  <c r="B231" i="19" a="1"/>
  <c r="B230" i="19"/>
  <c r="B230" i="19" a="1"/>
  <c r="B229" i="19"/>
  <c r="B229" i="19" a="1"/>
  <c r="B228" i="19"/>
  <c r="B228" i="19" a="1"/>
  <c r="B227" i="19"/>
  <c r="B227" i="19" a="1"/>
  <c r="B226" i="19"/>
  <c r="B226" i="19" a="1"/>
  <c r="B225" i="19"/>
  <c r="B225" i="19" a="1"/>
  <c r="B224" i="19"/>
  <c r="B224" i="19" a="1"/>
  <c r="B223" i="19"/>
  <c r="B223" i="19" a="1"/>
  <c r="B222" i="19"/>
  <c r="B222" i="19" a="1"/>
  <c r="B221" i="19"/>
  <c r="B221" i="19" a="1"/>
  <c r="B220" i="19"/>
  <c r="B220" i="19" a="1"/>
  <c r="B219" i="19"/>
  <c r="B219" i="19" a="1"/>
  <c r="B218" i="19"/>
  <c r="B218" i="19" a="1"/>
  <c r="B217" i="19"/>
  <c r="B217" i="19" a="1"/>
  <c r="B216" i="19"/>
  <c r="B216" i="19" a="1"/>
  <c r="B215" i="19"/>
  <c r="B215" i="19" a="1"/>
  <c r="B214" i="19"/>
  <c r="B214" i="19" a="1"/>
  <c r="B213" i="19"/>
  <c r="B213" i="19" a="1"/>
  <c r="B212" i="19"/>
  <c r="B212" i="19" a="1"/>
  <c r="B211" i="19"/>
  <c r="B211" i="19" a="1"/>
  <c r="B210" i="19"/>
  <c r="B210" i="19" a="1"/>
  <c r="B209" i="19"/>
  <c r="B209" i="19" a="1"/>
  <c r="B208" i="19"/>
  <c r="B208" i="19" a="1"/>
  <c r="B207" i="19"/>
  <c r="B207" i="19" a="1"/>
  <c r="B206" i="19"/>
  <c r="B206" i="19" a="1"/>
  <c r="B205" i="19"/>
  <c r="B205" i="19" a="1"/>
  <c r="B204" i="19"/>
  <c r="B204" i="19" a="1"/>
  <c r="B203" i="19"/>
  <c r="B203" i="19" a="1"/>
  <c r="B202" i="19"/>
  <c r="B202" i="19" a="1"/>
  <c r="B201" i="19"/>
  <c r="B201" i="19" a="1"/>
  <c r="B200" i="19"/>
  <c r="B200" i="19" a="1"/>
  <c r="B199" i="19"/>
  <c r="B199" i="19" a="1"/>
  <c r="B198" i="19"/>
  <c r="B198" i="19" a="1"/>
  <c r="B197" i="19"/>
  <c r="B197" i="19" a="1"/>
  <c r="B196" i="19"/>
  <c r="B196" i="19" a="1"/>
  <c r="B195" i="19"/>
  <c r="B195" i="19" a="1"/>
  <c r="B194" i="19"/>
  <c r="B194" i="19" a="1"/>
  <c r="B193" i="19"/>
  <c r="B193" i="19" a="1"/>
  <c r="B192" i="19"/>
  <c r="B192" i="19" a="1"/>
  <c r="B191" i="19"/>
  <c r="B191" i="19" a="1"/>
  <c r="B190" i="19"/>
  <c r="B190" i="19" a="1"/>
  <c r="B189" i="19"/>
  <c r="B189" i="19" a="1"/>
  <c r="B188" i="19"/>
  <c r="B188" i="19" a="1"/>
  <c r="B187" i="19"/>
  <c r="B187" i="19" a="1"/>
  <c r="B186" i="19"/>
  <c r="B186" i="19" a="1"/>
  <c r="B185" i="19"/>
  <c r="B185" i="19" a="1"/>
  <c r="B184" i="19"/>
  <c r="B184" i="19" a="1"/>
  <c r="B183" i="19"/>
  <c r="B183" i="19" a="1"/>
  <c r="B182" i="19"/>
  <c r="B182" i="19" a="1"/>
  <c r="B181" i="19"/>
  <c r="B181" i="19" a="1"/>
  <c r="B180" i="19"/>
  <c r="B180" i="19" a="1"/>
  <c r="B179" i="19"/>
  <c r="B179" i="19" a="1"/>
  <c r="B178" i="19"/>
  <c r="B178" i="19" a="1"/>
  <c r="B177" i="19"/>
  <c r="B177" i="19" a="1"/>
  <c r="B176" i="19"/>
  <c r="B176" i="19" a="1"/>
  <c r="B175" i="19"/>
  <c r="B175" i="19" a="1"/>
  <c r="B174" i="19"/>
  <c r="B174" i="19" a="1"/>
  <c r="B173" i="19"/>
  <c r="B173" i="19" a="1"/>
  <c r="B172" i="19"/>
  <c r="B172" i="19" a="1"/>
  <c r="B171" i="19"/>
  <c r="B171" i="19" a="1"/>
  <c r="B170" i="19"/>
  <c r="B170" i="19" a="1"/>
  <c r="B169" i="19"/>
  <c r="B169" i="19" a="1"/>
  <c r="B168" i="19"/>
  <c r="B168" i="19" a="1"/>
  <c r="B167" i="19"/>
  <c r="B167" i="19" a="1"/>
  <c r="B166" i="19"/>
  <c r="B166" i="19" a="1"/>
  <c r="B165" i="19"/>
  <c r="B165" i="19" a="1"/>
  <c r="B164" i="19"/>
  <c r="B164" i="19" a="1"/>
  <c r="B163" i="19"/>
  <c r="B163" i="19" a="1"/>
  <c r="B162" i="19"/>
  <c r="B162" i="19" a="1"/>
  <c r="B161" i="19"/>
  <c r="B161" i="19" a="1"/>
  <c r="B160" i="19"/>
  <c r="B160" i="19" a="1"/>
  <c r="B159" i="19"/>
  <c r="B159" i="19" a="1"/>
  <c r="B158" i="19"/>
  <c r="B158" i="19" a="1"/>
  <c r="B157" i="19"/>
  <c r="B157" i="19" a="1"/>
  <c r="B156" i="19"/>
  <c r="B156" i="19" a="1"/>
  <c r="B155" i="19"/>
  <c r="B155" i="19" a="1"/>
  <c r="B154" i="19"/>
  <c r="B154" i="19" a="1"/>
  <c r="B153" i="19"/>
  <c r="B153" i="19" a="1"/>
  <c r="B152" i="19"/>
  <c r="B152" i="19" a="1"/>
  <c r="B151" i="19"/>
  <c r="B151" i="19" a="1"/>
  <c r="B150" i="19"/>
  <c r="B150" i="19" a="1"/>
  <c r="B149" i="19"/>
  <c r="B149" i="19" a="1"/>
  <c r="B148" i="19"/>
  <c r="B148" i="19" a="1"/>
  <c r="B147" i="19"/>
  <c r="B147" i="19" a="1"/>
  <c r="B146" i="19"/>
  <c r="B146" i="19" a="1"/>
  <c r="B145" i="19"/>
  <c r="B145" i="19" a="1"/>
  <c r="B144" i="19"/>
  <c r="B144" i="19" a="1"/>
  <c r="B143" i="19"/>
  <c r="B143" i="19" a="1"/>
  <c r="B142" i="19"/>
  <c r="B142" i="19" a="1"/>
  <c r="B141" i="19"/>
  <c r="B141" i="19" a="1"/>
  <c r="A140" i="19" a="1"/>
  <c r="A140" i="19" s="1"/>
  <c r="B140" i="19" s="1" a="1"/>
  <c r="B140" i="19" s="1"/>
  <c r="A139" i="19" a="1"/>
  <c r="A139" i="19" s="1"/>
  <c r="B139" i="19" s="1" a="1"/>
  <c r="B139" i="19" s="1"/>
  <c r="A138" i="19" a="1"/>
  <c r="A138" i="19" s="1"/>
  <c r="B138" i="19" s="1" a="1"/>
  <c r="B138" i="19" s="1"/>
  <c r="A137" i="19" a="1"/>
  <c r="A137" i="19" s="1"/>
  <c r="B137" i="19" s="1" a="1"/>
  <c r="B137" i="19" s="1"/>
  <c r="A136" i="19" a="1"/>
  <c r="A136" i="19" s="1"/>
  <c r="B136" i="19" s="1" a="1"/>
  <c r="B136" i="19" s="1"/>
  <c r="A135" i="19" a="1"/>
  <c r="A135" i="19" s="1"/>
  <c r="B135" i="19" s="1" a="1"/>
  <c r="B135" i="19" s="1"/>
  <c r="A134" i="19" a="1"/>
  <c r="A134" i="19" s="1"/>
  <c r="B134" i="19" s="1" a="1"/>
  <c r="B134" i="19" s="1"/>
  <c r="A133" i="19" a="1"/>
  <c r="A133" i="19" s="1"/>
  <c r="B133" i="19" s="1" a="1"/>
  <c r="B133" i="19" s="1"/>
  <c r="A132" i="19" a="1"/>
  <c r="A132" i="19" s="1"/>
  <c r="B132" i="19" s="1" a="1"/>
  <c r="B132" i="19" s="1"/>
  <c r="A131" i="19" a="1"/>
  <c r="A131" i="19" s="1"/>
  <c r="B131" i="19" s="1" a="1"/>
  <c r="B131" i="19" s="1"/>
  <c r="A130" i="19" a="1"/>
  <c r="A130" i="19" s="1"/>
  <c r="B130" i="19" s="1" a="1"/>
  <c r="B130" i="19" s="1"/>
  <c r="A129" i="19" a="1"/>
  <c r="A129" i="19" s="1"/>
  <c r="B129" i="19" s="1" a="1"/>
  <c r="B129" i="19" s="1"/>
  <c r="A128" i="19" a="1"/>
  <c r="A128" i="19" s="1"/>
  <c r="B128" i="19" s="1" a="1"/>
  <c r="B128" i="19" s="1"/>
  <c r="A127" i="19" a="1"/>
  <c r="A127" i="19" s="1"/>
  <c r="B127" i="19" s="1" a="1"/>
  <c r="B127" i="19" s="1"/>
  <c r="A126" i="19" a="1"/>
  <c r="A126" i="19" s="1"/>
  <c r="B126" i="19" s="1" a="1"/>
  <c r="B126" i="19" s="1"/>
  <c r="A125" i="19" a="1"/>
  <c r="A125" i="19" s="1"/>
  <c r="B125" i="19" s="1" a="1"/>
  <c r="B125" i="19" s="1"/>
  <c r="A124" i="19" a="1"/>
  <c r="A124" i="19" s="1"/>
  <c r="B124" i="19" s="1" a="1"/>
  <c r="B124" i="19" s="1"/>
  <c r="A123" i="19" a="1"/>
  <c r="A123" i="19" s="1"/>
  <c r="B123" i="19" s="1" a="1"/>
  <c r="B123" i="19" s="1"/>
  <c r="A122" i="19" a="1"/>
  <c r="A122" i="19" s="1"/>
  <c r="B122" i="19" s="1" a="1"/>
  <c r="B122" i="19" s="1"/>
  <c r="A121" i="19" a="1"/>
  <c r="A121" i="19" s="1"/>
  <c r="B121" i="19" s="1" a="1"/>
  <c r="B121" i="19" s="1"/>
  <c r="A120" i="19" a="1"/>
  <c r="A120" i="19" s="1"/>
  <c r="B120" i="19" s="1" a="1"/>
  <c r="B120" i="19" s="1"/>
  <c r="A119" i="19" a="1"/>
  <c r="A119" i="19" s="1"/>
  <c r="B119" i="19" s="1" a="1"/>
  <c r="B119" i="19" s="1"/>
  <c r="A118" i="19" a="1"/>
  <c r="A118" i="19" s="1"/>
  <c r="B118" i="19" s="1" a="1"/>
  <c r="B118" i="19" s="1"/>
  <c r="A117" i="19" a="1"/>
  <c r="A117" i="19" s="1"/>
  <c r="B117" i="19" s="1" a="1"/>
  <c r="B117" i="19" s="1"/>
  <c r="A116" i="19" a="1"/>
  <c r="A116" i="19" s="1"/>
  <c r="B116" i="19" s="1" a="1"/>
  <c r="B116" i="19" s="1"/>
  <c r="A115" i="19" a="1"/>
  <c r="A115" i="19" s="1"/>
  <c r="B115" i="19" s="1" a="1"/>
  <c r="B115" i="19" s="1"/>
  <c r="A114" i="19" a="1"/>
  <c r="A114" i="19" s="1"/>
  <c r="B114" i="19" s="1" a="1"/>
  <c r="B114" i="19" s="1"/>
  <c r="A113" i="19" a="1"/>
  <c r="A113" i="19" s="1"/>
  <c r="B113" i="19" s="1" a="1"/>
  <c r="B113" i="19" s="1"/>
  <c r="A112" i="19" a="1"/>
  <c r="A112" i="19" s="1"/>
  <c r="B112" i="19" s="1" a="1"/>
  <c r="B112" i="19" s="1"/>
  <c r="A111" i="19" a="1"/>
  <c r="A111" i="19" s="1"/>
  <c r="B111" i="19" s="1" a="1"/>
  <c r="B111" i="19" s="1"/>
  <c r="A110" i="19" a="1"/>
  <c r="A110" i="19" s="1"/>
  <c r="B110" i="19" s="1" a="1"/>
  <c r="B110" i="19" s="1"/>
  <c r="A109" i="19" a="1"/>
  <c r="A109" i="19" s="1"/>
  <c r="B109" i="19" s="1" a="1"/>
  <c r="B109" i="19" s="1"/>
  <c r="A108" i="19" a="1"/>
  <c r="A108" i="19" s="1"/>
  <c r="B108" i="19" s="1" a="1"/>
  <c r="B108" i="19" s="1"/>
  <c r="A107" i="19" a="1"/>
  <c r="A107" i="19" s="1"/>
  <c r="B107" i="19" s="1" a="1"/>
  <c r="B107" i="19" s="1"/>
  <c r="A106" i="19" a="1"/>
  <c r="A106" i="19" s="1"/>
  <c r="B106" i="19" s="1" a="1"/>
  <c r="B106" i="19" s="1"/>
  <c r="A105" i="19" a="1"/>
  <c r="A105" i="19" s="1"/>
  <c r="B105" i="19" s="1" a="1"/>
  <c r="B105" i="19" s="1"/>
  <c r="A104" i="19" a="1"/>
  <c r="A104" i="19" s="1"/>
  <c r="B104" i="19" s="1" a="1"/>
  <c r="B104" i="19" s="1"/>
  <c r="A103" i="19" a="1"/>
  <c r="A103" i="19" s="1"/>
  <c r="B103" i="19" s="1" a="1"/>
  <c r="B103" i="19" s="1"/>
  <c r="A102" i="19" a="1"/>
  <c r="A102" i="19" s="1"/>
  <c r="B102" i="19" s="1" a="1"/>
  <c r="B102" i="19" s="1"/>
  <c r="A101" i="19" a="1"/>
  <c r="A101" i="19" s="1"/>
  <c r="B101" i="19" s="1" a="1"/>
  <c r="B101" i="19" s="1"/>
  <c r="A100" i="19" a="1"/>
  <c r="A100" i="19" s="1"/>
  <c r="B100" i="19" s="1" a="1"/>
  <c r="B100" i="19" s="1"/>
  <c r="A99" i="19" a="1"/>
  <c r="A99" i="19" s="1"/>
  <c r="B99" i="19" s="1" a="1"/>
  <c r="B99" i="19" s="1"/>
  <c r="A98" i="19" a="1"/>
  <c r="A98" i="19" s="1"/>
  <c r="B98" i="19" s="1" a="1"/>
  <c r="B98" i="19" s="1"/>
  <c r="A97" i="19" a="1"/>
  <c r="A97" i="19" s="1"/>
  <c r="B97" i="19" s="1" a="1"/>
  <c r="B97" i="19" s="1"/>
  <c r="A96" i="19"/>
  <c r="B96" i="19" s="1" a="1"/>
  <c r="B96" i="19" s="1"/>
  <c r="A96" i="19" a="1"/>
  <c r="A95" i="19" a="1"/>
  <c r="A95" i="19" s="1"/>
  <c r="B95" i="19" s="1" a="1"/>
  <c r="B95" i="19" s="1"/>
  <c r="A94" i="19" a="1"/>
  <c r="A94" i="19" s="1"/>
  <c r="B94" i="19" s="1" a="1"/>
  <c r="B94" i="19" s="1"/>
  <c r="A93" i="19" a="1"/>
  <c r="A93" i="19" s="1"/>
  <c r="B93" i="19" s="1" a="1"/>
  <c r="B93" i="19" s="1"/>
  <c r="A92" i="19"/>
  <c r="B92" i="19" s="1" a="1"/>
  <c r="B92" i="19" s="1"/>
  <c r="A92" i="19" a="1"/>
  <c r="A91" i="19" a="1"/>
  <c r="A91" i="19" s="1"/>
  <c r="B91" i="19" s="1" a="1"/>
  <c r="B91" i="19" s="1"/>
  <c r="A90" i="19" a="1"/>
  <c r="A90" i="19" s="1"/>
  <c r="B90" i="19" s="1" a="1"/>
  <c r="B90" i="19" s="1"/>
  <c r="A89" i="19" a="1"/>
  <c r="A89" i="19" s="1"/>
  <c r="B89" i="19" s="1" a="1"/>
  <c r="B89" i="19" s="1"/>
  <c r="A88" i="19"/>
  <c r="B88" i="19" s="1" a="1"/>
  <c r="B88" i="19" s="1"/>
  <c r="A88" i="19" a="1"/>
  <c r="A87" i="19" a="1"/>
  <c r="A87" i="19" s="1"/>
  <c r="B87" i="19" s="1" a="1"/>
  <c r="B87" i="19" s="1"/>
  <c r="A86" i="19" a="1"/>
  <c r="A86" i="19" s="1"/>
  <c r="B86" i="19" s="1" a="1"/>
  <c r="B86" i="19" s="1"/>
  <c r="A85" i="19" a="1"/>
  <c r="A85" i="19" s="1"/>
  <c r="B85" i="19" s="1" a="1"/>
  <c r="B85" i="19" s="1"/>
  <c r="A84" i="19" a="1"/>
  <c r="A84" i="19" s="1"/>
  <c r="B84" i="19" s="1" a="1"/>
  <c r="B84" i="19" s="1"/>
  <c r="A83" i="19" a="1"/>
  <c r="A83" i="19" s="1"/>
  <c r="B83" i="19" s="1" a="1"/>
  <c r="B83" i="19" s="1"/>
  <c r="A82" i="19" a="1"/>
  <c r="A82" i="19" s="1"/>
  <c r="B82" i="19" s="1" a="1"/>
  <c r="B82" i="19" s="1"/>
  <c r="A81" i="19" a="1"/>
  <c r="A81" i="19" s="1"/>
  <c r="B81" i="19" s="1" a="1"/>
  <c r="B81" i="19" s="1"/>
  <c r="A80" i="19" a="1"/>
  <c r="A80" i="19" s="1"/>
  <c r="B80" i="19" s="1" a="1"/>
  <c r="B80" i="19" s="1"/>
  <c r="A79" i="19" a="1"/>
  <c r="A79" i="19" s="1"/>
  <c r="B79" i="19" s="1" a="1"/>
  <c r="B79" i="19" s="1"/>
  <c r="A78" i="19" a="1"/>
  <c r="A78" i="19" s="1"/>
  <c r="B78" i="19" s="1" a="1"/>
  <c r="B78" i="19" s="1"/>
  <c r="A77" i="19" a="1"/>
  <c r="A77" i="19" s="1"/>
  <c r="B77" i="19" s="1" a="1"/>
  <c r="B77" i="19" s="1"/>
  <c r="A76" i="19" a="1"/>
  <c r="A76" i="19" s="1"/>
  <c r="B76" i="19" s="1" a="1"/>
  <c r="B76" i="19" s="1"/>
  <c r="A75" i="19" a="1"/>
  <c r="A75" i="19" s="1"/>
  <c r="B75" i="19" s="1" a="1"/>
  <c r="B75" i="19" s="1"/>
  <c r="A74" i="19" a="1"/>
  <c r="A74" i="19" s="1"/>
  <c r="B74" i="19" s="1" a="1"/>
  <c r="B74" i="19" s="1"/>
  <c r="A73" i="19" a="1"/>
  <c r="A73" i="19" s="1"/>
  <c r="B73" i="19" s="1" a="1"/>
  <c r="B73" i="19" s="1"/>
  <c r="A72" i="19" a="1"/>
  <c r="A72" i="19" s="1"/>
  <c r="B72" i="19" s="1" a="1"/>
  <c r="B72" i="19" s="1"/>
  <c r="A71" i="19" a="1"/>
  <c r="A71" i="19" s="1"/>
  <c r="B71" i="19" s="1" a="1"/>
  <c r="B71" i="19" s="1"/>
  <c r="A70" i="19" a="1"/>
  <c r="A70" i="19" s="1"/>
  <c r="B70" i="19" s="1" a="1"/>
  <c r="B70" i="19" s="1"/>
  <c r="A69" i="19" a="1"/>
  <c r="A69" i="19" s="1"/>
  <c r="B69" i="19" s="1" a="1"/>
  <c r="B69" i="19" s="1"/>
  <c r="A68" i="19" a="1"/>
  <c r="A68" i="19" s="1"/>
  <c r="B68" i="19" s="1" a="1"/>
  <c r="B68" i="19" s="1"/>
  <c r="A67" i="19" a="1"/>
  <c r="A67" i="19" s="1"/>
  <c r="B67" i="19" s="1" a="1"/>
  <c r="B67" i="19" s="1"/>
  <c r="A66" i="19" a="1"/>
  <c r="A66" i="19" s="1"/>
  <c r="B66" i="19" s="1" a="1"/>
  <c r="B66" i="19" s="1"/>
  <c r="A65" i="19" a="1"/>
  <c r="A65" i="19" s="1"/>
  <c r="B65" i="19" s="1" a="1"/>
  <c r="B65" i="19" s="1"/>
  <c r="A64" i="19" a="1"/>
  <c r="A64" i="19" s="1"/>
  <c r="B64" i="19" s="1" a="1"/>
  <c r="B64" i="19" s="1"/>
  <c r="A63" i="19" a="1"/>
  <c r="A63" i="19" s="1"/>
  <c r="B63" i="19" s="1" a="1"/>
  <c r="B63" i="19" s="1"/>
  <c r="A62" i="19" a="1"/>
  <c r="A62" i="19" s="1"/>
  <c r="B62" i="19" s="1" a="1"/>
  <c r="B62" i="19" s="1"/>
  <c r="A61" i="19" a="1"/>
  <c r="A61" i="19" s="1"/>
  <c r="B61" i="19" s="1" a="1"/>
  <c r="B61" i="19" s="1"/>
  <c r="A60" i="19" a="1"/>
  <c r="A60" i="19" s="1"/>
  <c r="B60" i="19" s="1" a="1"/>
  <c r="B60" i="19" s="1"/>
  <c r="A59" i="19" a="1"/>
  <c r="A59" i="19" s="1"/>
  <c r="B59" i="19" s="1" a="1"/>
  <c r="B59" i="19" s="1"/>
  <c r="A58" i="19" a="1"/>
  <c r="A58" i="19" s="1"/>
  <c r="B58" i="19" s="1" a="1"/>
  <c r="B58" i="19" s="1"/>
  <c r="A57" i="19" a="1"/>
  <c r="A57" i="19" s="1"/>
  <c r="B57" i="19" s="1" a="1"/>
  <c r="B57" i="19" s="1"/>
  <c r="A56" i="19" a="1"/>
  <c r="A56" i="19" s="1"/>
  <c r="B56" i="19" s="1" a="1"/>
  <c r="B56" i="19" s="1"/>
  <c r="A55" i="19" a="1"/>
  <c r="A55" i="19" s="1"/>
  <c r="B55" i="19" s="1" a="1"/>
  <c r="B55" i="19" s="1"/>
  <c r="A54" i="19" a="1"/>
  <c r="A54" i="19" s="1"/>
  <c r="B54" i="19" s="1" a="1"/>
  <c r="B54" i="19" s="1"/>
  <c r="A53" i="19" a="1"/>
  <c r="A53" i="19" s="1"/>
  <c r="B53" i="19" s="1" a="1"/>
  <c r="B53" i="19" s="1"/>
  <c r="A52" i="19" a="1"/>
  <c r="A52" i="19" s="1"/>
  <c r="B52" i="19" s="1" a="1"/>
  <c r="B52" i="19" s="1"/>
  <c r="A51" i="19" a="1"/>
  <c r="A51" i="19" s="1"/>
  <c r="B51" i="19" s="1" a="1"/>
  <c r="B51" i="19" s="1"/>
  <c r="A50" i="19" a="1"/>
  <c r="A50" i="19" s="1"/>
  <c r="B50" i="19" s="1" a="1"/>
  <c r="B50" i="19" s="1"/>
  <c r="A49" i="19" a="1"/>
  <c r="A49" i="19" s="1"/>
  <c r="B49" i="19" s="1" a="1"/>
  <c r="B49" i="19" s="1"/>
  <c r="A48" i="19" a="1"/>
  <c r="A48" i="19" s="1"/>
  <c r="B48" i="19" s="1" a="1"/>
  <c r="B48" i="19" s="1"/>
  <c r="A47" i="19" a="1"/>
  <c r="A47" i="19" s="1"/>
  <c r="B47" i="19" s="1" a="1"/>
  <c r="B47" i="19" s="1"/>
  <c r="A46" i="19" a="1"/>
  <c r="A46" i="19" s="1"/>
  <c r="B46" i="19" s="1" a="1"/>
  <c r="B46" i="19" s="1"/>
  <c r="A45" i="19" a="1"/>
  <c r="A45" i="19" s="1"/>
  <c r="B45" i="19" s="1" a="1"/>
  <c r="B45" i="19" s="1"/>
  <c r="A44" i="19" a="1"/>
  <c r="A44" i="19" s="1"/>
  <c r="B44" i="19" s="1" a="1"/>
  <c r="B44" i="19" s="1"/>
  <c r="A43" i="19" a="1"/>
  <c r="A43" i="19" s="1"/>
  <c r="B43" i="19" s="1" a="1"/>
  <c r="B43" i="19" s="1"/>
  <c r="A42" i="19" a="1"/>
  <c r="A42" i="19" s="1"/>
  <c r="B42" i="19" s="1" a="1"/>
  <c r="B42" i="19" s="1"/>
  <c r="A41" i="19" a="1"/>
  <c r="A41" i="19" s="1"/>
  <c r="B41" i="19" s="1" a="1"/>
  <c r="B41" i="19" s="1"/>
  <c r="A40" i="19" a="1"/>
  <c r="A40" i="19" s="1"/>
  <c r="B40" i="19" s="1" a="1"/>
  <c r="B40" i="19" s="1"/>
  <c r="A39" i="19" a="1"/>
  <c r="A39" i="19" s="1"/>
  <c r="B39" i="19" s="1" a="1"/>
  <c r="B39" i="19" s="1"/>
  <c r="A38" i="19" a="1"/>
  <c r="A38" i="19" s="1"/>
  <c r="B38" i="19" s="1" a="1"/>
  <c r="B38" i="19" s="1"/>
  <c r="A37" i="19" a="1"/>
  <c r="A37" i="19" s="1"/>
  <c r="B37" i="19" s="1" a="1"/>
  <c r="B37" i="19" s="1"/>
  <c r="A36" i="19" a="1"/>
  <c r="A36" i="19" s="1"/>
  <c r="B36" i="19" s="1" a="1"/>
  <c r="B36" i="19" s="1"/>
  <c r="A35" i="19" a="1"/>
  <c r="A35" i="19" s="1"/>
  <c r="B35" i="19" s="1" a="1"/>
  <c r="B35" i="19" s="1"/>
  <c r="A34" i="19" a="1"/>
  <c r="A34" i="19" s="1"/>
  <c r="B34" i="19" s="1" a="1"/>
  <c r="B34" i="19" s="1"/>
  <c r="A33" i="19" a="1"/>
  <c r="A33" i="19" s="1"/>
  <c r="B33" i="19" s="1" a="1"/>
  <c r="B33" i="19" s="1"/>
  <c r="A32" i="19" a="1"/>
  <c r="A32" i="19" s="1"/>
  <c r="B32" i="19" s="1" a="1"/>
  <c r="B32" i="19" s="1"/>
  <c r="A31" i="19" a="1"/>
  <c r="A31" i="19" s="1"/>
  <c r="B31" i="19" s="1" a="1"/>
  <c r="B31" i="19" s="1"/>
  <c r="A30" i="19" a="1"/>
  <c r="A30" i="19" s="1"/>
  <c r="B30" i="19" s="1" a="1"/>
  <c r="B30" i="19" s="1"/>
  <c r="A29" i="19" a="1"/>
  <c r="A29" i="19" s="1"/>
  <c r="B29" i="19" s="1" a="1"/>
  <c r="B29" i="19" s="1"/>
  <c r="A28" i="19" a="1"/>
  <c r="A28" i="19" s="1"/>
  <c r="B28" i="19" s="1" a="1"/>
  <c r="B28" i="19" s="1"/>
  <c r="A27" i="19" a="1"/>
  <c r="A27" i="19" s="1"/>
  <c r="B27" i="19" s="1" a="1"/>
  <c r="B27" i="19" s="1"/>
  <c r="A26" i="19" a="1"/>
  <c r="A26" i="19" s="1"/>
  <c r="B26" i="19" s="1" a="1"/>
  <c r="B26" i="19" s="1"/>
  <c r="A25" i="19" a="1"/>
  <c r="A25" i="19" s="1"/>
  <c r="B25" i="19" s="1" a="1"/>
  <c r="B25" i="19" s="1"/>
  <c r="A24" i="19" a="1"/>
  <c r="A24" i="19" s="1"/>
  <c r="B24" i="19" s="1" a="1"/>
  <c r="B24" i="19" s="1"/>
  <c r="A23" i="19" a="1"/>
  <c r="A23" i="19" s="1"/>
  <c r="B23" i="19" s="1" a="1"/>
  <c r="B23" i="19" s="1"/>
  <c r="A22" i="19" a="1"/>
  <c r="A22" i="19" s="1"/>
  <c r="B22" i="19" s="1" a="1"/>
  <c r="B22" i="19" s="1"/>
  <c r="A21" i="19" a="1"/>
  <c r="A21" i="19" s="1"/>
  <c r="B21" i="19" s="1" a="1"/>
  <c r="B21" i="19" s="1"/>
  <c r="A20" i="19" a="1"/>
  <c r="A20" i="19" s="1"/>
  <c r="B20" i="19" s="1" a="1"/>
  <c r="B20" i="19" s="1"/>
  <c r="A19" i="19" a="1"/>
  <c r="A19" i="19" s="1"/>
  <c r="B19" i="19" s="1" a="1"/>
  <c r="B19" i="19" s="1"/>
  <c r="A18" i="19" a="1"/>
  <c r="A18" i="19" s="1"/>
  <c r="B18" i="19" s="1" a="1"/>
  <c r="B18" i="19" s="1"/>
  <c r="A17" i="19" a="1"/>
  <c r="A17" i="19" s="1"/>
  <c r="B17" i="19" s="1" a="1"/>
  <c r="B17" i="19" s="1"/>
  <c r="B13" i="19"/>
  <c r="B13" i="19" a="1"/>
  <c r="B3" i="19"/>
  <c r="B3" i="18"/>
  <c r="A1" i="2" a="1"/>
  <c r="B32" i="2" s="1"/>
  <c r="A2" i="15"/>
  <c r="A2" i="16" s="1"/>
  <c r="H336" i="17"/>
  <c r="H335" i="17"/>
  <c r="H334" i="17"/>
  <c r="H333" i="17"/>
  <c r="H332" i="17"/>
  <c r="H331" i="17"/>
  <c r="H330" i="17"/>
  <c r="H329" i="17"/>
  <c r="H328" i="17"/>
  <c r="H327" i="17"/>
  <c r="H326" i="17"/>
  <c r="H325" i="17"/>
  <c r="H324" i="17"/>
  <c r="H323" i="17"/>
  <c r="H322" i="17"/>
  <c r="H321" i="17"/>
  <c r="H320" i="17"/>
  <c r="H319" i="17"/>
  <c r="H318" i="17"/>
  <c r="H317" i="17"/>
  <c r="H316" i="17"/>
  <c r="H315" i="17"/>
  <c r="H314" i="17"/>
  <c r="H313" i="17"/>
  <c r="H312" i="17"/>
  <c r="H311" i="17"/>
  <c r="H310" i="17"/>
  <c r="H309" i="17"/>
  <c r="H308" i="17"/>
  <c r="H307" i="17"/>
  <c r="H306" i="17"/>
  <c r="H305" i="17"/>
  <c r="H304" i="17"/>
  <c r="H303" i="17"/>
  <c r="H302" i="17"/>
  <c r="H301" i="17"/>
  <c r="H300" i="17"/>
  <c r="H299" i="17"/>
  <c r="H298" i="17"/>
  <c r="H297" i="17"/>
  <c r="H296" i="17"/>
  <c r="H295" i="17"/>
  <c r="H294" i="17"/>
  <c r="H293" i="17"/>
  <c r="H292" i="17"/>
  <c r="H291" i="17"/>
  <c r="H290" i="17"/>
  <c r="H289" i="17"/>
  <c r="H288" i="17"/>
  <c r="H287" i="17"/>
  <c r="H286" i="17"/>
  <c r="H285" i="17"/>
  <c r="H284" i="17"/>
  <c r="H283" i="17"/>
  <c r="H282" i="17"/>
  <c r="H281" i="17"/>
  <c r="H280" i="17"/>
  <c r="H279" i="17"/>
  <c r="H278" i="17"/>
  <c r="H277" i="17"/>
  <c r="H276" i="17"/>
  <c r="H275" i="17"/>
  <c r="H274" i="17"/>
  <c r="H273" i="17"/>
  <c r="H272" i="17"/>
  <c r="H271" i="17"/>
  <c r="H270" i="17"/>
  <c r="H269" i="17"/>
  <c r="H268" i="17"/>
  <c r="H267" i="17"/>
  <c r="H266" i="17"/>
  <c r="H265" i="17"/>
  <c r="H264" i="17"/>
  <c r="H263" i="17"/>
  <c r="H262" i="17"/>
  <c r="H261" i="17"/>
  <c r="H260" i="17"/>
  <c r="H259" i="17"/>
  <c r="H258" i="17"/>
  <c r="H257" i="17"/>
  <c r="H256" i="17"/>
  <c r="H255" i="17"/>
  <c r="H254" i="17"/>
  <c r="H253" i="17"/>
  <c r="H252" i="17"/>
  <c r="H251" i="17"/>
  <c r="H250" i="17"/>
  <c r="H249" i="17"/>
  <c r="H248" i="17"/>
  <c r="H247" i="17"/>
  <c r="H246" i="17"/>
  <c r="H245" i="17"/>
  <c r="H244" i="17"/>
  <c r="H243" i="17"/>
  <c r="H242" i="17"/>
  <c r="H241" i="17"/>
  <c r="H240" i="17"/>
  <c r="H239" i="17"/>
  <c r="H238" i="17"/>
  <c r="H237" i="17"/>
  <c r="H236" i="17"/>
  <c r="H235" i="17"/>
  <c r="H234" i="17"/>
  <c r="H233" i="17"/>
  <c r="H232" i="17"/>
  <c r="H231" i="17"/>
  <c r="H230" i="17"/>
  <c r="H229" i="17"/>
  <c r="H228" i="17"/>
  <c r="H227" i="17"/>
  <c r="H226" i="17"/>
  <c r="H225" i="17"/>
  <c r="H224" i="17"/>
  <c r="H223" i="17"/>
  <c r="H222" i="17"/>
  <c r="H221" i="17"/>
  <c r="H220" i="17"/>
  <c r="H219" i="17"/>
  <c r="H218" i="17"/>
  <c r="H217" i="17"/>
  <c r="H216" i="17"/>
  <c r="H215" i="17"/>
  <c r="H214" i="17"/>
  <c r="H213" i="17"/>
  <c r="H212" i="17"/>
  <c r="H211" i="17"/>
  <c r="H210" i="17"/>
  <c r="H209" i="17"/>
  <c r="H208" i="17"/>
  <c r="H207" i="17"/>
  <c r="H206" i="17"/>
  <c r="H205" i="17"/>
  <c r="H204" i="17"/>
  <c r="H203" i="17"/>
  <c r="H202" i="17"/>
  <c r="H201" i="17"/>
  <c r="H200" i="17"/>
  <c r="H199" i="17"/>
  <c r="H198" i="17"/>
  <c r="H197" i="17"/>
  <c r="H196" i="17"/>
  <c r="H195" i="17"/>
  <c r="H194" i="17"/>
  <c r="H193" i="17"/>
  <c r="H192" i="17"/>
  <c r="H191" i="17"/>
  <c r="H190" i="17"/>
  <c r="H189" i="17"/>
  <c r="H188" i="17"/>
  <c r="H187" i="17"/>
  <c r="H186" i="17"/>
  <c r="H185" i="17"/>
  <c r="H184" i="17"/>
  <c r="H183" i="17"/>
  <c r="H182" i="17"/>
  <c r="H181" i="17"/>
  <c r="H180" i="17"/>
  <c r="H179" i="17"/>
  <c r="H178" i="17"/>
  <c r="H177" i="17"/>
  <c r="H176" i="17"/>
  <c r="H175" i="17"/>
  <c r="H174" i="17"/>
  <c r="H173" i="17"/>
  <c r="H172" i="17"/>
  <c r="H171" i="17"/>
  <c r="H170" i="17"/>
  <c r="H169" i="17"/>
  <c r="H168" i="17"/>
  <c r="H167" i="17"/>
  <c r="H166" i="17"/>
  <c r="H165" i="17"/>
  <c r="H164" i="17"/>
  <c r="H163" i="17"/>
  <c r="H162" i="17"/>
  <c r="H161" i="17"/>
  <c r="H160" i="17"/>
  <c r="H159" i="17"/>
  <c r="H158" i="17"/>
  <c r="H157" i="17"/>
  <c r="H156" i="17"/>
  <c r="H155" i="17"/>
  <c r="H154" i="17"/>
  <c r="H153" i="17"/>
  <c r="H152" i="17"/>
  <c r="H151" i="17"/>
  <c r="H150" i="17"/>
  <c r="H149" i="17"/>
  <c r="H148" i="17"/>
  <c r="H147" i="17"/>
  <c r="H146" i="17"/>
  <c r="H145" i="17"/>
  <c r="H144" i="17"/>
  <c r="H143" i="17"/>
  <c r="H142" i="17"/>
  <c r="H141" i="17"/>
  <c r="H140" i="17"/>
  <c r="H139" i="17"/>
  <c r="H138" i="17"/>
  <c r="H137" i="17"/>
  <c r="H136" i="17"/>
  <c r="H135" i="17"/>
  <c r="H134" i="17"/>
  <c r="H133" i="17"/>
  <c r="H132" i="17"/>
  <c r="H131" i="17"/>
  <c r="H130" i="17"/>
  <c r="H129" i="17"/>
  <c r="H128" i="17"/>
  <c r="H127" i="17"/>
  <c r="H126" i="17"/>
  <c r="H125" i="17"/>
  <c r="H124" i="17"/>
  <c r="H123" i="17"/>
  <c r="H122" i="17"/>
  <c r="H121" i="17"/>
  <c r="H120" i="17"/>
  <c r="H119" i="17"/>
  <c r="H118" i="17"/>
  <c r="H117" i="17"/>
  <c r="H116" i="17"/>
  <c r="H115" i="17"/>
  <c r="H114" i="17"/>
  <c r="H113" i="17"/>
  <c r="H112" i="17"/>
  <c r="H111" i="17"/>
  <c r="H110" i="17"/>
  <c r="H109" i="17"/>
  <c r="H108" i="17"/>
  <c r="H107" i="17"/>
  <c r="H106" i="17"/>
  <c r="H105" i="17"/>
  <c r="H104" i="17"/>
  <c r="H103" i="17"/>
  <c r="H102" i="17"/>
  <c r="H101" i="17"/>
  <c r="H100" i="17"/>
  <c r="H99" i="17"/>
  <c r="H98" i="17"/>
  <c r="H97" i="17"/>
  <c r="H96" i="17"/>
  <c r="H95" i="17"/>
  <c r="H94" i="17"/>
  <c r="H93" i="17"/>
  <c r="H92" i="17"/>
  <c r="H91" i="17"/>
  <c r="H90" i="17"/>
  <c r="H89" i="17"/>
  <c r="H88" i="17"/>
  <c r="H87" i="17"/>
  <c r="H86" i="17"/>
  <c r="H85" i="17"/>
  <c r="H84" i="17"/>
  <c r="H83" i="17"/>
  <c r="H82" i="17"/>
  <c r="H81" i="17"/>
  <c r="H80" i="17"/>
  <c r="H79" i="17"/>
  <c r="H78" i="17"/>
  <c r="H77" i="17"/>
  <c r="H76" i="17"/>
  <c r="H75" i="17"/>
  <c r="H74" i="17"/>
  <c r="H73" i="17"/>
  <c r="H72" i="17"/>
  <c r="H71" i="17"/>
  <c r="H70" i="17"/>
  <c r="H69" i="17"/>
  <c r="H68" i="17"/>
  <c r="H67" i="17"/>
  <c r="H66" i="17"/>
  <c r="H65" i="17"/>
  <c r="H64" i="17"/>
  <c r="H63" i="17"/>
  <c r="H62" i="17"/>
  <c r="H61" i="17"/>
  <c r="H60" i="17"/>
  <c r="H59" i="17"/>
  <c r="H58" i="17"/>
  <c r="H57" i="17"/>
  <c r="H56" i="17"/>
  <c r="H55" i="17"/>
  <c r="H54" i="17"/>
  <c r="H53" i="17"/>
  <c r="H52" i="17"/>
  <c r="H51" i="17"/>
  <c r="H50" i="17"/>
  <c r="H49" i="17"/>
  <c r="H48" i="17"/>
  <c r="H4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26" i="17"/>
  <c r="H25" i="17"/>
  <c r="H24" i="17"/>
  <c r="H23" i="17"/>
  <c r="H22" i="17"/>
  <c r="H21" i="17"/>
  <c r="H20" i="17"/>
  <c r="H19" i="17"/>
  <c r="H18" i="17"/>
  <c r="H17" i="17"/>
  <c r="B1004" i="16"/>
  <c r="B1004" i="16" a="1"/>
  <c r="B1003" i="16" a="1"/>
  <c r="B1003" i="16" s="1"/>
  <c r="B1002" i="16" a="1"/>
  <c r="B1002" i="16" s="1"/>
  <c r="B1001" i="16" a="1"/>
  <c r="B1001" i="16" s="1"/>
  <c r="B1000" i="16"/>
  <c r="B1000" i="16" a="1"/>
  <c r="B999" i="16" a="1"/>
  <c r="B999" i="16" s="1"/>
  <c r="B998" i="16" a="1"/>
  <c r="B998" i="16" s="1"/>
  <c r="B997" i="16" a="1"/>
  <c r="B997" i="16" s="1"/>
  <c r="B996" i="16"/>
  <c r="B996" i="16" a="1"/>
  <c r="B995" i="16" a="1"/>
  <c r="B995" i="16" s="1"/>
  <c r="B994" i="16"/>
  <c r="B994" i="16" a="1"/>
  <c r="B993" i="16" a="1"/>
  <c r="B993" i="16" s="1"/>
  <c r="B992" i="16" a="1"/>
  <c r="B992" i="16" s="1"/>
  <c r="B991" i="16" a="1"/>
  <c r="B991" i="16" s="1"/>
  <c r="B990" i="16" a="1"/>
  <c r="B990" i="16" s="1"/>
  <c r="B989" i="16" a="1"/>
  <c r="B989" i="16" s="1"/>
  <c r="B988" i="16"/>
  <c r="B988" i="16" a="1"/>
  <c r="B987" i="16" a="1"/>
  <c r="B987" i="16" s="1"/>
  <c r="B986" i="16" a="1"/>
  <c r="B986" i="16" s="1"/>
  <c r="B985" i="16" a="1"/>
  <c r="B985" i="16" s="1"/>
  <c r="B984" i="16" a="1"/>
  <c r="B984" i="16" s="1"/>
  <c r="B983" i="16" a="1"/>
  <c r="B983" i="16" s="1"/>
  <c r="B982" i="16" a="1"/>
  <c r="B982" i="16" s="1"/>
  <c r="B981" i="16" a="1"/>
  <c r="B981" i="16" s="1"/>
  <c r="B980" i="16"/>
  <c r="B980" i="16" a="1"/>
  <c r="B979" i="16" a="1"/>
  <c r="B979" i="16" s="1"/>
  <c r="B978" i="16" a="1"/>
  <c r="B978" i="16" s="1"/>
  <c r="B977" i="16" a="1"/>
  <c r="B977" i="16" s="1"/>
  <c r="B976" i="16" a="1"/>
  <c r="B976" i="16" s="1"/>
  <c r="B975" i="16" a="1"/>
  <c r="B975" i="16" s="1"/>
  <c r="B974" i="16" a="1"/>
  <c r="B974" i="16" s="1"/>
  <c r="B973" i="16" a="1"/>
  <c r="B973" i="16" s="1"/>
  <c r="B972" i="16"/>
  <c r="B972" i="16" a="1"/>
  <c r="B971" i="16" a="1"/>
  <c r="B971" i="16" s="1"/>
  <c r="B970" i="16" a="1"/>
  <c r="B970" i="16" s="1"/>
  <c r="B969" i="16" a="1"/>
  <c r="B969" i="16" s="1"/>
  <c r="B968" i="16"/>
  <c r="B968" i="16" a="1"/>
  <c r="B967" i="16" a="1"/>
  <c r="B967" i="16" s="1"/>
  <c r="B966" i="16" a="1"/>
  <c r="B966" i="16" s="1"/>
  <c r="B965" i="16" a="1"/>
  <c r="B965" i="16" s="1"/>
  <c r="B964" i="16"/>
  <c r="B964" i="16" a="1"/>
  <c r="B963" i="16" a="1"/>
  <c r="B963" i="16" s="1"/>
  <c r="B962" i="16"/>
  <c r="B962" i="16" a="1"/>
  <c r="B961" i="16" a="1"/>
  <c r="B961" i="16" s="1"/>
  <c r="B960" i="16" a="1"/>
  <c r="B960" i="16" s="1"/>
  <c r="B959" i="16" a="1"/>
  <c r="B959" i="16" s="1"/>
  <c r="B958" i="16" a="1"/>
  <c r="B958" i="16" s="1"/>
  <c r="B957" i="16" a="1"/>
  <c r="B957" i="16" s="1"/>
  <c r="B956" i="16"/>
  <c r="B956" i="16" a="1"/>
  <c r="B955" i="16" a="1"/>
  <c r="B955" i="16" s="1"/>
  <c r="B954" i="16" a="1"/>
  <c r="B954" i="16" s="1"/>
  <c r="B953" i="16" a="1"/>
  <c r="B953" i="16" s="1"/>
  <c r="B952" i="16" a="1"/>
  <c r="B952" i="16" s="1"/>
  <c r="B951" i="16" a="1"/>
  <c r="B951" i="16" s="1"/>
  <c r="B950" i="16" a="1"/>
  <c r="B950" i="16" s="1"/>
  <c r="B949" i="16" a="1"/>
  <c r="B949" i="16" s="1"/>
  <c r="B948" i="16"/>
  <c r="B948" i="16" a="1"/>
  <c r="B947" i="16" a="1"/>
  <c r="B947" i="16" s="1"/>
  <c r="B946" i="16" a="1"/>
  <c r="B946" i="16" s="1"/>
  <c r="B945" i="16" a="1"/>
  <c r="B945" i="16" s="1"/>
  <c r="B944" i="16" a="1"/>
  <c r="B944" i="16" s="1"/>
  <c r="B943" i="16" a="1"/>
  <c r="B943" i="16" s="1"/>
  <c r="B942" i="16" a="1"/>
  <c r="B942" i="16" s="1"/>
  <c r="B941" i="16" a="1"/>
  <c r="B941" i="16" s="1"/>
  <c r="B940" i="16"/>
  <c r="B940" i="16" a="1"/>
  <c r="B939" i="16" a="1"/>
  <c r="B939" i="16" s="1"/>
  <c r="B938" i="16" a="1"/>
  <c r="B938" i="16" s="1"/>
  <c r="B937" i="16" a="1"/>
  <c r="B937" i="16" s="1"/>
  <c r="B936" i="16"/>
  <c r="B936" i="16" a="1"/>
  <c r="B935" i="16" a="1"/>
  <c r="B935" i="16" s="1"/>
  <c r="B934" i="16" a="1"/>
  <c r="B934" i="16" s="1"/>
  <c r="B933" i="16" a="1"/>
  <c r="B933" i="16" s="1"/>
  <c r="B932" i="16"/>
  <c r="B932" i="16" a="1"/>
  <c r="B931" i="16" a="1"/>
  <c r="B931" i="16" s="1"/>
  <c r="B930" i="16"/>
  <c r="B930" i="16" a="1"/>
  <c r="B929" i="16" a="1"/>
  <c r="B929" i="16" s="1"/>
  <c r="B928" i="16" a="1"/>
  <c r="B928" i="16" s="1"/>
  <c r="B927" i="16" a="1"/>
  <c r="B927" i="16" s="1"/>
  <c r="B926" i="16" a="1"/>
  <c r="B926" i="16" s="1"/>
  <c r="B925" i="16" a="1"/>
  <c r="B925" i="16" s="1"/>
  <c r="B924" i="16"/>
  <c r="B924" i="16" a="1"/>
  <c r="B923" i="16" a="1"/>
  <c r="B923" i="16" s="1"/>
  <c r="B922" i="16" a="1"/>
  <c r="B922" i="16" s="1"/>
  <c r="B921" i="16" a="1"/>
  <c r="B921" i="16" s="1"/>
  <c r="B920" i="16" a="1"/>
  <c r="B920" i="16" s="1"/>
  <c r="B919" i="16" a="1"/>
  <c r="B919" i="16" s="1"/>
  <c r="B918" i="16" a="1"/>
  <c r="B918" i="16" s="1"/>
  <c r="B917" i="16" a="1"/>
  <c r="B917" i="16" s="1"/>
  <c r="B916" i="16"/>
  <c r="B916" i="16" a="1"/>
  <c r="B915" i="16" a="1"/>
  <c r="B915" i="16" s="1"/>
  <c r="B914" i="16" a="1"/>
  <c r="B914" i="16" s="1"/>
  <c r="B913" i="16" a="1"/>
  <c r="B913" i="16" s="1"/>
  <c r="B912" i="16" a="1"/>
  <c r="B912" i="16" s="1"/>
  <c r="B911" i="16" a="1"/>
  <c r="B911" i="16" s="1"/>
  <c r="B910" i="16" a="1"/>
  <c r="B910" i="16" s="1"/>
  <c r="B909" i="16" a="1"/>
  <c r="B909" i="16" s="1"/>
  <c r="B908" i="16"/>
  <c r="B908" i="16" a="1"/>
  <c r="B907" i="16" a="1"/>
  <c r="B907" i="16" s="1"/>
  <c r="B906" i="16" a="1"/>
  <c r="B906" i="16" s="1"/>
  <c r="B905" i="16" a="1"/>
  <c r="B905" i="16" s="1"/>
  <c r="B904" i="16"/>
  <c r="B904" i="16" a="1"/>
  <c r="B903" i="16" a="1"/>
  <c r="B903" i="16" s="1"/>
  <c r="B902" i="16" a="1"/>
  <c r="B902" i="16" s="1"/>
  <c r="B901" i="16" a="1"/>
  <c r="B901" i="16" s="1"/>
  <c r="B900" i="16"/>
  <c r="B900" i="16" a="1"/>
  <c r="B899" i="16" a="1"/>
  <c r="B899" i="16" s="1"/>
  <c r="B898" i="16"/>
  <c r="B898" i="16" a="1"/>
  <c r="B897" i="16" a="1"/>
  <c r="B897" i="16" s="1"/>
  <c r="B896" i="16" a="1"/>
  <c r="B896" i="16" s="1"/>
  <c r="B895" i="16" a="1"/>
  <c r="B895" i="16" s="1"/>
  <c r="B894" i="16" a="1"/>
  <c r="B894" i="16" s="1"/>
  <c r="B893" i="16" a="1"/>
  <c r="B893" i="16" s="1"/>
  <c r="B892" i="16"/>
  <c r="B892" i="16" a="1"/>
  <c r="B891" i="16" a="1"/>
  <c r="B891" i="16" s="1"/>
  <c r="B890" i="16" a="1"/>
  <c r="B890" i="16" s="1"/>
  <c r="B889" i="16" a="1"/>
  <c r="B889" i="16" s="1"/>
  <c r="B888" i="16" a="1"/>
  <c r="B888" i="16" s="1"/>
  <c r="B887" i="16" a="1"/>
  <c r="B887" i="16" s="1"/>
  <c r="B886" i="16" a="1"/>
  <c r="B886" i="16" s="1"/>
  <c r="B885" i="16" a="1"/>
  <c r="B885" i="16" s="1"/>
  <c r="B884" i="16"/>
  <c r="B884" i="16" a="1"/>
  <c r="B883" i="16" a="1"/>
  <c r="B883" i="16" s="1"/>
  <c r="B882" i="16" a="1"/>
  <c r="B882" i="16" s="1"/>
  <c r="B881" i="16" a="1"/>
  <c r="B881" i="16" s="1"/>
  <c r="B880" i="16" a="1"/>
  <c r="B880" i="16" s="1"/>
  <c r="B879" i="16" a="1"/>
  <c r="B879" i="16" s="1"/>
  <c r="B878" i="16" a="1"/>
  <c r="B878" i="16" s="1"/>
  <c r="B877" i="16" a="1"/>
  <c r="B877" i="16" s="1"/>
  <c r="B876" i="16"/>
  <c r="B876" i="16" a="1"/>
  <c r="B875" i="16" a="1"/>
  <c r="B875" i="16" s="1"/>
  <c r="B874" i="16" a="1"/>
  <c r="B874" i="16" s="1"/>
  <c r="B873" i="16" a="1"/>
  <c r="B873" i="16" s="1"/>
  <c r="B872" i="16"/>
  <c r="B872" i="16" a="1"/>
  <c r="B871" i="16" a="1"/>
  <c r="B871" i="16" s="1"/>
  <c r="B870" i="16" a="1"/>
  <c r="B870" i="16" s="1"/>
  <c r="B869" i="16" a="1"/>
  <c r="B869" i="16" s="1"/>
  <c r="B868" i="16"/>
  <c r="B868" i="16" a="1"/>
  <c r="B867" i="16" a="1"/>
  <c r="B867" i="16" s="1"/>
  <c r="B866" i="16"/>
  <c r="B866" i="16" a="1"/>
  <c r="B865" i="16" a="1"/>
  <c r="B865" i="16" s="1"/>
  <c r="B864" i="16" a="1"/>
  <c r="B864" i="16" s="1"/>
  <c r="B863" i="16" a="1"/>
  <c r="B863" i="16" s="1"/>
  <c r="B862" i="16" a="1"/>
  <c r="B862" i="16" s="1"/>
  <c r="B861" i="16" a="1"/>
  <c r="B861" i="16" s="1"/>
  <c r="B860" i="16"/>
  <c r="B860" i="16" a="1"/>
  <c r="B859" i="16" a="1"/>
  <c r="B859" i="16" s="1"/>
  <c r="B858" i="16" a="1"/>
  <c r="B858" i="16" s="1"/>
  <c r="B857" i="16" a="1"/>
  <c r="B857" i="16" s="1"/>
  <c r="B856" i="16" a="1"/>
  <c r="B856" i="16" s="1"/>
  <c r="B855" i="16" a="1"/>
  <c r="B855" i="16" s="1"/>
  <c r="B854" i="16" a="1"/>
  <c r="B854" i="16" s="1"/>
  <c r="B853" i="16" a="1"/>
  <c r="B853" i="16" s="1"/>
  <c r="B852" i="16"/>
  <c r="B852" i="16" a="1"/>
  <c r="B851" i="16" a="1"/>
  <c r="B851" i="16" s="1"/>
  <c r="B850" i="16" a="1"/>
  <c r="B850" i="16" s="1"/>
  <c r="B849" i="16" a="1"/>
  <c r="B849" i="16" s="1"/>
  <c r="B848" i="16" a="1"/>
  <c r="B848" i="16" s="1"/>
  <c r="B847" i="16" a="1"/>
  <c r="B847" i="16" s="1"/>
  <c r="B846" i="16" a="1"/>
  <c r="B846" i="16" s="1"/>
  <c r="B845" i="16" a="1"/>
  <c r="B845" i="16" s="1"/>
  <c r="B844" i="16"/>
  <c r="B844" i="16" a="1"/>
  <c r="B843" i="16" a="1"/>
  <c r="B843" i="16" s="1"/>
  <c r="B842" i="16" a="1"/>
  <c r="B842" i="16" s="1"/>
  <c r="B841" i="16" a="1"/>
  <c r="B841" i="16" s="1"/>
  <c r="B840" i="16"/>
  <c r="B840" i="16" a="1"/>
  <c r="B839" i="16" a="1"/>
  <c r="B839" i="16" s="1"/>
  <c r="B838" i="16" a="1"/>
  <c r="B838" i="16" s="1"/>
  <c r="B837" i="16"/>
  <c r="B837" i="16" a="1"/>
  <c r="B836" i="16" a="1"/>
  <c r="B836" i="16" s="1"/>
  <c r="B835" i="16" a="1"/>
  <c r="B835" i="16" s="1"/>
  <c r="B834" i="16" a="1"/>
  <c r="B834" i="16" s="1"/>
  <c r="B833" i="16" a="1"/>
  <c r="B833" i="16" s="1"/>
  <c r="B832" i="16" a="1"/>
  <c r="B832" i="16" s="1"/>
  <c r="B831" i="16" a="1"/>
  <c r="B831" i="16" s="1"/>
  <c r="B830" i="16" a="1"/>
  <c r="B830" i="16" s="1"/>
  <c r="B829" i="16"/>
  <c r="B829" i="16" a="1"/>
  <c r="B828" i="16" a="1"/>
  <c r="B828" i="16" s="1"/>
  <c r="B827" i="16" a="1"/>
  <c r="B827" i="16" s="1"/>
  <c r="B826" i="16" a="1"/>
  <c r="B826" i="16" s="1"/>
  <c r="B825" i="16" a="1"/>
  <c r="B825" i="16" s="1"/>
  <c r="B824" i="16" a="1"/>
  <c r="B824" i="16" s="1"/>
  <c r="B823" i="16" a="1"/>
  <c r="B823" i="16" s="1"/>
  <c r="B822" i="16" a="1"/>
  <c r="B822" i="16" s="1"/>
  <c r="B821" i="16"/>
  <c r="B821" i="16" a="1"/>
  <c r="B820" i="16" a="1"/>
  <c r="B820" i="16" s="1"/>
  <c r="B819" i="16" a="1"/>
  <c r="B819" i="16" s="1"/>
  <c r="B818" i="16" a="1"/>
  <c r="B818" i="16" s="1"/>
  <c r="B817" i="16" a="1"/>
  <c r="B817" i="16" s="1"/>
  <c r="B816" i="16" a="1"/>
  <c r="B816" i="16" s="1"/>
  <c r="B815" i="16" a="1"/>
  <c r="B815" i="16" s="1"/>
  <c r="B814" i="16" a="1"/>
  <c r="B814" i="16" s="1"/>
  <c r="B813" i="16"/>
  <c r="B813" i="16" a="1"/>
  <c r="B812" i="16" a="1"/>
  <c r="B812" i="16" s="1"/>
  <c r="B811" i="16" a="1"/>
  <c r="B811" i="16" s="1"/>
  <c r="B810" i="16" a="1"/>
  <c r="B810" i="16" s="1"/>
  <c r="B809" i="16" a="1"/>
  <c r="B809" i="16" s="1"/>
  <c r="B808" i="16" a="1"/>
  <c r="B808" i="16" s="1"/>
  <c r="B807" i="16" a="1"/>
  <c r="B807" i="16" s="1"/>
  <c r="B806" i="16" a="1"/>
  <c r="B806" i="16" s="1"/>
  <c r="B805" i="16"/>
  <c r="B805" i="16" a="1"/>
  <c r="B804" i="16" a="1"/>
  <c r="B804" i="16" s="1"/>
  <c r="B803" i="16" a="1"/>
  <c r="B803" i="16" s="1"/>
  <c r="B802" i="16" a="1"/>
  <c r="B802" i="16" s="1"/>
  <c r="B801" i="16" a="1"/>
  <c r="B801" i="16" s="1"/>
  <c r="B800" i="16" a="1"/>
  <c r="B800" i="16" s="1"/>
  <c r="B799" i="16" a="1"/>
  <c r="B799" i="16" s="1"/>
  <c r="B798" i="16" a="1"/>
  <c r="B798" i="16" s="1"/>
  <c r="B797" i="16"/>
  <c r="B797" i="16" a="1"/>
  <c r="B796" i="16" a="1"/>
  <c r="B796" i="16" s="1"/>
  <c r="B795" i="16" a="1"/>
  <c r="B795" i="16" s="1"/>
  <c r="B794" i="16" a="1"/>
  <c r="B794" i="16" s="1"/>
  <c r="B793" i="16" a="1"/>
  <c r="B793" i="16" s="1"/>
  <c r="B792" i="16" a="1"/>
  <c r="B792" i="16" s="1"/>
  <c r="B791" i="16" a="1"/>
  <c r="B791" i="16" s="1"/>
  <c r="B790" i="16" a="1"/>
  <c r="B790" i="16" s="1"/>
  <c r="B789" i="16"/>
  <c r="B789" i="16" a="1"/>
  <c r="B788" i="16" a="1"/>
  <c r="B788" i="16" s="1"/>
  <c r="B787" i="16" a="1"/>
  <c r="B787" i="16" s="1"/>
  <c r="B786" i="16" a="1"/>
  <c r="B786" i="16" s="1"/>
  <c r="B785" i="16" a="1"/>
  <c r="B785" i="16" s="1"/>
  <c r="B784" i="16" a="1"/>
  <c r="B784" i="16" s="1"/>
  <c r="B783" i="16" a="1"/>
  <c r="B783" i="16" s="1"/>
  <c r="B782" i="16" a="1"/>
  <c r="B782" i="16" s="1"/>
  <c r="B781" i="16"/>
  <c r="B781" i="16" a="1"/>
  <c r="B780" i="16" a="1"/>
  <c r="B780" i="16" s="1"/>
  <c r="B779" i="16" a="1"/>
  <c r="B779" i="16" s="1"/>
  <c r="B778" i="16" a="1"/>
  <c r="B778" i="16" s="1"/>
  <c r="B777" i="16" a="1"/>
  <c r="B777" i="16" s="1"/>
  <c r="B776" i="16" a="1"/>
  <c r="B776" i="16" s="1"/>
  <c r="B775" i="16" a="1"/>
  <c r="B775" i="16" s="1"/>
  <c r="B774" i="16" a="1"/>
  <c r="B774" i="16" s="1"/>
  <c r="B773" i="16"/>
  <c r="B773" i="16" a="1"/>
  <c r="B772" i="16" a="1"/>
  <c r="B772" i="16" s="1"/>
  <c r="B771" i="16" a="1"/>
  <c r="B771" i="16" s="1"/>
  <c r="B770" i="16" a="1"/>
  <c r="B770" i="16" s="1"/>
  <c r="B769" i="16" a="1"/>
  <c r="B769" i="16" s="1"/>
  <c r="B768" i="16" a="1"/>
  <c r="B768" i="16" s="1"/>
  <c r="B767" i="16" a="1"/>
  <c r="B767" i="16" s="1"/>
  <c r="B766" i="16" a="1"/>
  <c r="B766" i="16" s="1"/>
  <c r="B765" i="16"/>
  <c r="B765" i="16" a="1"/>
  <c r="B764" i="16" a="1"/>
  <c r="B764" i="16" s="1"/>
  <c r="B763" i="16" a="1"/>
  <c r="B763" i="16" s="1"/>
  <c r="B762" i="16" a="1"/>
  <c r="B762" i="16" s="1"/>
  <c r="B761" i="16" a="1"/>
  <c r="B761" i="16" s="1"/>
  <c r="B760" i="16" a="1"/>
  <c r="B760" i="16" s="1"/>
  <c r="B759" i="16" a="1"/>
  <c r="B759" i="16" s="1"/>
  <c r="B758" i="16" a="1"/>
  <c r="B758" i="16" s="1"/>
  <c r="B757" i="16"/>
  <c r="B757" i="16" a="1"/>
  <c r="B756" i="16" a="1"/>
  <c r="B756" i="16" s="1"/>
  <c r="B755" i="16" a="1"/>
  <c r="B755" i="16" s="1"/>
  <c r="B754" i="16" a="1"/>
  <c r="B754" i="16" s="1"/>
  <c r="B753" i="16" a="1"/>
  <c r="B753" i="16" s="1"/>
  <c r="B752" i="16" a="1"/>
  <c r="B752" i="16" s="1"/>
  <c r="B751" i="16" a="1"/>
  <c r="B751" i="16" s="1"/>
  <c r="B750" i="16" a="1"/>
  <c r="B750" i="16" s="1"/>
  <c r="B749" i="16"/>
  <c r="B749" i="16" a="1"/>
  <c r="B748" i="16" a="1"/>
  <c r="B748" i="16" s="1"/>
  <c r="B747" i="16" a="1"/>
  <c r="B747" i="16" s="1"/>
  <c r="B746" i="16" a="1"/>
  <c r="B746" i="16" s="1"/>
  <c r="B745" i="16" a="1"/>
  <c r="B745" i="16" s="1"/>
  <c r="B744" i="16" a="1"/>
  <c r="B744" i="16" s="1"/>
  <c r="B743" i="16" a="1"/>
  <c r="B743" i="16" s="1"/>
  <c r="B742" i="16" a="1"/>
  <c r="B742" i="16" s="1"/>
  <c r="B741" i="16"/>
  <c r="B741" i="16" a="1"/>
  <c r="B740" i="16" a="1"/>
  <c r="B740" i="16" s="1"/>
  <c r="B739" i="16" a="1"/>
  <c r="B739" i="16" s="1"/>
  <c r="B738" i="16" a="1"/>
  <c r="B738" i="16" s="1"/>
  <c r="B737" i="16" a="1"/>
  <c r="B737" i="16" s="1"/>
  <c r="B736" i="16" a="1"/>
  <c r="B736" i="16" s="1"/>
  <c r="B735" i="16" a="1"/>
  <c r="B735" i="16" s="1"/>
  <c r="B734" i="16" a="1"/>
  <c r="B734" i="16" s="1"/>
  <c r="B733" i="16"/>
  <c r="B733" i="16" a="1"/>
  <c r="B732" i="16" a="1"/>
  <c r="B732" i="16" s="1"/>
  <c r="B731" i="16" a="1"/>
  <c r="B731" i="16" s="1"/>
  <c r="B730" i="16" a="1"/>
  <c r="B730" i="16" s="1"/>
  <c r="B729" i="16" a="1"/>
  <c r="B729" i="16" s="1"/>
  <c r="B728" i="16" a="1"/>
  <c r="B728" i="16" s="1"/>
  <c r="B727" i="16" a="1"/>
  <c r="B727" i="16" s="1"/>
  <c r="B726" i="16" a="1"/>
  <c r="B726" i="16" s="1"/>
  <c r="B725" i="16"/>
  <c r="B725" i="16" a="1"/>
  <c r="B724" i="16" a="1"/>
  <c r="B724" i="16" s="1"/>
  <c r="B723" i="16" a="1"/>
  <c r="B723" i="16" s="1"/>
  <c r="B722" i="16" a="1"/>
  <c r="B722" i="16" s="1"/>
  <c r="B721" i="16" a="1"/>
  <c r="B721" i="16" s="1"/>
  <c r="B720" i="16" a="1"/>
  <c r="B720" i="16" s="1"/>
  <c r="B719" i="16" a="1"/>
  <c r="B719" i="16" s="1"/>
  <c r="B718" i="16" a="1"/>
  <c r="B718" i="16" s="1"/>
  <c r="B717" i="16"/>
  <c r="B717" i="16" a="1"/>
  <c r="B716" i="16" a="1"/>
  <c r="B716" i="16" s="1"/>
  <c r="B715" i="16" a="1"/>
  <c r="B715" i="16" s="1"/>
  <c r="B714" i="16" a="1"/>
  <c r="B714" i="16" s="1"/>
  <c r="B713" i="16" a="1"/>
  <c r="B713" i="16" s="1"/>
  <c r="B712" i="16" a="1"/>
  <c r="B712" i="16" s="1"/>
  <c r="B711" i="16" a="1"/>
  <c r="B711" i="16" s="1"/>
  <c r="B710" i="16" a="1"/>
  <c r="B710" i="16" s="1"/>
  <c r="B709" i="16" a="1"/>
  <c r="B709" i="16" s="1"/>
  <c r="B708" i="16"/>
  <c r="B708" i="16" a="1"/>
  <c r="B707" i="16" a="1"/>
  <c r="B707" i="16" s="1"/>
  <c r="B706" i="16" a="1"/>
  <c r="B706" i="16" s="1"/>
  <c r="B705" i="16" a="1"/>
  <c r="B705" i="16" s="1"/>
  <c r="B704" i="16" a="1"/>
  <c r="B704" i="16" s="1"/>
  <c r="B703" i="16" a="1"/>
  <c r="B703" i="16" s="1"/>
  <c r="B702" i="16" a="1"/>
  <c r="B702" i="16" s="1"/>
  <c r="B701" i="16" a="1"/>
  <c r="B701" i="16" s="1"/>
  <c r="B700" i="16"/>
  <c r="B700" i="16" a="1"/>
  <c r="B699" i="16" a="1"/>
  <c r="B699" i="16" s="1"/>
  <c r="B698" i="16" a="1"/>
  <c r="B698" i="16" s="1"/>
  <c r="B697" i="16" a="1"/>
  <c r="B697" i="16" s="1"/>
  <c r="B696" i="16" a="1"/>
  <c r="B696" i="16" s="1"/>
  <c r="B695" i="16" a="1"/>
  <c r="B695" i="16" s="1"/>
  <c r="B694" i="16" a="1"/>
  <c r="B694" i="16" s="1"/>
  <c r="B693" i="16" a="1"/>
  <c r="B693" i="16" s="1"/>
  <c r="B692" i="16"/>
  <c r="B692" i="16" a="1"/>
  <c r="B691" i="16" a="1"/>
  <c r="B691" i="16" s="1"/>
  <c r="B690" i="16" a="1"/>
  <c r="B690" i="16" s="1"/>
  <c r="B689" i="16" a="1"/>
  <c r="B689" i="16" s="1"/>
  <c r="B688" i="16" a="1"/>
  <c r="B688" i="16" s="1"/>
  <c r="B687" i="16" a="1"/>
  <c r="B687" i="16" s="1"/>
  <c r="B686" i="16" a="1"/>
  <c r="B686" i="16" s="1"/>
  <c r="B685" i="16" a="1"/>
  <c r="B685" i="16" s="1"/>
  <c r="B684" i="16"/>
  <c r="B684" i="16" a="1"/>
  <c r="B683" i="16" a="1"/>
  <c r="B683" i="16" s="1"/>
  <c r="B682" i="16" a="1"/>
  <c r="B682" i="16" s="1"/>
  <c r="B681" i="16" a="1"/>
  <c r="B681" i="16" s="1"/>
  <c r="B680" i="16" a="1"/>
  <c r="B680" i="16" s="1"/>
  <c r="B679" i="16" a="1"/>
  <c r="B679" i="16" s="1"/>
  <c r="B678" i="16" a="1"/>
  <c r="B678" i="16" s="1"/>
  <c r="B677" i="16" a="1"/>
  <c r="B677" i="16" s="1"/>
  <c r="B676" i="16"/>
  <c r="B676" i="16" a="1"/>
  <c r="B675" i="16" a="1"/>
  <c r="B675" i="16" s="1"/>
  <c r="B674" i="16" a="1"/>
  <c r="B674" i="16" s="1"/>
  <c r="B673" i="16" a="1"/>
  <c r="B673" i="16" s="1"/>
  <c r="B672" i="16" a="1"/>
  <c r="B672" i="16" s="1"/>
  <c r="B671" i="16" a="1"/>
  <c r="B671" i="16" s="1"/>
  <c r="B670" i="16" a="1"/>
  <c r="B670" i="16" s="1"/>
  <c r="B669" i="16" a="1"/>
  <c r="B669" i="16" s="1"/>
  <c r="B668" i="16"/>
  <c r="B668" i="16" a="1"/>
  <c r="B667" i="16" a="1"/>
  <c r="B667" i="16" s="1"/>
  <c r="B666" i="16" a="1"/>
  <c r="B666" i="16" s="1"/>
  <c r="B665" i="16" a="1"/>
  <c r="B665" i="16" s="1"/>
  <c r="B664" i="16" a="1"/>
  <c r="B664" i="16" s="1"/>
  <c r="B663" i="16" a="1"/>
  <c r="B663" i="16" s="1"/>
  <c r="B662" i="16" a="1"/>
  <c r="B662" i="16" s="1"/>
  <c r="B661" i="16" a="1"/>
  <c r="B661" i="16" s="1"/>
  <c r="B660" i="16"/>
  <c r="B660" i="16" a="1"/>
  <c r="B659" i="16" a="1"/>
  <c r="B659" i="16" s="1"/>
  <c r="B658" i="16" a="1"/>
  <c r="B658" i="16" s="1"/>
  <c r="B657" i="16" a="1"/>
  <c r="B657" i="16" s="1"/>
  <c r="B656" i="16" a="1"/>
  <c r="B656" i="16" s="1"/>
  <c r="B655" i="16" a="1"/>
  <c r="B655" i="16" s="1"/>
  <c r="B654" i="16" a="1"/>
  <c r="B654" i="16" s="1"/>
  <c r="B653" i="16" a="1"/>
  <c r="B653" i="16" s="1"/>
  <c r="B652" i="16"/>
  <c r="B652" i="16" a="1"/>
  <c r="B651" i="16" a="1"/>
  <c r="B651" i="16" s="1"/>
  <c r="B650" i="16" a="1"/>
  <c r="B650" i="16" s="1"/>
  <c r="B649" i="16" a="1"/>
  <c r="B649" i="16" s="1"/>
  <c r="B648" i="16" a="1"/>
  <c r="B648" i="16" s="1"/>
  <c r="B647" i="16" a="1"/>
  <c r="B647" i="16" s="1"/>
  <c r="B646" i="16" a="1"/>
  <c r="B646" i="16" s="1"/>
  <c r="B645" i="16" a="1"/>
  <c r="B645" i="16" s="1"/>
  <c r="B644" i="16"/>
  <c r="B644" i="16" a="1"/>
  <c r="B643" i="16" a="1"/>
  <c r="B643" i="16" s="1"/>
  <c r="B642" i="16" a="1"/>
  <c r="B642" i="16" s="1"/>
  <c r="B641" i="16" a="1"/>
  <c r="B641" i="16" s="1"/>
  <c r="B640" i="16" a="1"/>
  <c r="B640" i="16" s="1"/>
  <c r="B639" i="16" a="1"/>
  <c r="B639" i="16" s="1"/>
  <c r="B638" i="16" a="1"/>
  <c r="B638" i="16" s="1"/>
  <c r="B637" i="16" a="1"/>
  <c r="B637" i="16" s="1"/>
  <c r="B636" i="16"/>
  <c r="B636" i="16" a="1"/>
  <c r="B635" i="16" a="1"/>
  <c r="B635" i="16" s="1"/>
  <c r="B634" i="16" a="1"/>
  <c r="B634" i="16" s="1"/>
  <c r="B633" i="16" a="1"/>
  <c r="B633" i="16" s="1"/>
  <c r="B632" i="16" a="1"/>
  <c r="B632" i="16" s="1"/>
  <c r="B631" i="16" a="1"/>
  <c r="B631" i="16" s="1"/>
  <c r="B630" i="16" a="1"/>
  <c r="B630" i="16" s="1"/>
  <c r="B629" i="16" a="1"/>
  <c r="B629" i="16" s="1"/>
  <c r="B628" i="16"/>
  <c r="B628" i="16" a="1"/>
  <c r="B627" i="16" a="1"/>
  <c r="B627" i="16" s="1"/>
  <c r="B626" i="16" a="1"/>
  <c r="B626" i="16" s="1"/>
  <c r="B625" i="16" a="1"/>
  <c r="B625" i="16" s="1"/>
  <c r="B624" i="16" a="1"/>
  <c r="B624" i="16" s="1"/>
  <c r="B623" i="16" a="1"/>
  <c r="B623" i="16" s="1"/>
  <c r="B622" i="16" a="1"/>
  <c r="B622" i="16" s="1"/>
  <c r="B621" i="16" a="1"/>
  <c r="B621" i="16" s="1"/>
  <c r="B620" i="16"/>
  <c r="B620" i="16" a="1"/>
  <c r="B619" i="16" a="1"/>
  <c r="B619" i="16" s="1"/>
  <c r="B618" i="16" a="1"/>
  <c r="B618" i="16" s="1"/>
  <c r="B617" i="16" a="1"/>
  <c r="B617" i="16" s="1"/>
  <c r="B616" i="16" a="1"/>
  <c r="B616" i="16" s="1"/>
  <c r="B615" i="16" a="1"/>
  <c r="B615" i="16" s="1"/>
  <c r="B614" i="16" a="1"/>
  <c r="B614" i="16" s="1"/>
  <c r="B613" i="16" a="1"/>
  <c r="B613" i="16" s="1"/>
  <c r="B612" i="16"/>
  <c r="B612" i="16" a="1"/>
  <c r="B611" i="16" a="1"/>
  <c r="B611" i="16" s="1"/>
  <c r="B610" i="16" a="1"/>
  <c r="B610" i="16" s="1"/>
  <c r="B609" i="16" a="1"/>
  <c r="B609" i="16" s="1"/>
  <c r="B608" i="16" a="1"/>
  <c r="B608" i="16" s="1"/>
  <c r="B607" i="16" a="1"/>
  <c r="B607" i="16" s="1"/>
  <c r="B606" i="16" a="1"/>
  <c r="B606" i="16" s="1"/>
  <c r="B605" i="16" a="1"/>
  <c r="B605" i="16" s="1"/>
  <c r="B604" i="16"/>
  <c r="B604" i="16" a="1"/>
  <c r="B603" i="16" a="1"/>
  <c r="B603" i="16" s="1"/>
  <c r="B602" i="16" a="1"/>
  <c r="B602" i="16" s="1"/>
  <c r="B601" i="16" a="1"/>
  <c r="B601" i="16" s="1"/>
  <c r="B600" i="16" a="1"/>
  <c r="B600" i="16" s="1"/>
  <c r="B599" i="16" a="1"/>
  <c r="B599" i="16" s="1"/>
  <c r="B598" i="16" a="1"/>
  <c r="B598" i="16" s="1"/>
  <c r="B597" i="16" a="1"/>
  <c r="B597" i="16" s="1"/>
  <c r="B596" i="16"/>
  <c r="B596" i="16" a="1"/>
  <c r="B595" i="16" a="1"/>
  <c r="B595" i="16" s="1"/>
  <c r="B594" i="16" a="1"/>
  <c r="B594" i="16" s="1"/>
  <c r="B593" i="16" a="1"/>
  <c r="B593" i="16" s="1"/>
  <c r="B592" i="16" a="1"/>
  <c r="B592" i="16" s="1"/>
  <c r="B591" i="16" a="1"/>
  <c r="B591" i="16" s="1"/>
  <c r="B590" i="16" a="1"/>
  <c r="B590" i="16" s="1"/>
  <c r="B589" i="16" a="1"/>
  <c r="B589" i="16" s="1"/>
  <c r="B588" i="16"/>
  <c r="B588" i="16" a="1"/>
  <c r="B587" i="16" a="1"/>
  <c r="B587" i="16" s="1"/>
  <c r="B586" i="16" a="1"/>
  <c r="B586" i="16" s="1"/>
  <c r="B585" i="16" a="1"/>
  <c r="B585" i="16" s="1"/>
  <c r="B584" i="16" a="1"/>
  <c r="B584" i="16" s="1"/>
  <c r="B583" i="16" a="1"/>
  <c r="B583" i="16" s="1"/>
  <c r="B582" i="16" a="1"/>
  <c r="B582" i="16" s="1"/>
  <c r="B581" i="16" a="1"/>
  <c r="B581" i="16" s="1"/>
  <c r="B580" i="16"/>
  <c r="B580" i="16" a="1"/>
  <c r="B579" i="16" a="1"/>
  <c r="B579" i="16" s="1"/>
  <c r="B578" i="16" a="1"/>
  <c r="B578" i="16" s="1"/>
  <c r="B577" i="16" a="1"/>
  <c r="B577" i="16" s="1"/>
  <c r="B576" i="16" a="1"/>
  <c r="B576" i="16" s="1"/>
  <c r="B575" i="16" a="1"/>
  <c r="B575" i="16" s="1"/>
  <c r="B574" i="16" a="1"/>
  <c r="B574" i="16" s="1"/>
  <c r="B573" i="16" a="1"/>
  <c r="B573" i="16" s="1"/>
  <c r="B572" i="16"/>
  <c r="B572" i="16" a="1"/>
  <c r="B571" i="16" a="1"/>
  <c r="B571" i="16" s="1"/>
  <c r="B570" i="16" a="1"/>
  <c r="B570" i="16" s="1"/>
  <c r="B569" i="16" a="1"/>
  <c r="B569" i="16" s="1"/>
  <c r="B568" i="16" a="1"/>
  <c r="B568" i="16" s="1"/>
  <c r="B567" i="16" a="1"/>
  <c r="B567" i="16" s="1"/>
  <c r="B566" i="16" a="1"/>
  <c r="B566" i="16" s="1"/>
  <c r="B565" i="16" a="1"/>
  <c r="B565" i="16" s="1"/>
  <c r="B564" i="16"/>
  <c r="B564" i="16" a="1"/>
  <c r="B563" i="16" a="1"/>
  <c r="B563" i="16" s="1"/>
  <c r="B562" i="16" a="1"/>
  <c r="B562" i="16" s="1"/>
  <c r="B561" i="16" a="1"/>
  <c r="B561" i="16" s="1"/>
  <c r="B560" i="16" a="1"/>
  <c r="B560" i="16" s="1"/>
  <c r="B559" i="16" a="1"/>
  <c r="B559" i="16" s="1"/>
  <c r="B558" i="16" a="1"/>
  <c r="B558" i="16" s="1"/>
  <c r="B557" i="16" a="1"/>
  <c r="B557" i="16" s="1"/>
  <c r="B556" i="16"/>
  <c r="B556" i="16" a="1"/>
  <c r="B555" i="16" a="1"/>
  <c r="B555" i="16" s="1"/>
  <c r="B554" i="16" a="1"/>
  <c r="B554" i="16" s="1"/>
  <c r="B553" i="16" a="1"/>
  <c r="B553" i="16" s="1"/>
  <c r="B552" i="16" a="1"/>
  <c r="B552" i="16" s="1"/>
  <c r="B551" i="16" a="1"/>
  <c r="B551" i="16" s="1"/>
  <c r="B550" i="16" a="1"/>
  <c r="B550" i="16" s="1"/>
  <c r="B549" i="16" a="1"/>
  <c r="B549" i="16" s="1"/>
  <c r="B548" i="16"/>
  <c r="B548" i="16" a="1"/>
  <c r="B547" i="16" a="1"/>
  <c r="B547" i="16" s="1"/>
  <c r="B546" i="16" a="1"/>
  <c r="B546" i="16" s="1"/>
  <c r="B545" i="16" a="1"/>
  <c r="B545" i="16" s="1"/>
  <c r="B544" i="16" a="1"/>
  <c r="B544" i="16" s="1"/>
  <c r="B543" i="16" a="1"/>
  <c r="B543" i="16" s="1"/>
  <c r="B542" i="16" a="1"/>
  <c r="B542" i="16" s="1"/>
  <c r="B541" i="16" a="1"/>
  <c r="B541" i="16" s="1"/>
  <c r="B540" i="16"/>
  <c r="B540" i="16" a="1"/>
  <c r="B539" i="16" a="1"/>
  <c r="B539" i="16" s="1"/>
  <c r="B538" i="16" a="1"/>
  <c r="B538" i="16" s="1"/>
  <c r="B537" i="16" a="1"/>
  <c r="B537" i="16" s="1"/>
  <c r="B536" i="16" a="1"/>
  <c r="B536" i="16" s="1"/>
  <c r="B535" i="16" a="1"/>
  <c r="B535" i="16" s="1"/>
  <c r="B534" i="16" a="1"/>
  <c r="B534" i="16" s="1"/>
  <c r="B533" i="16" a="1"/>
  <c r="B533" i="16" s="1"/>
  <c r="B532" i="16"/>
  <c r="B532" i="16" a="1"/>
  <c r="B531" i="16" a="1"/>
  <c r="B531" i="16" s="1"/>
  <c r="B530" i="16" a="1"/>
  <c r="B530" i="16" s="1"/>
  <c r="B529" i="16" a="1"/>
  <c r="B529" i="16" s="1"/>
  <c r="B528" i="16" a="1"/>
  <c r="B528" i="16" s="1"/>
  <c r="B527" i="16" a="1"/>
  <c r="B527" i="16" s="1"/>
  <c r="B526" i="16" a="1"/>
  <c r="B526" i="16" s="1"/>
  <c r="B525" i="16" a="1"/>
  <c r="B525" i="16" s="1"/>
  <c r="B524" i="16"/>
  <c r="B524" i="16" a="1"/>
  <c r="B523" i="16" a="1"/>
  <c r="B523" i="16" s="1"/>
  <c r="B522" i="16" a="1"/>
  <c r="B522" i="16" s="1"/>
  <c r="B521" i="16" a="1"/>
  <c r="B521" i="16" s="1"/>
  <c r="B520" i="16" a="1"/>
  <c r="B520" i="16" s="1"/>
  <c r="B519" i="16" a="1"/>
  <c r="B519" i="16" s="1"/>
  <c r="B518" i="16" a="1"/>
  <c r="B518" i="16" s="1"/>
  <c r="B517" i="16" a="1"/>
  <c r="B517" i="16" s="1"/>
  <c r="B516" i="16"/>
  <c r="B516" i="16" a="1"/>
  <c r="B515" i="16" a="1"/>
  <c r="B515" i="16" s="1"/>
  <c r="B514" i="16" a="1"/>
  <c r="B514" i="16" s="1"/>
  <c r="B513" i="16" a="1"/>
  <c r="B513" i="16" s="1"/>
  <c r="B512" i="16" a="1"/>
  <c r="B512" i="16" s="1"/>
  <c r="B511" i="16" a="1"/>
  <c r="B511" i="16" s="1"/>
  <c r="B510" i="16" a="1"/>
  <c r="B510" i="16" s="1"/>
  <c r="B509" i="16" a="1"/>
  <c r="B509" i="16" s="1"/>
  <c r="B508" i="16"/>
  <c r="B508" i="16" a="1"/>
  <c r="B507" i="16" a="1"/>
  <c r="B507" i="16" s="1"/>
  <c r="B506" i="16" a="1"/>
  <c r="B506" i="16" s="1"/>
  <c r="B505" i="16" a="1"/>
  <c r="B505" i="16" s="1"/>
  <c r="B504" i="16" a="1"/>
  <c r="B504" i="16" s="1"/>
  <c r="B503" i="16" a="1"/>
  <c r="B503" i="16" s="1"/>
  <c r="B502" i="16" a="1"/>
  <c r="B502" i="16" s="1"/>
  <c r="B501" i="16" a="1"/>
  <c r="B501" i="16" s="1"/>
  <c r="B500" i="16"/>
  <c r="B500" i="16" a="1"/>
  <c r="B499" i="16" a="1"/>
  <c r="B499" i="16" s="1"/>
  <c r="B498" i="16" a="1"/>
  <c r="B498" i="16" s="1"/>
  <c r="B497" i="16" a="1"/>
  <c r="B497" i="16" s="1"/>
  <c r="B496" i="16" a="1"/>
  <c r="B496" i="16" s="1"/>
  <c r="B495" i="16" a="1"/>
  <c r="B495" i="16" s="1"/>
  <c r="B494" i="16" a="1"/>
  <c r="B494" i="16" s="1"/>
  <c r="B493" i="16" a="1"/>
  <c r="B493" i="16" s="1"/>
  <c r="B492" i="16"/>
  <c r="B492" i="16" a="1"/>
  <c r="B491" i="16" a="1"/>
  <c r="B491" i="16" s="1"/>
  <c r="B490" i="16" a="1"/>
  <c r="B490" i="16" s="1"/>
  <c r="B489" i="16" a="1"/>
  <c r="B489" i="16" s="1"/>
  <c r="B488" i="16" a="1"/>
  <c r="B488" i="16" s="1"/>
  <c r="B487" i="16" a="1"/>
  <c r="B487" i="16" s="1"/>
  <c r="B486" i="16" a="1"/>
  <c r="B486" i="16" s="1"/>
  <c r="B485" i="16" a="1"/>
  <c r="B485" i="16" s="1"/>
  <c r="B484" i="16"/>
  <c r="B484" i="16" a="1"/>
  <c r="B483" i="16" a="1"/>
  <c r="B483" i="16" s="1"/>
  <c r="B482" i="16" a="1"/>
  <c r="B482" i="16" s="1"/>
  <c r="B481" i="16" a="1"/>
  <c r="B481" i="16" s="1"/>
  <c r="B480" i="16" a="1"/>
  <c r="B480" i="16" s="1"/>
  <c r="B479" i="16" a="1"/>
  <c r="B479" i="16" s="1"/>
  <c r="B478" i="16" a="1"/>
  <c r="B478" i="16" s="1"/>
  <c r="B477" i="16" a="1"/>
  <c r="B477" i="16" s="1"/>
  <c r="B476" i="16"/>
  <c r="B476" i="16" a="1"/>
  <c r="B475" i="16" a="1"/>
  <c r="B475" i="16" s="1"/>
  <c r="B474" i="16" a="1"/>
  <c r="B474" i="16" s="1"/>
  <c r="B473" i="16" a="1"/>
  <c r="B473" i="16" s="1"/>
  <c r="B472" i="16" a="1"/>
  <c r="B472" i="16" s="1"/>
  <c r="B471" i="16" a="1"/>
  <c r="B471" i="16" s="1"/>
  <c r="B470" i="16" a="1"/>
  <c r="B470" i="16" s="1"/>
  <c r="B469" i="16" a="1"/>
  <c r="B469" i="16" s="1"/>
  <c r="B468" i="16"/>
  <c r="B468" i="16" a="1"/>
  <c r="B467" i="16" a="1"/>
  <c r="B467" i="16" s="1"/>
  <c r="B466" i="16" a="1"/>
  <c r="B466" i="16" s="1"/>
  <c r="B465" i="16" a="1"/>
  <c r="B465" i="16" s="1"/>
  <c r="B464" i="16" a="1"/>
  <c r="B464" i="16" s="1"/>
  <c r="B463" i="16" a="1"/>
  <c r="B463" i="16" s="1"/>
  <c r="B462" i="16" a="1"/>
  <c r="B462" i="16" s="1"/>
  <c r="B461" i="16" a="1"/>
  <c r="B461" i="16" s="1"/>
  <c r="B460" i="16"/>
  <c r="B460" i="16" a="1"/>
  <c r="B459" i="16" a="1"/>
  <c r="B459" i="16" s="1"/>
  <c r="B458" i="16" a="1"/>
  <c r="B458" i="16" s="1"/>
  <c r="B457" i="16" a="1"/>
  <c r="B457" i="16" s="1"/>
  <c r="B456" i="16" a="1"/>
  <c r="B456" i="16" s="1"/>
  <c r="B455" i="16" a="1"/>
  <c r="B455" i="16" s="1"/>
  <c r="B454" i="16" a="1"/>
  <c r="B454" i="16" s="1"/>
  <c r="B453" i="16" a="1"/>
  <c r="B453" i="16" s="1"/>
  <c r="B452" i="16"/>
  <c r="B452" i="16" a="1"/>
  <c r="B451" i="16" a="1"/>
  <c r="B451" i="16" s="1"/>
  <c r="B450" i="16" a="1"/>
  <c r="B450" i="16" s="1"/>
  <c r="B449" i="16" a="1"/>
  <c r="B449" i="16" s="1"/>
  <c r="B448" i="16" a="1"/>
  <c r="B448" i="16" s="1"/>
  <c r="B447" i="16" a="1"/>
  <c r="B447" i="16" s="1"/>
  <c r="B446" i="16" a="1"/>
  <c r="B446" i="16" s="1"/>
  <c r="B445" i="16" a="1"/>
  <c r="B445" i="16" s="1"/>
  <c r="B444" i="16"/>
  <c r="B444" i="16" a="1"/>
  <c r="B443" i="16" a="1"/>
  <c r="B443" i="16" s="1"/>
  <c r="B442" i="16" a="1"/>
  <c r="B442" i="16" s="1"/>
  <c r="B441" i="16" a="1"/>
  <c r="B441" i="16" s="1"/>
  <c r="B440" i="16" a="1"/>
  <c r="B440" i="16" s="1"/>
  <c r="B439" i="16" a="1"/>
  <c r="B439" i="16" s="1"/>
  <c r="B438" i="16" a="1"/>
  <c r="B438" i="16" s="1"/>
  <c r="B437" i="16" a="1"/>
  <c r="B437" i="16" s="1"/>
  <c r="B436" i="16"/>
  <c r="B436" i="16" a="1"/>
  <c r="B435" i="16" a="1"/>
  <c r="B435" i="16" s="1"/>
  <c r="B434" i="16" a="1"/>
  <c r="B434" i="16" s="1"/>
  <c r="B433" i="16" a="1"/>
  <c r="B433" i="16" s="1"/>
  <c r="B432" i="16" a="1"/>
  <c r="B432" i="16" s="1"/>
  <c r="B431" i="16" a="1"/>
  <c r="B431" i="16" s="1"/>
  <c r="B430" i="16" a="1"/>
  <c r="B430" i="16" s="1"/>
  <c r="B429" i="16" a="1"/>
  <c r="B429" i="16" s="1"/>
  <c r="B428" i="16"/>
  <c r="B428" i="16" a="1"/>
  <c r="B427" i="16" a="1"/>
  <c r="B427" i="16" s="1"/>
  <c r="B426" i="16" a="1"/>
  <c r="B426" i="16" s="1"/>
  <c r="B425" i="16" a="1"/>
  <c r="B425" i="16" s="1"/>
  <c r="B424" i="16" a="1"/>
  <c r="B424" i="16" s="1"/>
  <c r="B423" i="16" a="1"/>
  <c r="B423" i="16" s="1"/>
  <c r="B422" i="16" a="1"/>
  <c r="B422" i="16" s="1"/>
  <c r="B421" i="16" a="1"/>
  <c r="B421" i="16" s="1"/>
  <c r="B420" i="16" a="1"/>
  <c r="B420" i="16" s="1"/>
  <c r="B419" i="16" a="1"/>
  <c r="B419" i="16" s="1"/>
  <c r="B418" i="16" a="1"/>
  <c r="B418" i="16" s="1"/>
  <c r="B417" i="16" a="1"/>
  <c r="B417" i="16" s="1"/>
  <c r="B416" i="16" a="1"/>
  <c r="B416" i="16" s="1"/>
  <c r="B415" i="16" a="1"/>
  <c r="B415" i="16" s="1"/>
  <c r="B414" i="16" a="1"/>
  <c r="B414" i="16" s="1"/>
  <c r="B413" i="16" a="1"/>
  <c r="B413" i="16" s="1"/>
  <c r="B412" i="16" a="1"/>
  <c r="B412" i="16" s="1"/>
  <c r="B411" i="16" a="1"/>
  <c r="B411" i="16" s="1"/>
  <c r="B410" i="16" a="1"/>
  <c r="B410" i="16" s="1"/>
  <c r="B409" i="16" a="1"/>
  <c r="B409" i="16" s="1"/>
  <c r="B408" i="16" a="1"/>
  <c r="B408" i="16" s="1"/>
  <c r="B407" i="16" a="1"/>
  <c r="B407" i="16" s="1"/>
  <c r="B406" i="16" a="1"/>
  <c r="B406" i="16" s="1"/>
  <c r="B405" i="16" a="1"/>
  <c r="B405" i="16" s="1"/>
  <c r="B404" i="16" a="1"/>
  <c r="B404" i="16" s="1"/>
  <c r="B403" i="16" a="1"/>
  <c r="B403" i="16" s="1"/>
  <c r="B402" i="16" a="1"/>
  <c r="B402" i="16" s="1"/>
  <c r="B401" i="16" a="1"/>
  <c r="B401" i="16" s="1"/>
  <c r="B400" i="16" a="1"/>
  <c r="B400" i="16" s="1"/>
  <c r="B399" i="16" a="1"/>
  <c r="B399" i="16" s="1"/>
  <c r="B398" i="16" a="1"/>
  <c r="B398" i="16" s="1"/>
  <c r="B397" i="16" a="1"/>
  <c r="B397" i="16" s="1"/>
  <c r="B396" i="16" a="1"/>
  <c r="B396" i="16" s="1"/>
  <c r="B395" i="16" a="1"/>
  <c r="B395" i="16" s="1"/>
  <c r="B394" i="16" a="1"/>
  <c r="B394" i="16" s="1"/>
  <c r="B393" i="16" a="1"/>
  <c r="B393" i="16" s="1"/>
  <c r="B392" i="16" a="1"/>
  <c r="B392" i="16" s="1"/>
  <c r="B391" i="16" a="1"/>
  <c r="B391" i="16" s="1"/>
  <c r="B390" i="16" a="1"/>
  <c r="B390" i="16" s="1"/>
  <c r="B389" i="16" a="1"/>
  <c r="B389" i="16" s="1"/>
  <c r="B388" i="16" a="1"/>
  <c r="B388" i="16" s="1"/>
  <c r="B387" i="16" a="1"/>
  <c r="B387" i="16" s="1"/>
  <c r="B386" i="16" a="1"/>
  <c r="B386" i="16" s="1"/>
  <c r="B385" i="16" a="1"/>
  <c r="B385" i="16" s="1"/>
  <c r="B384" i="16" a="1"/>
  <c r="B384" i="16" s="1"/>
  <c r="B383" i="16" a="1"/>
  <c r="B383" i="16" s="1"/>
  <c r="B382" i="16" a="1"/>
  <c r="B382" i="16" s="1"/>
  <c r="B381" i="16" a="1"/>
  <c r="B381" i="16" s="1"/>
  <c r="B380" i="16" a="1"/>
  <c r="B380" i="16" s="1"/>
  <c r="B379" i="16" a="1"/>
  <c r="B379" i="16" s="1"/>
  <c r="B378" i="16" a="1"/>
  <c r="B378" i="16" s="1"/>
  <c r="B377" i="16" a="1"/>
  <c r="B377" i="16" s="1"/>
  <c r="B376" i="16" a="1"/>
  <c r="B376" i="16" s="1"/>
  <c r="B375" i="16" a="1"/>
  <c r="B375" i="16" s="1"/>
  <c r="B374" i="16" a="1"/>
  <c r="B374" i="16" s="1"/>
  <c r="B373" i="16" a="1"/>
  <c r="B373" i="16" s="1"/>
  <c r="B372" i="16" a="1"/>
  <c r="B372" i="16" s="1"/>
  <c r="B371" i="16" a="1"/>
  <c r="B371" i="16" s="1"/>
  <c r="B370" i="16" a="1"/>
  <c r="B370" i="16" s="1"/>
  <c r="B369" i="16" a="1"/>
  <c r="B369" i="16" s="1"/>
  <c r="B368" i="16" a="1"/>
  <c r="B368" i="16" s="1"/>
  <c r="B367" i="16" a="1"/>
  <c r="B367" i="16" s="1"/>
  <c r="B366" i="16" a="1"/>
  <c r="B366" i="16" s="1"/>
  <c r="B365" i="16" a="1"/>
  <c r="B365" i="16" s="1"/>
  <c r="B364" i="16" a="1"/>
  <c r="B364" i="16" s="1"/>
  <c r="B363" i="16" a="1"/>
  <c r="B363" i="16" s="1"/>
  <c r="B362" i="16" a="1"/>
  <c r="B362" i="16" s="1"/>
  <c r="B361" i="16" a="1"/>
  <c r="B361" i="16" s="1"/>
  <c r="B360" i="16" a="1"/>
  <c r="B360" i="16" s="1"/>
  <c r="B359" i="16" a="1"/>
  <c r="B359" i="16" s="1"/>
  <c r="B358" i="16" a="1"/>
  <c r="B358" i="16" s="1"/>
  <c r="B357" i="16" a="1"/>
  <c r="B357" i="16" s="1"/>
  <c r="B356" i="16" a="1"/>
  <c r="B356" i="16" s="1"/>
  <c r="B355" i="16" a="1"/>
  <c r="B355" i="16" s="1"/>
  <c r="B354" i="16" a="1"/>
  <c r="B354" i="16" s="1"/>
  <c r="B353" i="16" a="1"/>
  <c r="B353" i="16" s="1"/>
  <c r="B352" i="16" a="1"/>
  <c r="B352" i="16" s="1"/>
  <c r="B351" i="16" a="1"/>
  <c r="B351" i="16" s="1"/>
  <c r="B350" i="16" a="1"/>
  <c r="B350" i="16" s="1"/>
  <c r="B349" i="16" a="1"/>
  <c r="B349" i="16" s="1"/>
  <c r="B348" i="16" a="1"/>
  <c r="B348" i="16" s="1"/>
  <c r="B347" i="16" a="1"/>
  <c r="B347" i="16" s="1"/>
  <c r="B346" i="16" a="1"/>
  <c r="B346" i="16" s="1"/>
  <c r="B345" i="16" a="1"/>
  <c r="B345" i="16" s="1"/>
  <c r="B344" i="16"/>
  <c r="B344" i="16" a="1"/>
  <c r="B343" i="16" a="1"/>
  <c r="B343" i="16" s="1"/>
  <c r="B342" i="16" a="1"/>
  <c r="B342" i="16" s="1"/>
  <c r="B341" i="16" a="1"/>
  <c r="B341" i="16" s="1"/>
  <c r="B340" i="16"/>
  <c r="B340" i="16" a="1"/>
  <c r="B339" i="16" a="1"/>
  <c r="B339" i="16" s="1"/>
  <c r="B338" i="16" a="1"/>
  <c r="B338" i="16" s="1"/>
  <c r="B337" i="16" a="1"/>
  <c r="B337" i="16" s="1"/>
  <c r="B336" i="16"/>
  <c r="B336" i="16" a="1"/>
  <c r="B335" i="16" a="1"/>
  <c r="B335" i="16" s="1"/>
  <c r="B334" i="16" a="1"/>
  <c r="B334" i="16" s="1"/>
  <c r="B333" i="16" a="1"/>
  <c r="B333" i="16" s="1"/>
  <c r="B332" i="16"/>
  <c r="B332" i="16" a="1"/>
  <c r="B331" i="16" a="1"/>
  <c r="B331" i="16" s="1"/>
  <c r="B330" i="16" a="1"/>
  <c r="B330" i="16" s="1"/>
  <c r="B329" i="16" a="1"/>
  <c r="B329" i="16" s="1"/>
  <c r="B328" i="16"/>
  <c r="B328" i="16" a="1"/>
  <c r="B327" i="16" a="1"/>
  <c r="B327" i="16" s="1"/>
  <c r="B326" i="16" a="1"/>
  <c r="B326" i="16" s="1"/>
  <c r="B325" i="16" a="1"/>
  <c r="B325" i="16" s="1"/>
  <c r="B324" i="16"/>
  <c r="B324" i="16" a="1"/>
  <c r="B323" i="16" a="1"/>
  <c r="B323" i="16" s="1"/>
  <c r="B322" i="16" a="1"/>
  <c r="B322" i="16" s="1"/>
  <c r="B321" i="16" a="1"/>
  <c r="B321" i="16" s="1"/>
  <c r="B320" i="16"/>
  <c r="B320" i="16" a="1"/>
  <c r="B319" i="16" a="1"/>
  <c r="B319" i="16" s="1"/>
  <c r="B318" i="16" a="1"/>
  <c r="B318" i="16" s="1"/>
  <c r="B317" i="16" a="1"/>
  <c r="B317" i="16" s="1"/>
  <c r="B316" i="16"/>
  <c r="B316" i="16" a="1"/>
  <c r="B315" i="16" a="1"/>
  <c r="B315" i="16" s="1"/>
  <c r="B314" i="16" a="1"/>
  <c r="B314" i="16" s="1"/>
  <c r="B313" i="16" a="1"/>
  <c r="B313" i="16" s="1"/>
  <c r="B312" i="16"/>
  <c r="B312" i="16" a="1"/>
  <c r="B311" i="16" a="1"/>
  <c r="B311" i="16" s="1"/>
  <c r="B310" i="16" a="1"/>
  <c r="B310" i="16" s="1"/>
  <c r="B309" i="16" a="1"/>
  <c r="B309" i="16" s="1"/>
  <c r="B308" i="16"/>
  <c r="B308" i="16" a="1"/>
  <c r="B307" i="16" a="1"/>
  <c r="B307" i="16" s="1"/>
  <c r="B306" i="16" a="1"/>
  <c r="B306" i="16" s="1"/>
  <c r="B305" i="16" a="1"/>
  <c r="B305" i="16" s="1"/>
  <c r="B304" i="16"/>
  <c r="B304" i="16" a="1"/>
  <c r="B303" i="16" a="1"/>
  <c r="B303" i="16" s="1"/>
  <c r="B302" i="16" a="1"/>
  <c r="B302" i="16" s="1"/>
  <c r="B301" i="16" a="1"/>
  <c r="B301" i="16" s="1"/>
  <c r="B300" i="16"/>
  <c r="B300" i="16" a="1"/>
  <c r="B299" i="16" a="1"/>
  <c r="B299" i="16" s="1"/>
  <c r="B298" i="16" a="1"/>
  <c r="B298" i="16" s="1"/>
  <c r="B297" i="16" a="1"/>
  <c r="B297" i="16" s="1"/>
  <c r="B296" i="16"/>
  <c r="B296" i="16" a="1"/>
  <c r="B295" i="16" a="1"/>
  <c r="B295" i="16" s="1"/>
  <c r="B294" i="16" a="1"/>
  <c r="B294" i="16" s="1"/>
  <c r="B293" i="16" a="1"/>
  <c r="B293" i="16" s="1"/>
  <c r="B292" i="16"/>
  <c r="B292" i="16" a="1"/>
  <c r="B291" i="16" a="1"/>
  <c r="B291" i="16" s="1"/>
  <c r="B290" i="16" a="1"/>
  <c r="B290" i="16" s="1"/>
  <c r="B289" i="16" a="1"/>
  <c r="B289" i="16" s="1"/>
  <c r="B288" i="16"/>
  <c r="B288" i="16" a="1"/>
  <c r="B287" i="16" a="1"/>
  <c r="B287" i="16" s="1"/>
  <c r="B286" i="16" a="1"/>
  <c r="B286" i="16" s="1"/>
  <c r="B285" i="16" a="1"/>
  <c r="B285" i="16" s="1"/>
  <c r="B284" i="16"/>
  <c r="B284" i="16" a="1"/>
  <c r="B283" i="16" a="1"/>
  <c r="B283" i="16" s="1"/>
  <c r="B282" i="16" a="1"/>
  <c r="B282" i="16" s="1"/>
  <c r="B281" i="16" a="1"/>
  <c r="B281" i="16" s="1"/>
  <c r="B280" i="16"/>
  <c r="B280" i="16" a="1"/>
  <c r="B279" i="16" a="1"/>
  <c r="B279" i="16" s="1"/>
  <c r="B278" i="16" a="1"/>
  <c r="B278" i="16" s="1"/>
  <c r="B277" i="16" a="1"/>
  <c r="B277" i="16" s="1"/>
  <c r="B276" i="16"/>
  <c r="B276" i="16" a="1"/>
  <c r="B275" i="16" a="1"/>
  <c r="B275" i="16" s="1"/>
  <c r="B274" i="16" a="1"/>
  <c r="B274" i="16" s="1"/>
  <c r="B273" i="16" a="1"/>
  <c r="B273" i="16" s="1"/>
  <c r="B272" i="16"/>
  <c r="B272" i="16" a="1"/>
  <c r="B271" i="16" a="1"/>
  <c r="B271" i="16" s="1"/>
  <c r="B270" i="16" a="1"/>
  <c r="B270" i="16" s="1"/>
  <c r="B269" i="16" a="1"/>
  <c r="B269" i="16" s="1"/>
  <c r="B268" i="16"/>
  <c r="B268" i="16" a="1"/>
  <c r="B267" i="16" a="1"/>
  <c r="B267" i="16" s="1"/>
  <c r="B266" i="16" a="1"/>
  <c r="B266" i="16" s="1"/>
  <c r="B265" i="16" a="1"/>
  <c r="B265" i="16" s="1"/>
  <c r="B264" i="16"/>
  <c r="B264" i="16" a="1"/>
  <c r="B263" i="16" a="1"/>
  <c r="B263" i="16" s="1"/>
  <c r="B262" i="16" a="1"/>
  <c r="B262" i="16" s="1"/>
  <c r="B261" i="16" a="1"/>
  <c r="B261" i="16" s="1"/>
  <c r="B260" i="16"/>
  <c r="B260" i="16" a="1"/>
  <c r="B259" i="16" a="1"/>
  <c r="B259" i="16" s="1"/>
  <c r="B258" i="16" a="1"/>
  <c r="B258" i="16" s="1"/>
  <c r="B257" i="16" a="1"/>
  <c r="B257" i="16" s="1"/>
  <c r="B256" i="16"/>
  <c r="B256" i="16" a="1"/>
  <c r="B255" i="16" a="1"/>
  <c r="B255" i="16" s="1"/>
  <c r="B254" i="16" a="1"/>
  <c r="B254" i="16" s="1"/>
  <c r="B253" i="16" a="1"/>
  <c r="B253" i="16" s="1"/>
  <c r="B252" i="16"/>
  <c r="B252" i="16" a="1"/>
  <c r="B251" i="16" a="1"/>
  <c r="B251" i="16" s="1"/>
  <c r="B250" i="16" a="1"/>
  <c r="B250" i="16" s="1"/>
  <c r="B249" i="16" a="1"/>
  <c r="B249" i="16" s="1"/>
  <c r="B248" i="16"/>
  <c r="B248" i="16" a="1"/>
  <c r="B247" i="16" a="1"/>
  <c r="B247" i="16" s="1"/>
  <c r="B246" i="16" a="1"/>
  <c r="B246" i="16" s="1"/>
  <c r="B245" i="16" a="1"/>
  <c r="B245" i="16" s="1"/>
  <c r="B244" i="16"/>
  <c r="B244" i="16" a="1"/>
  <c r="B243" i="16" a="1"/>
  <c r="B243" i="16" s="1"/>
  <c r="B242" i="16" a="1"/>
  <c r="B242" i="16" s="1"/>
  <c r="B241" i="16" a="1"/>
  <c r="B241" i="16" s="1"/>
  <c r="B240" i="16"/>
  <c r="B240" i="16" a="1"/>
  <c r="B239" i="16" a="1"/>
  <c r="B239" i="16" s="1"/>
  <c r="B238" i="16" a="1"/>
  <c r="B238" i="16" s="1"/>
  <c r="B237" i="16" a="1"/>
  <c r="B237" i="16" s="1"/>
  <c r="B236" i="16"/>
  <c r="B236" i="16" a="1"/>
  <c r="B235" i="16" a="1"/>
  <c r="B235" i="16" s="1"/>
  <c r="B234" i="16" a="1"/>
  <c r="B234" i="16" s="1"/>
  <c r="B233" i="16" a="1"/>
  <c r="B233" i="16" s="1"/>
  <c r="B232" i="16"/>
  <c r="B232" i="16" a="1"/>
  <c r="B231" i="16" a="1"/>
  <c r="B231" i="16" s="1"/>
  <c r="B230" i="16" a="1"/>
  <c r="B230" i="16" s="1"/>
  <c r="B229" i="16" a="1"/>
  <c r="B229" i="16" s="1"/>
  <c r="B228" i="16"/>
  <c r="B228" i="16" a="1"/>
  <c r="B227" i="16" a="1"/>
  <c r="B227" i="16" s="1"/>
  <c r="B226" i="16" a="1"/>
  <c r="B226" i="16" s="1"/>
  <c r="B225" i="16" a="1"/>
  <c r="B225" i="16" s="1"/>
  <c r="B224" i="16"/>
  <c r="B224" i="16" a="1"/>
  <c r="B223" i="16" a="1"/>
  <c r="B223" i="16" s="1"/>
  <c r="B222" i="16" a="1"/>
  <c r="B222" i="16" s="1"/>
  <c r="B221" i="16" a="1"/>
  <c r="B221" i="16" s="1"/>
  <c r="B220" i="16"/>
  <c r="B220" i="16" a="1"/>
  <c r="B219" i="16" a="1"/>
  <c r="B219" i="16" s="1"/>
  <c r="B218" i="16" a="1"/>
  <c r="B218" i="16" s="1"/>
  <c r="B217" i="16" a="1"/>
  <c r="B217" i="16" s="1"/>
  <c r="B216" i="16"/>
  <c r="B216" i="16" a="1"/>
  <c r="B215" i="16" a="1"/>
  <c r="B215" i="16" s="1"/>
  <c r="B214" i="16" a="1"/>
  <c r="B214" i="16" s="1"/>
  <c r="B213" i="16" a="1"/>
  <c r="B213" i="16" s="1"/>
  <c r="B212" i="16"/>
  <c r="B212" i="16" a="1"/>
  <c r="B211" i="16" a="1"/>
  <c r="B211" i="16" s="1"/>
  <c r="B210" i="16" a="1"/>
  <c r="B210" i="16" s="1"/>
  <c r="B209" i="16" a="1"/>
  <c r="B209" i="16" s="1"/>
  <c r="B208" i="16"/>
  <c r="B208" i="16" a="1"/>
  <c r="B207" i="16" a="1"/>
  <c r="B207" i="16" s="1"/>
  <c r="B206" i="16" a="1"/>
  <c r="B206" i="16" s="1"/>
  <c r="B205" i="16" a="1"/>
  <c r="B205" i="16" s="1"/>
  <c r="B204" i="16"/>
  <c r="B204" i="16" a="1"/>
  <c r="B203" i="16" a="1"/>
  <c r="B203" i="16" s="1"/>
  <c r="B202" i="16" a="1"/>
  <c r="B202" i="16" s="1"/>
  <c r="B201" i="16" a="1"/>
  <c r="B201" i="16" s="1"/>
  <c r="B200" i="16"/>
  <c r="B200" i="16" a="1"/>
  <c r="B199" i="16" a="1"/>
  <c r="B199" i="16" s="1"/>
  <c r="B198" i="16" a="1"/>
  <c r="B198" i="16" s="1"/>
  <c r="B197" i="16" a="1"/>
  <c r="B197" i="16" s="1"/>
  <c r="B196" i="16"/>
  <c r="B196" i="16" a="1"/>
  <c r="B195" i="16" a="1"/>
  <c r="B195" i="16" s="1"/>
  <c r="B194" i="16" a="1"/>
  <c r="B194" i="16" s="1"/>
  <c r="B193" i="16" a="1"/>
  <c r="B193" i="16" s="1"/>
  <c r="B192" i="16"/>
  <c r="B192" i="16" a="1"/>
  <c r="B191" i="16" a="1"/>
  <c r="B191" i="16" s="1"/>
  <c r="B190" i="16" a="1"/>
  <c r="B190" i="16" s="1"/>
  <c r="B189" i="16" a="1"/>
  <c r="B189" i="16" s="1"/>
  <c r="B188" i="16"/>
  <c r="B188" i="16" a="1"/>
  <c r="B187" i="16" a="1"/>
  <c r="B187" i="16" s="1"/>
  <c r="B186" i="16" a="1"/>
  <c r="B186" i="16" s="1"/>
  <c r="B185" i="16" a="1"/>
  <c r="B185" i="16" s="1"/>
  <c r="B184" i="16"/>
  <c r="B184" i="16" a="1"/>
  <c r="B183" i="16" a="1"/>
  <c r="B183" i="16" s="1"/>
  <c r="B182" i="16" a="1"/>
  <c r="B182" i="16" s="1"/>
  <c r="B181" i="16" a="1"/>
  <c r="B181" i="16" s="1"/>
  <c r="B180" i="16"/>
  <c r="B180" i="16" a="1"/>
  <c r="B179" i="16" a="1"/>
  <c r="B179" i="16" s="1"/>
  <c r="B178" i="16" a="1"/>
  <c r="B178" i="16" s="1"/>
  <c r="B177" i="16" a="1"/>
  <c r="B177" i="16" s="1"/>
  <c r="B176" i="16"/>
  <c r="B176" i="16" a="1"/>
  <c r="B175" i="16" a="1"/>
  <c r="B175" i="16" s="1"/>
  <c r="B174" i="16" a="1"/>
  <c r="B174" i="16" s="1"/>
  <c r="B173" i="16" a="1"/>
  <c r="B173" i="16" s="1"/>
  <c r="B172" i="16"/>
  <c r="B172" i="16" a="1"/>
  <c r="B171" i="16" a="1"/>
  <c r="B171" i="16" s="1"/>
  <c r="B170" i="16" a="1"/>
  <c r="B170" i="16" s="1"/>
  <c r="B169" i="16" a="1"/>
  <c r="B169" i="16" s="1"/>
  <c r="B168" i="16"/>
  <c r="B168" i="16" a="1"/>
  <c r="B167" i="16" a="1"/>
  <c r="B167" i="16" s="1"/>
  <c r="B166" i="16" a="1"/>
  <c r="B166" i="16" s="1"/>
  <c r="B165" i="16" a="1"/>
  <c r="B165" i="16" s="1"/>
  <c r="B164" i="16"/>
  <c r="B164" i="16" a="1"/>
  <c r="B163" i="16" a="1"/>
  <c r="B163" i="16" s="1"/>
  <c r="B162" i="16" a="1"/>
  <c r="B162" i="16" s="1"/>
  <c r="B161" i="16" a="1"/>
  <c r="B161" i="16" s="1"/>
  <c r="B160" i="16"/>
  <c r="B160" i="16" a="1"/>
  <c r="B159" i="16" a="1"/>
  <c r="B159" i="16" s="1"/>
  <c r="B158" i="16" a="1"/>
  <c r="B158" i="16" s="1"/>
  <c r="B157" i="16" a="1"/>
  <c r="B157" i="16" s="1"/>
  <c r="B156" i="16"/>
  <c r="B156" i="16" a="1"/>
  <c r="B155" i="16" a="1"/>
  <c r="B155" i="16" s="1"/>
  <c r="B154" i="16" a="1"/>
  <c r="B154" i="16" s="1"/>
  <c r="B153" i="16" a="1"/>
  <c r="B153" i="16" s="1"/>
  <c r="B152" i="16"/>
  <c r="B152" i="16" a="1"/>
  <c r="B151" i="16" a="1"/>
  <c r="B151" i="16" s="1"/>
  <c r="B150" i="16" a="1"/>
  <c r="B150" i="16" s="1"/>
  <c r="B149" i="16" a="1"/>
  <c r="B149" i="16" s="1"/>
  <c r="B148" i="16"/>
  <c r="B148" i="16" a="1"/>
  <c r="B147" i="16" a="1"/>
  <c r="B147" i="16" s="1"/>
  <c r="B146" i="16" a="1"/>
  <c r="B146" i="16" s="1"/>
  <c r="B145" i="16" a="1"/>
  <c r="B145" i="16" s="1"/>
  <c r="B144" i="16"/>
  <c r="B144" i="16" a="1"/>
  <c r="B143" i="16" a="1"/>
  <c r="B143" i="16" s="1"/>
  <c r="B142" i="16" a="1"/>
  <c r="B142" i="16" s="1"/>
  <c r="B141" i="16" a="1"/>
  <c r="B141" i="16" s="1"/>
  <c r="A140" i="16" a="1"/>
  <c r="A140" i="16" s="1"/>
  <c r="B140" i="16" s="1" a="1"/>
  <c r="B140" i="16" s="1"/>
  <c r="B139" i="16" a="1"/>
  <c r="B139" i="16" s="1"/>
  <c r="A139" i="16" a="1"/>
  <c r="A139" i="16" s="1"/>
  <c r="A138" i="16" a="1"/>
  <c r="A138" i="16" s="1"/>
  <c r="B138" i="16" s="1" a="1"/>
  <c r="B138" i="16" s="1"/>
  <c r="A137" i="16" a="1"/>
  <c r="A137" i="16" s="1"/>
  <c r="B137" i="16" s="1" a="1"/>
  <c r="B137" i="16" s="1"/>
  <c r="A136" i="16" a="1"/>
  <c r="A136" i="16" s="1"/>
  <c r="B136" i="16" s="1" a="1"/>
  <c r="B136" i="16" s="1"/>
  <c r="A135" i="16" a="1"/>
  <c r="A135" i="16" s="1"/>
  <c r="B135" i="16" s="1" a="1"/>
  <c r="B135" i="16" s="1"/>
  <c r="A134" i="16" a="1"/>
  <c r="A134" i="16" s="1"/>
  <c r="B134" i="16" s="1" a="1"/>
  <c r="B134" i="16" s="1"/>
  <c r="A133" i="16" a="1"/>
  <c r="A133" i="16" s="1"/>
  <c r="B133" i="16" s="1" a="1"/>
  <c r="B133" i="16" s="1"/>
  <c r="A132" i="16" a="1"/>
  <c r="A132" i="16" s="1"/>
  <c r="B132" i="16" s="1" a="1"/>
  <c r="B132" i="16" s="1"/>
  <c r="A131" i="16" a="1"/>
  <c r="A131" i="16" s="1"/>
  <c r="B131" i="16" s="1" a="1"/>
  <c r="B131" i="16" s="1"/>
  <c r="A130" i="16" a="1"/>
  <c r="A130" i="16" s="1"/>
  <c r="B130" i="16" s="1" a="1"/>
  <c r="B130" i="16" s="1"/>
  <c r="A129" i="16" a="1"/>
  <c r="A129" i="16" s="1"/>
  <c r="B129" i="16" s="1" a="1"/>
  <c r="B129" i="16" s="1"/>
  <c r="A128" i="16" a="1"/>
  <c r="A128" i="16" s="1"/>
  <c r="B128" i="16" s="1" a="1"/>
  <c r="B128" i="16" s="1"/>
  <c r="A127" i="16" a="1"/>
  <c r="A127" i="16" s="1"/>
  <c r="B127" i="16" s="1" a="1"/>
  <c r="B127" i="16" s="1"/>
  <c r="A126" i="16" a="1"/>
  <c r="A126" i="16" s="1"/>
  <c r="B126" i="16" s="1" a="1"/>
  <c r="B126" i="16" s="1"/>
  <c r="A125" i="16" a="1"/>
  <c r="A125" i="16" s="1"/>
  <c r="B125" i="16" s="1" a="1"/>
  <c r="B125" i="16" s="1"/>
  <c r="A124" i="16" a="1"/>
  <c r="A124" i="16" s="1"/>
  <c r="B124" i="16" s="1" a="1"/>
  <c r="B124" i="16" s="1"/>
  <c r="A123" i="16" a="1"/>
  <c r="A123" i="16" s="1"/>
  <c r="B123" i="16" s="1" a="1"/>
  <c r="B123" i="16" s="1"/>
  <c r="A122" i="16" a="1"/>
  <c r="A122" i="16" s="1"/>
  <c r="B122" i="16" s="1" a="1"/>
  <c r="B122" i="16" s="1"/>
  <c r="A121" i="16" a="1"/>
  <c r="A121" i="16" s="1"/>
  <c r="B121" i="16" s="1" a="1"/>
  <c r="B121" i="16" s="1"/>
  <c r="A120" i="16" a="1"/>
  <c r="A120" i="16" s="1"/>
  <c r="B120" i="16" s="1" a="1"/>
  <c r="B120" i="16" s="1"/>
  <c r="A119" i="16" a="1"/>
  <c r="A119" i="16" s="1"/>
  <c r="B119" i="16" s="1" a="1"/>
  <c r="B119" i="16" s="1"/>
  <c r="A118" i="16" a="1"/>
  <c r="A118" i="16" s="1"/>
  <c r="B118" i="16" s="1" a="1"/>
  <c r="B118" i="16" s="1"/>
  <c r="A117" i="16" a="1"/>
  <c r="A117" i="16" s="1"/>
  <c r="B117" i="16" s="1" a="1"/>
  <c r="B117" i="16" s="1"/>
  <c r="A116" i="16" a="1"/>
  <c r="A116" i="16" s="1"/>
  <c r="B116" i="16" s="1" a="1"/>
  <c r="B116" i="16" s="1"/>
  <c r="B115" i="16" a="1"/>
  <c r="B115" i="16" s="1"/>
  <c r="A115" i="16" a="1"/>
  <c r="A115" i="16" s="1"/>
  <c r="A114" i="16" a="1"/>
  <c r="A114" i="16" s="1"/>
  <c r="B114" i="16" s="1" a="1"/>
  <c r="B114" i="16" s="1"/>
  <c r="A113" i="16" a="1"/>
  <c r="A113" i="16" s="1"/>
  <c r="B113" i="16" s="1" a="1"/>
  <c r="B113" i="16" s="1"/>
  <c r="A112" i="16" a="1"/>
  <c r="A112" i="16" s="1"/>
  <c r="B112" i="16" s="1" a="1"/>
  <c r="B112" i="16" s="1"/>
  <c r="B111" i="16" a="1"/>
  <c r="B111" i="16" s="1"/>
  <c r="A111" i="16" a="1"/>
  <c r="A111" i="16" s="1"/>
  <c r="A110" i="16" a="1"/>
  <c r="A110" i="16" s="1"/>
  <c r="B110" i="16" s="1" a="1"/>
  <c r="B110" i="16" s="1"/>
  <c r="A109" i="16" a="1"/>
  <c r="A109" i="16" s="1"/>
  <c r="B109" i="16" s="1" a="1"/>
  <c r="B109" i="16" s="1"/>
  <c r="A108" i="16" a="1"/>
  <c r="A108" i="16" s="1"/>
  <c r="B108" i="16" s="1" a="1"/>
  <c r="B108" i="16" s="1"/>
  <c r="B107" i="16" a="1"/>
  <c r="B107" i="16" s="1"/>
  <c r="A107" i="16" a="1"/>
  <c r="A107" i="16" s="1"/>
  <c r="A106" i="16" a="1"/>
  <c r="A106" i="16" s="1"/>
  <c r="B106" i="16" s="1" a="1"/>
  <c r="B106" i="16" s="1"/>
  <c r="A105" i="16" a="1"/>
  <c r="A105" i="16" s="1"/>
  <c r="B105" i="16" s="1" a="1"/>
  <c r="B105" i="16" s="1"/>
  <c r="A104" i="16" a="1"/>
  <c r="A104" i="16" s="1"/>
  <c r="B104" i="16" s="1" a="1"/>
  <c r="B104" i="16" s="1"/>
  <c r="B103" i="16" a="1"/>
  <c r="B103" i="16" s="1"/>
  <c r="A103" i="16" a="1"/>
  <c r="A103" i="16" s="1"/>
  <c r="A102" i="16" a="1"/>
  <c r="A102" i="16" s="1"/>
  <c r="B102" i="16" s="1" a="1"/>
  <c r="B102" i="16" s="1"/>
  <c r="A101" i="16" a="1"/>
  <c r="A101" i="16" s="1"/>
  <c r="B101" i="16" s="1" a="1"/>
  <c r="B101" i="16" s="1"/>
  <c r="A100" i="16" a="1"/>
  <c r="A100" i="16" s="1"/>
  <c r="B100" i="16" s="1" a="1"/>
  <c r="B100" i="16" s="1"/>
  <c r="B99" i="16" a="1"/>
  <c r="B99" i="16" s="1"/>
  <c r="A99" i="16" a="1"/>
  <c r="A99" i="16" s="1"/>
  <c r="A98" i="16" a="1"/>
  <c r="A98" i="16" s="1"/>
  <c r="B98" i="16" s="1" a="1"/>
  <c r="B98" i="16" s="1"/>
  <c r="A97" i="16" a="1"/>
  <c r="A97" i="16" s="1"/>
  <c r="B97" i="16" s="1" a="1"/>
  <c r="B97" i="16" s="1"/>
  <c r="A96" i="16" a="1"/>
  <c r="A96" i="16" s="1"/>
  <c r="B96" i="16" s="1" a="1"/>
  <c r="B96" i="16" s="1"/>
  <c r="B95" i="16" a="1"/>
  <c r="B95" i="16" s="1"/>
  <c r="A95" i="16" a="1"/>
  <c r="A95" i="16" s="1"/>
  <c r="A94" i="16" a="1"/>
  <c r="A94" i="16" s="1"/>
  <c r="B94" i="16" s="1" a="1"/>
  <c r="B94" i="16" s="1"/>
  <c r="A93" i="16" a="1"/>
  <c r="A93" i="16" s="1"/>
  <c r="B93" i="16" s="1" a="1"/>
  <c r="B93" i="16" s="1"/>
  <c r="A92" i="16" a="1"/>
  <c r="A92" i="16" s="1"/>
  <c r="B92" i="16" s="1" a="1"/>
  <c r="B92" i="16" s="1"/>
  <c r="B91" i="16" a="1"/>
  <c r="B91" i="16" s="1"/>
  <c r="A91" i="16" a="1"/>
  <c r="A91" i="16" s="1"/>
  <c r="A90" i="16" a="1"/>
  <c r="A90" i="16" s="1"/>
  <c r="B90" i="16" s="1" a="1"/>
  <c r="B90" i="16" s="1"/>
  <c r="A89" i="16" a="1"/>
  <c r="A89" i="16" s="1"/>
  <c r="B89" i="16" s="1" a="1"/>
  <c r="B89" i="16" s="1"/>
  <c r="A88" i="16" a="1"/>
  <c r="A88" i="16" s="1"/>
  <c r="B88" i="16" s="1" a="1"/>
  <c r="B88" i="16" s="1"/>
  <c r="B87" i="16" a="1"/>
  <c r="B87" i="16" s="1"/>
  <c r="A87" i="16" a="1"/>
  <c r="A87" i="16" s="1"/>
  <c r="A86" i="16" a="1"/>
  <c r="A86" i="16" s="1"/>
  <c r="B86" i="16" s="1" a="1"/>
  <c r="B86" i="16" s="1"/>
  <c r="A85" i="16" a="1"/>
  <c r="A85" i="16" s="1"/>
  <c r="B85" i="16" s="1" a="1"/>
  <c r="B85" i="16" s="1"/>
  <c r="A84" i="16" a="1"/>
  <c r="A84" i="16" s="1"/>
  <c r="B84" i="16" s="1" a="1"/>
  <c r="B84" i="16" s="1"/>
  <c r="B83" i="16" a="1"/>
  <c r="B83" i="16" s="1"/>
  <c r="A83" i="16" a="1"/>
  <c r="A83" i="16" s="1"/>
  <c r="A82" i="16" a="1"/>
  <c r="A82" i="16" s="1"/>
  <c r="B82" i="16" s="1" a="1"/>
  <c r="B82" i="16" s="1"/>
  <c r="A81" i="16" a="1"/>
  <c r="A81" i="16" s="1"/>
  <c r="B81" i="16" s="1" a="1"/>
  <c r="B81" i="16" s="1"/>
  <c r="A80" i="16" a="1"/>
  <c r="A80" i="16" s="1"/>
  <c r="B80" i="16" s="1" a="1"/>
  <c r="B80" i="16" s="1"/>
  <c r="B79" i="16" a="1"/>
  <c r="B79" i="16" s="1"/>
  <c r="A79" i="16" a="1"/>
  <c r="A79" i="16" s="1"/>
  <c r="A78" i="16" a="1"/>
  <c r="A78" i="16" s="1"/>
  <c r="B78" i="16" s="1" a="1"/>
  <c r="B78" i="16" s="1"/>
  <c r="A77" i="16" a="1"/>
  <c r="A77" i="16" s="1"/>
  <c r="B77" i="16" s="1" a="1"/>
  <c r="B77" i="16" s="1"/>
  <c r="A76" i="16" a="1"/>
  <c r="A76" i="16" s="1"/>
  <c r="B76" i="16" s="1" a="1"/>
  <c r="B76" i="16" s="1"/>
  <c r="B75" i="16" a="1"/>
  <c r="B75" i="16" s="1"/>
  <c r="A75" i="16" a="1"/>
  <c r="A75" i="16" s="1"/>
  <c r="A74" i="16" a="1"/>
  <c r="A74" i="16" s="1"/>
  <c r="B74" i="16" s="1" a="1"/>
  <c r="B74" i="16" s="1"/>
  <c r="A73" i="16" a="1"/>
  <c r="A73" i="16" s="1"/>
  <c r="B73" i="16" s="1" a="1"/>
  <c r="B73" i="16" s="1"/>
  <c r="A72" i="16" a="1"/>
  <c r="A72" i="16" s="1"/>
  <c r="B72" i="16" s="1" a="1"/>
  <c r="B72" i="16" s="1"/>
  <c r="B71" i="16" a="1"/>
  <c r="B71" i="16" s="1"/>
  <c r="A71" i="16" a="1"/>
  <c r="A71" i="16" s="1"/>
  <c r="A70" i="16" a="1"/>
  <c r="A70" i="16" s="1"/>
  <c r="B70" i="16" s="1" a="1"/>
  <c r="B70" i="16" s="1"/>
  <c r="A69" i="16" a="1"/>
  <c r="A69" i="16" s="1"/>
  <c r="B69" i="16" s="1" a="1"/>
  <c r="B69" i="16" s="1"/>
  <c r="A68" i="16" a="1"/>
  <c r="A68" i="16" s="1"/>
  <c r="B68" i="16" s="1" a="1"/>
  <c r="B68" i="16" s="1"/>
  <c r="B67" i="16" a="1"/>
  <c r="B67" i="16" s="1"/>
  <c r="A67" i="16" a="1"/>
  <c r="A67" i="16" s="1"/>
  <c r="A66" i="16" a="1"/>
  <c r="A66" i="16" s="1"/>
  <c r="B66" i="16" s="1" a="1"/>
  <c r="B66" i="16" s="1"/>
  <c r="A65" i="16" a="1"/>
  <c r="A65" i="16" s="1"/>
  <c r="B65" i="16" s="1" a="1"/>
  <c r="B65" i="16" s="1"/>
  <c r="A64" i="16" a="1"/>
  <c r="A64" i="16" s="1"/>
  <c r="B64" i="16" s="1" a="1"/>
  <c r="B64" i="16" s="1"/>
  <c r="B63" i="16" a="1"/>
  <c r="B63" i="16" s="1"/>
  <c r="A63" i="16" a="1"/>
  <c r="A63" i="16" s="1"/>
  <c r="A62" i="16" a="1"/>
  <c r="A62" i="16" s="1"/>
  <c r="B62" i="16" s="1" a="1"/>
  <c r="B62" i="16" s="1"/>
  <c r="A61" i="16" a="1"/>
  <c r="A61" i="16" s="1"/>
  <c r="B61" i="16" s="1" a="1"/>
  <c r="B61" i="16" s="1"/>
  <c r="A60" i="16" a="1"/>
  <c r="A60" i="16" s="1"/>
  <c r="B60" i="16" s="1" a="1"/>
  <c r="B60" i="16" s="1"/>
  <c r="B59" i="16" a="1"/>
  <c r="B59" i="16" s="1"/>
  <c r="A59" i="16" a="1"/>
  <c r="A59" i="16" s="1"/>
  <c r="A58" i="16" a="1"/>
  <c r="A58" i="16" s="1"/>
  <c r="B58" i="16" s="1" a="1"/>
  <c r="B58" i="16" s="1"/>
  <c r="A57" i="16" a="1"/>
  <c r="A57" i="16" s="1"/>
  <c r="B57" i="16" s="1" a="1"/>
  <c r="B57" i="16" s="1"/>
  <c r="A56" i="16" a="1"/>
  <c r="A56" i="16" s="1"/>
  <c r="B56" i="16" s="1" a="1"/>
  <c r="B56" i="16" s="1"/>
  <c r="B55" i="16" a="1"/>
  <c r="B55" i="16" s="1"/>
  <c r="A55" i="16" a="1"/>
  <c r="A55" i="16" s="1"/>
  <c r="A54" i="16" a="1"/>
  <c r="A54" i="16" s="1"/>
  <c r="B54" i="16" s="1" a="1"/>
  <c r="B54" i="16" s="1"/>
  <c r="A53" i="16" a="1"/>
  <c r="A53" i="16" s="1"/>
  <c r="B53" i="16" s="1" a="1"/>
  <c r="B53" i="16" s="1"/>
  <c r="A52" i="16" a="1"/>
  <c r="A52" i="16" s="1"/>
  <c r="B52" i="16" s="1" a="1"/>
  <c r="B52" i="16" s="1"/>
  <c r="B51" i="16" a="1"/>
  <c r="B51" i="16" s="1"/>
  <c r="A51" i="16" a="1"/>
  <c r="A51" i="16" s="1"/>
  <c r="A50" i="16" a="1"/>
  <c r="A50" i="16" s="1"/>
  <c r="B50" i="16" s="1" a="1"/>
  <c r="B50" i="16" s="1"/>
  <c r="A49" i="16" a="1"/>
  <c r="A49" i="16" s="1"/>
  <c r="B49" i="16" s="1" a="1"/>
  <c r="B49" i="16" s="1"/>
  <c r="A48" i="16" a="1"/>
  <c r="A48" i="16" s="1"/>
  <c r="B48" i="16" s="1" a="1"/>
  <c r="B48" i="16" s="1"/>
  <c r="B47" i="16" a="1"/>
  <c r="B47" i="16" s="1"/>
  <c r="A47" i="16" a="1"/>
  <c r="A47" i="16" s="1"/>
  <c r="A46" i="16" a="1"/>
  <c r="A46" i="16" s="1"/>
  <c r="B46" i="16" s="1" a="1"/>
  <c r="B46" i="16" s="1"/>
  <c r="A45" i="16" a="1"/>
  <c r="A45" i="16" s="1"/>
  <c r="B45" i="16" s="1" a="1"/>
  <c r="B45" i="16" s="1"/>
  <c r="A44" i="16" a="1"/>
  <c r="A44" i="16" s="1"/>
  <c r="B44" i="16" s="1" a="1"/>
  <c r="B44" i="16" s="1"/>
  <c r="B43" i="16" a="1"/>
  <c r="B43" i="16" s="1"/>
  <c r="A43" i="16" a="1"/>
  <c r="A43" i="16" s="1"/>
  <c r="A42" i="16" a="1"/>
  <c r="A42" i="16" s="1"/>
  <c r="B42" i="16" s="1" a="1"/>
  <c r="B42" i="16" s="1"/>
  <c r="A41" i="16" a="1"/>
  <c r="A41" i="16" s="1"/>
  <c r="B41" i="16" s="1" a="1"/>
  <c r="B41" i="16" s="1"/>
  <c r="A40" i="16" a="1"/>
  <c r="A40" i="16" s="1"/>
  <c r="B40" i="16" s="1" a="1"/>
  <c r="B40" i="16" s="1"/>
  <c r="B39" i="16" a="1"/>
  <c r="B39" i="16" s="1"/>
  <c r="A39" i="16" a="1"/>
  <c r="A39" i="16" s="1"/>
  <c r="A38" i="16" a="1"/>
  <c r="A38" i="16" s="1"/>
  <c r="B38" i="16" s="1" a="1"/>
  <c r="B38" i="16" s="1"/>
  <c r="A37" i="16" a="1"/>
  <c r="A37" i="16" s="1"/>
  <c r="B37" i="16" s="1" a="1"/>
  <c r="B37" i="16" s="1"/>
  <c r="A36" i="16" a="1"/>
  <c r="A36" i="16" s="1"/>
  <c r="B36" i="16" s="1" a="1"/>
  <c r="B36" i="16" s="1"/>
  <c r="B35" i="16" a="1"/>
  <c r="B35" i="16" s="1"/>
  <c r="A35" i="16" a="1"/>
  <c r="A35" i="16" s="1"/>
  <c r="A34" i="16" a="1"/>
  <c r="A34" i="16" s="1"/>
  <c r="B34" i="16" s="1" a="1"/>
  <c r="B34" i="16" s="1"/>
  <c r="A33" i="16" a="1"/>
  <c r="A33" i="16" s="1"/>
  <c r="B33" i="16" s="1" a="1"/>
  <c r="B33" i="16" s="1"/>
  <c r="A32" i="16" a="1"/>
  <c r="A32" i="16" s="1"/>
  <c r="B32" i="16" s="1" a="1"/>
  <c r="B32" i="16" s="1"/>
  <c r="B31" i="16" a="1"/>
  <c r="B31" i="16" s="1"/>
  <c r="A31" i="16" a="1"/>
  <c r="A31" i="16" s="1"/>
  <c r="A30" i="16" a="1"/>
  <c r="A30" i="16" s="1"/>
  <c r="B30" i="16" s="1" a="1"/>
  <c r="B30" i="16" s="1"/>
  <c r="A29" i="16" a="1"/>
  <c r="A29" i="16" s="1"/>
  <c r="B29" i="16" s="1" a="1"/>
  <c r="B29" i="16" s="1"/>
  <c r="A28" i="16" a="1"/>
  <c r="A28" i="16" s="1"/>
  <c r="B28" i="16" s="1" a="1"/>
  <c r="B28" i="16" s="1"/>
  <c r="B27" i="16" a="1"/>
  <c r="B27" i="16" s="1"/>
  <c r="A27" i="16" a="1"/>
  <c r="A27" i="16" s="1"/>
  <c r="A26" i="16" a="1"/>
  <c r="A26" i="16" s="1"/>
  <c r="B26" i="16" s="1" a="1"/>
  <c r="B26" i="16" s="1"/>
  <c r="A25" i="16" a="1"/>
  <c r="A25" i="16" s="1"/>
  <c r="B25" i="16" s="1" a="1"/>
  <c r="B25" i="16" s="1"/>
  <c r="A24" i="16" a="1"/>
  <c r="A24" i="16" s="1"/>
  <c r="B24" i="16" s="1" a="1"/>
  <c r="B24" i="16" s="1"/>
  <c r="B23" i="16" a="1"/>
  <c r="B23" i="16" s="1"/>
  <c r="A23" i="16" a="1"/>
  <c r="A23" i="16" s="1"/>
  <c r="A22" i="16" a="1"/>
  <c r="A22" i="16" s="1"/>
  <c r="B22" i="16" s="1" a="1"/>
  <c r="B22" i="16" s="1"/>
  <c r="A21" i="16" a="1"/>
  <c r="A21" i="16" s="1"/>
  <c r="B21" i="16" s="1" a="1"/>
  <c r="B21" i="16" s="1"/>
  <c r="A20" i="16" a="1"/>
  <c r="A20" i="16" s="1"/>
  <c r="B20" i="16" s="1" a="1"/>
  <c r="B20" i="16" s="1"/>
  <c r="B19" i="16" a="1"/>
  <c r="B19" i="16" s="1"/>
  <c r="A19" i="16" a="1"/>
  <c r="A19" i="16" s="1"/>
  <c r="A18" i="16" a="1"/>
  <c r="A18" i="16" s="1"/>
  <c r="B18" i="16" s="1" a="1"/>
  <c r="B18" i="16" s="1"/>
  <c r="A17" i="16" a="1"/>
  <c r="A17" i="16" s="1"/>
  <c r="B17" i="16" s="1" a="1"/>
  <c r="B17" i="16" s="1"/>
  <c r="A16" i="16" a="1"/>
  <c r="A16" i="16" s="1"/>
  <c r="B16" i="16" s="1" a="1"/>
  <c r="B16" i="16" s="1"/>
  <c r="A15" i="16" a="1"/>
  <c r="A15" i="16" s="1"/>
  <c r="B15" i="16" s="1" a="1"/>
  <c r="B15" i="16" s="1"/>
  <c r="A14" i="16" a="1"/>
  <c r="A14" i="16" s="1"/>
  <c r="B14" i="16" s="1" a="1"/>
  <c r="B14" i="16" s="1"/>
  <c r="B11" i="16" a="1"/>
  <c r="B11" i="16" s="1"/>
  <c r="A11" i="16" a="1"/>
  <c r="A11" i="16" s="1"/>
  <c r="B3" i="16"/>
  <c r="B3" i="15"/>
  <c r="A11" i="13" a="1"/>
  <c r="A11" i="13"/>
  <c r="A12" i="13" a="1"/>
  <c r="A12" i="13" s="1"/>
  <c r="A13" i="13" a="1"/>
  <c r="A13" i="13"/>
  <c r="A14" i="13" a="1"/>
  <c r="A14" i="13" s="1"/>
  <c r="A15" i="13" a="1"/>
  <c r="A15" i="13"/>
  <c r="A16" i="13" a="1"/>
  <c r="A16" i="13" s="1"/>
  <c r="A17" i="13" a="1"/>
  <c r="A17" i="13"/>
  <c r="A18" i="13" a="1"/>
  <c r="A18" i="13" s="1"/>
  <c r="A19" i="13" a="1"/>
  <c r="A19" i="13"/>
  <c r="A20" i="13" a="1"/>
  <c r="A20" i="13" s="1"/>
  <c r="A21" i="13" a="1"/>
  <c r="A21" i="13"/>
  <c r="A22" i="13" a="1"/>
  <c r="A22" i="13" s="1"/>
  <c r="A23" i="13" a="1"/>
  <c r="A23" i="13"/>
  <c r="A24" i="13" a="1"/>
  <c r="A24" i="13" s="1"/>
  <c r="A25" i="13" a="1"/>
  <c r="A25" i="13"/>
  <c r="A26" i="13" a="1"/>
  <c r="A26" i="13" s="1"/>
  <c r="A27" i="13" a="1"/>
  <c r="A27" i="13"/>
  <c r="A28" i="13" a="1"/>
  <c r="A28" i="13" s="1"/>
  <c r="A29" i="13" a="1"/>
  <c r="A29" i="13"/>
  <c r="A30" i="13" a="1"/>
  <c r="A30" i="13" s="1"/>
  <c r="A31" i="13" a="1"/>
  <c r="A31" i="13"/>
  <c r="A32" i="13" a="1"/>
  <c r="A32" i="13" s="1"/>
  <c r="A33" i="13" a="1"/>
  <c r="A33" i="13"/>
  <c r="A34" i="13" a="1"/>
  <c r="A34" i="13" s="1"/>
  <c r="A35" i="13" a="1"/>
  <c r="A35" i="13"/>
  <c r="A36" i="13" a="1"/>
  <c r="A36" i="13" s="1"/>
  <c r="A37" i="13" a="1"/>
  <c r="A37" i="13"/>
  <c r="A38" i="13" a="1"/>
  <c r="A38" i="13" s="1"/>
  <c r="A39" i="13" a="1"/>
  <c r="A39" i="13"/>
  <c r="A40" i="13" a="1"/>
  <c r="A40" i="13" s="1"/>
  <c r="A41" i="13" a="1"/>
  <c r="A41" i="13"/>
  <c r="A42" i="13" a="1"/>
  <c r="A42" i="13" s="1"/>
  <c r="A43" i="13" a="1"/>
  <c r="A43" i="13"/>
  <c r="A44" i="13" a="1"/>
  <c r="A44" i="13" s="1"/>
  <c r="A45" i="13" a="1"/>
  <c r="A45" i="13"/>
  <c r="A46" i="13" a="1"/>
  <c r="A46" i="13" s="1"/>
  <c r="A47" i="13" a="1"/>
  <c r="A47" i="13"/>
  <c r="A48" i="13" a="1"/>
  <c r="A48" i="13" s="1"/>
  <c r="A49" i="13" a="1"/>
  <c r="A49" i="13"/>
  <c r="A50" i="13" a="1"/>
  <c r="A50" i="13" s="1"/>
  <c r="A51" i="13" a="1"/>
  <c r="A51" i="13"/>
  <c r="A52" i="13" a="1"/>
  <c r="A52" i="13" s="1"/>
  <c r="A53" i="13" a="1"/>
  <c r="A53" i="13"/>
  <c r="A54" i="13" a="1"/>
  <c r="A54" i="13" s="1"/>
  <c r="A55" i="13" a="1"/>
  <c r="A55" i="13"/>
  <c r="A56" i="13" a="1"/>
  <c r="A56" i="13" s="1"/>
  <c r="A57" i="13" a="1"/>
  <c r="A57" i="13"/>
  <c r="A58" i="13" a="1"/>
  <c r="A58" i="13" s="1"/>
  <c r="A59" i="13" a="1"/>
  <c r="A59" i="13"/>
  <c r="A60" i="13" a="1"/>
  <c r="A60" i="13" s="1"/>
  <c r="A61" i="13" a="1"/>
  <c r="A61" i="13"/>
  <c r="A62" i="13" a="1"/>
  <c r="A62" i="13" s="1"/>
  <c r="A63" i="13" a="1"/>
  <c r="A63" i="13"/>
  <c r="A64" i="13" a="1"/>
  <c r="A64" i="13" s="1"/>
  <c r="A65" i="13" a="1"/>
  <c r="A65" i="13"/>
  <c r="A66" i="13" a="1"/>
  <c r="A66" i="13" s="1"/>
  <c r="A67" i="13" a="1"/>
  <c r="A67" i="13"/>
  <c r="A68" i="13" a="1"/>
  <c r="A68" i="13" s="1"/>
  <c r="A69" i="13" a="1"/>
  <c r="A69" i="13"/>
  <c r="A70" i="13" a="1"/>
  <c r="A70" i="13" s="1"/>
  <c r="A71" i="13" a="1"/>
  <c r="A71" i="13"/>
  <c r="A72" i="13" a="1"/>
  <c r="A72" i="13" s="1"/>
  <c r="A73" i="13" a="1"/>
  <c r="A73" i="13"/>
  <c r="A74" i="13" a="1"/>
  <c r="A74" i="13" s="1"/>
  <c r="A75" i="13" a="1"/>
  <c r="A75" i="13"/>
  <c r="A76" i="13" a="1"/>
  <c r="A76" i="13" s="1"/>
  <c r="A77" i="13" a="1"/>
  <c r="A77" i="13"/>
  <c r="A78" i="13" a="1"/>
  <c r="A78" i="13" s="1"/>
  <c r="A79" i="13" a="1"/>
  <c r="A79" i="13"/>
  <c r="A80" i="13" a="1"/>
  <c r="A80" i="13" s="1"/>
  <c r="A81" i="13" a="1"/>
  <c r="A81" i="13"/>
  <c r="A82" i="13" a="1"/>
  <c r="A82" i="13" s="1"/>
  <c r="A83" i="13" a="1"/>
  <c r="A83" i="13"/>
  <c r="A84" i="13" a="1"/>
  <c r="A84" i="13" s="1"/>
  <c r="A85" i="13" a="1"/>
  <c r="A85" i="13"/>
  <c r="A86" i="13" a="1"/>
  <c r="A86" i="13" s="1"/>
  <c r="A87" i="13" a="1"/>
  <c r="A87" i="13"/>
  <c r="A88" i="13" a="1"/>
  <c r="A88" i="13" s="1"/>
  <c r="A89" i="13" a="1"/>
  <c r="A89" i="13"/>
  <c r="A90" i="13" a="1"/>
  <c r="A90" i="13" s="1"/>
  <c r="A91" i="13" a="1"/>
  <c r="A91" i="13"/>
  <c r="A92" i="13" a="1"/>
  <c r="A92" i="13" s="1"/>
  <c r="A93" i="13" a="1"/>
  <c r="A93" i="13"/>
  <c r="A94" i="13" a="1"/>
  <c r="A94" i="13" s="1"/>
  <c r="B94" i="13" s="1" a="1"/>
  <c r="B94" i="13" s="1"/>
  <c r="A95" i="13" a="1"/>
  <c r="A95" i="13"/>
  <c r="A96" i="13" a="1"/>
  <c r="A96" i="13" s="1"/>
  <c r="A97" i="13" a="1"/>
  <c r="A97" i="13"/>
  <c r="B97" i="13" s="1" a="1"/>
  <c r="A98" i="13" a="1"/>
  <c r="A98" i="13" s="1"/>
  <c r="A99" i="13" a="1"/>
  <c r="A99" i="13"/>
  <c r="A100" i="13" a="1"/>
  <c r="A100" i="13" s="1"/>
  <c r="A101" i="13" a="1"/>
  <c r="A101" i="13"/>
  <c r="A102" i="13" a="1"/>
  <c r="A102" i="13" s="1"/>
  <c r="B102" i="13" s="1" a="1"/>
  <c r="B102" i="13" s="1"/>
  <c r="A103" i="13" a="1"/>
  <c r="A103" i="13"/>
  <c r="A104" i="13" a="1"/>
  <c r="A104" i="13" s="1"/>
  <c r="A105" i="13" a="1"/>
  <c r="A105" i="13"/>
  <c r="B105" i="13" s="1" a="1"/>
  <c r="A106" i="13" a="1"/>
  <c r="A106" i="13" s="1"/>
  <c r="A107" i="13" a="1"/>
  <c r="A107" i="13"/>
  <c r="A108" i="13" a="1"/>
  <c r="A108" i="13" s="1"/>
  <c r="A109" i="13" a="1"/>
  <c r="A109" i="13"/>
  <c r="A110" i="13" a="1"/>
  <c r="A110" i="13" s="1"/>
  <c r="B110" i="13" s="1" a="1"/>
  <c r="B110" i="13" s="1"/>
  <c r="A111" i="13" a="1"/>
  <c r="A111" i="13"/>
  <c r="A112" i="13" a="1"/>
  <c r="A112" i="13" s="1"/>
  <c r="A113" i="13" a="1"/>
  <c r="A113" i="13"/>
  <c r="B113" i="13" s="1" a="1"/>
  <c r="A114" i="13" a="1"/>
  <c r="A114" i="13" s="1"/>
  <c r="A115" i="13" a="1"/>
  <c r="A115" i="13"/>
  <c r="A116" i="13" a="1"/>
  <c r="A116" i="13" s="1"/>
  <c r="A117" i="13" a="1"/>
  <c r="A117" i="13"/>
  <c r="A118" i="13" a="1"/>
  <c r="A118" i="13" s="1"/>
  <c r="B118" i="13" s="1" a="1"/>
  <c r="B118" i="13" s="1"/>
  <c r="A119" i="13" a="1"/>
  <c r="A119" i="13"/>
  <c r="A120" i="13" a="1"/>
  <c r="A120" i="13" s="1"/>
  <c r="A121" i="13" a="1"/>
  <c r="A121" i="13" s="1"/>
  <c r="B121" i="13" s="1" a="1"/>
  <c r="B121" i="13" s="1"/>
  <c r="A122" i="13" a="1"/>
  <c r="A122" i="13" s="1"/>
  <c r="A123" i="13" a="1"/>
  <c r="A123" i="13"/>
  <c r="A124" i="13" a="1"/>
  <c r="A124" i="13" s="1"/>
  <c r="A125" i="13" a="1"/>
  <c r="A125" i="13" s="1"/>
  <c r="B125" i="13" s="1" a="1"/>
  <c r="B125" i="13" s="1"/>
  <c r="A126" i="13" a="1"/>
  <c r="A126" i="13" s="1"/>
  <c r="B126" i="13" s="1" a="1"/>
  <c r="B126" i="13" s="1"/>
  <c r="A127" i="13" a="1"/>
  <c r="A127" i="13"/>
  <c r="A128" i="13" a="1"/>
  <c r="A128" i="13" s="1"/>
  <c r="A129" i="13" a="1"/>
  <c r="A129" i="13" s="1"/>
  <c r="B129" i="13" s="1" a="1"/>
  <c r="B129" i="13" s="1"/>
  <c r="A130" i="13" a="1"/>
  <c r="A130" i="13" s="1"/>
  <c r="A131" i="13" a="1"/>
  <c r="A131" i="13"/>
  <c r="A132" i="13" a="1"/>
  <c r="A132" i="13" s="1"/>
  <c r="A133" i="13" a="1"/>
  <c r="A133" i="13" s="1"/>
  <c r="B133" i="13" s="1" a="1"/>
  <c r="B133" i="13" s="1"/>
  <c r="A134" i="13" a="1"/>
  <c r="A134" i="13" s="1"/>
  <c r="B134" i="13" s="1" a="1"/>
  <c r="B134" i="13" s="1"/>
  <c r="A135" i="13" a="1"/>
  <c r="A135" i="13"/>
  <c r="A136" i="13" a="1"/>
  <c r="A136" i="13" s="1"/>
  <c r="A137" i="13" a="1"/>
  <c r="A137" i="13" s="1"/>
  <c r="B137" i="13" s="1" a="1"/>
  <c r="B137" i="13" s="1"/>
  <c r="A138" i="13" a="1"/>
  <c r="A138" i="13" s="1"/>
  <c r="B138" i="13" s="1" a="1"/>
  <c r="B138" i="13" s="1"/>
  <c r="A139" i="13" a="1"/>
  <c r="A139" i="13"/>
  <c r="A140" i="13" a="1"/>
  <c r="A140" i="13" s="1"/>
  <c r="B140" i="13" s="1" a="1"/>
  <c r="B140" i="13" s="1"/>
  <c r="A11" i="10" a="1"/>
  <c r="A11" i="10" s="1"/>
  <c r="B11" i="10" s="1" a="1"/>
  <c r="B11" i="10" s="1"/>
  <c r="A12" i="10" a="1"/>
  <c r="A12" i="10" s="1"/>
  <c r="A13" i="10" a="1"/>
  <c r="A13" i="10" s="1"/>
  <c r="B13" i="10" s="1" a="1"/>
  <c r="B13" i="10" s="1"/>
  <c r="A14" i="10" a="1"/>
  <c r="A14" i="10" s="1"/>
  <c r="A15" i="10" a="1"/>
  <c r="A15" i="10" s="1"/>
  <c r="B15" i="10" s="1" a="1"/>
  <c r="B15" i="10" s="1"/>
  <c r="A16" i="10" a="1"/>
  <c r="A16" i="10" s="1"/>
  <c r="A17" i="10" a="1"/>
  <c r="A17" i="10" s="1"/>
  <c r="B17" i="10" s="1" a="1"/>
  <c r="B17" i="10" s="1"/>
  <c r="A18" i="10" a="1"/>
  <c r="A18" i="10" s="1"/>
  <c r="A19" i="10" a="1"/>
  <c r="A19" i="10" s="1"/>
  <c r="B19" i="10" s="1" a="1"/>
  <c r="B19" i="10" s="1"/>
  <c r="A20" i="10" a="1"/>
  <c r="A20" i="10" s="1"/>
  <c r="B20" i="10" s="1" a="1"/>
  <c r="B20" i="10" s="1"/>
  <c r="A21" i="10" a="1"/>
  <c r="A21" i="10" s="1"/>
  <c r="A22" i="10" a="1"/>
  <c r="A22" i="10" s="1"/>
  <c r="B22" i="10" s="1" a="1"/>
  <c r="B22" i="10" s="1"/>
  <c r="A23" i="10" a="1"/>
  <c r="A23" i="10" s="1"/>
  <c r="A24" i="10" a="1"/>
  <c r="A24" i="10" s="1"/>
  <c r="B24" i="10" s="1" a="1"/>
  <c r="B24" i="10" s="1"/>
  <c r="A25" i="10" a="1"/>
  <c r="A25" i="10" s="1"/>
  <c r="A26" i="10" a="1"/>
  <c r="A26" i="10" s="1"/>
  <c r="A27" i="10" a="1"/>
  <c r="A27" i="10" s="1"/>
  <c r="B27" i="10" s="1" a="1"/>
  <c r="B27" i="10" s="1"/>
  <c r="A28" i="10" a="1"/>
  <c r="A28" i="10" s="1"/>
  <c r="A29" i="10" a="1"/>
  <c r="A29" i="10" s="1"/>
  <c r="B29" i="10" s="1" a="1"/>
  <c r="B29" i="10" s="1"/>
  <c r="A30" i="10" a="1"/>
  <c r="A30" i="10" s="1"/>
  <c r="A31" i="10" a="1"/>
  <c r="A31" i="10" s="1"/>
  <c r="B31" i="10" s="1" a="1"/>
  <c r="A32" i="10" a="1"/>
  <c r="A32" i="10" s="1"/>
  <c r="B32" i="10" s="1" a="1"/>
  <c r="B32" i="10" s="1"/>
  <c r="A33" i="10" a="1"/>
  <c r="A33" i="10" s="1"/>
  <c r="A34" i="10" a="1"/>
  <c r="A34" i="10" s="1"/>
  <c r="B34" i="10" s="1" a="1"/>
  <c r="B34" i="10" s="1"/>
  <c r="A35" i="10" a="1"/>
  <c r="A35" i="10" s="1"/>
  <c r="A36" i="10" a="1"/>
  <c r="A36" i="10" s="1"/>
  <c r="B36" i="10" s="1" a="1"/>
  <c r="B36" i="10" s="1"/>
  <c r="A37" i="10" a="1"/>
  <c r="A37" i="10" s="1"/>
  <c r="A38" i="10" a="1"/>
  <c r="A38" i="10" s="1"/>
  <c r="B38" i="10" s="1" a="1"/>
  <c r="B38" i="10" s="1"/>
  <c r="A39" i="10" a="1"/>
  <c r="A39" i="10" s="1"/>
  <c r="A40" i="10" a="1"/>
  <c r="A40" i="10" s="1"/>
  <c r="B40" i="10" s="1" a="1"/>
  <c r="B40" i="10" s="1"/>
  <c r="A41" i="10" a="1"/>
  <c r="A41" i="10" s="1"/>
  <c r="A42" i="10" a="1"/>
  <c r="A42" i="10" s="1"/>
  <c r="B42" i="10" s="1" a="1"/>
  <c r="B42" i="10" s="1"/>
  <c r="A43" i="10" a="1"/>
  <c r="A43" i="10" s="1"/>
  <c r="A44" i="10" a="1"/>
  <c r="A44" i="10" s="1"/>
  <c r="A45" i="10" a="1"/>
  <c r="A45" i="10" s="1"/>
  <c r="B45" i="10" s="1" a="1"/>
  <c r="B45" i="10" s="1"/>
  <c r="A46" i="10" a="1"/>
  <c r="A46" i="10" s="1"/>
  <c r="A47" i="10" a="1"/>
  <c r="A47" i="10" s="1"/>
  <c r="B47" i="10" s="1" a="1"/>
  <c r="B47" i="10" s="1"/>
  <c r="A48" i="10" a="1"/>
  <c r="A48" i="10" s="1"/>
  <c r="A49" i="10" a="1"/>
  <c r="A49" i="10" s="1"/>
  <c r="B49" i="10" s="1" a="1"/>
  <c r="B49" i="10" s="1"/>
  <c r="A50" i="10" a="1"/>
  <c r="A50" i="10" s="1"/>
  <c r="A51" i="10" a="1"/>
  <c r="A51" i="10" s="1"/>
  <c r="B51" i="10" s="1" a="1"/>
  <c r="A52" i="10" a="1"/>
  <c r="A52" i="10" s="1"/>
  <c r="B52" i="10" s="1" a="1"/>
  <c r="B52" i="10" s="1"/>
  <c r="A53" i="10" a="1"/>
  <c r="A53" i="10" s="1"/>
  <c r="A54" i="10" a="1"/>
  <c r="A54" i="10" s="1"/>
  <c r="B54" i="10" s="1" a="1"/>
  <c r="B54" i="10" s="1"/>
  <c r="A55" i="10" a="1"/>
  <c r="A55" i="10" s="1"/>
  <c r="A56" i="10" a="1"/>
  <c r="A56" i="10" s="1"/>
  <c r="B56" i="10" s="1" a="1"/>
  <c r="B56" i="10" s="1"/>
  <c r="A57" i="10" a="1"/>
  <c r="A57" i="10" s="1"/>
  <c r="A58" i="10" a="1"/>
  <c r="A58" i="10" s="1"/>
  <c r="A59" i="10" a="1"/>
  <c r="A59" i="10" s="1"/>
  <c r="B59" i="10" s="1" a="1"/>
  <c r="B59" i="10" s="1"/>
  <c r="A60" i="10" a="1"/>
  <c r="A60" i="10" s="1"/>
  <c r="A61" i="10" a="1"/>
  <c r="A61" i="10" s="1"/>
  <c r="B61" i="10" s="1" a="1"/>
  <c r="B61" i="10" s="1"/>
  <c r="A62" i="10" a="1"/>
  <c r="A62" i="10" s="1"/>
  <c r="A63" i="10" a="1"/>
  <c r="A63" i="10" s="1"/>
  <c r="B63" i="10" s="1" a="1"/>
  <c r="A64" i="10" a="1"/>
  <c r="A64" i="10" s="1"/>
  <c r="B64" i="10" s="1" a="1"/>
  <c r="B64" i="10" s="1"/>
  <c r="A65" i="10" a="1"/>
  <c r="A65" i="10" s="1"/>
  <c r="A66" i="10" a="1"/>
  <c r="A66" i="10" s="1"/>
  <c r="B66" i="10" s="1" a="1"/>
  <c r="B66" i="10" s="1"/>
  <c r="A67" i="10" a="1"/>
  <c r="A67" i="10" s="1"/>
  <c r="A68" i="10" a="1"/>
  <c r="A68" i="10" s="1"/>
  <c r="B68" i="10" s="1" a="1"/>
  <c r="B68" i="10" s="1"/>
  <c r="A69" i="10" a="1"/>
  <c r="A69" i="10" s="1"/>
  <c r="A70" i="10" a="1"/>
  <c r="A70" i="10" s="1"/>
  <c r="B70" i="10" s="1" a="1"/>
  <c r="B70" i="10" s="1"/>
  <c r="A71" i="10" a="1"/>
  <c r="A71" i="10" s="1"/>
  <c r="A72" i="10" a="1"/>
  <c r="A72" i="10" s="1"/>
  <c r="B72" i="10" s="1" a="1"/>
  <c r="B72" i="10" s="1"/>
  <c r="A73" i="10" a="1"/>
  <c r="A73" i="10" s="1"/>
  <c r="A74" i="10" a="1"/>
  <c r="A74" i="10" s="1"/>
  <c r="A75" i="10" a="1"/>
  <c r="A75" i="10" s="1"/>
  <c r="B75" i="10" s="1" a="1"/>
  <c r="B75" i="10" s="1"/>
  <c r="A76" i="10" a="1"/>
  <c r="A76" i="10" s="1"/>
  <c r="A77" i="10" a="1"/>
  <c r="A77" i="10" s="1"/>
  <c r="B77" i="10" s="1" a="1"/>
  <c r="B77" i="10" s="1"/>
  <c r="A78" i="10" a="1"/>
  <c r="A78" i="10" s="1"/>
  <c r="A79" i="10" a="1"/>
  <c r="A79" i="10" s="1"/>
  <c r="B79" i="10" s="1" a="1"/>
  <c r="A80" i="10" a="1"/>
  <c r="A80" i="10" s="1"/>
  <c r="B80" i="10" s="1" a="1"/>
  <c r="B80" i="10" s="1"/>
  <c r="A81" i="10" a="1"/>
  <c r="A81" i="10" s="1"/>
  <c r="A82" i="10" a="1"/>
  <c r="A82" i="10" s="1"/>
  <c r="B82" i="10" s="1" a="1"/>
  <c r="B82" i="10" s="1"/>
  <c r="A83" i="10" a="1"/>
  <c r="A83" i="10" s="1"/>
  <c r="A84" i="10" a="1"/>
  <c r="A84" i="10" s="1"/>
  <c r="A85" i="10" a="1"/>
  <c r="A85" i="10" s="1"/>
  <c r="B85" i="10" s="1" a="1"/>
  <c r="B85" i="10" s="1"/>
  <c r="A86" i="10" a="1"/>
  <c r="A86" i="10" s="1"/>
  <c r="A87" i="10" a="1"/>
  <c r="A87" i="10" s="1"/>
  <c r="B87" i="10" s="1" a="1"/>
  <c r="B87" i="10" s="1"/>
  <c r="A88" i="10" a="1"/>
  <c r="A88" i="10" s="1"/>
  <c r="A89" i="10" a="1"/>
  <c r="A89" i="10" s="1"/>
  <c r="B89" i="10" s="1" a="1"/>
  <c r="A90" i="10" a="1"/>
  <c r="A90" i="10" s="1"/>
  <c r="B90" i="10" s="1" a="1"/>
  <c r="B90" i="10" s="1"/>
  <c r="A91" i="10" a="1"/>
  <c r="A91" i="10" s="1"/>
  <c r="A92" i="10" a="1"/>
  <c r="A92" i="10" s="1"/>
  <c r="B92" i="10" s="1" a="1"/>
  <c r="B92" i="10" s="1"/>
  <c r="A93" i="10" a="1"/>
  <c r="A93" i="10" s="1"/>
  <c r="A94" i="10" a="1"/>
  <c r="A94" i="10" s="1"/>
  <c r="B94" i="10" s="1" a="1"/>
  <c r="B94" i="10" s="1"/>
  <c r="A95" i="10" a="1"/>
  <c r="A95" i="10" s="1"/>
  <c r="A96" i="10" a="1"/>
  <c r="A96" i="10" s="1"/>
  <c r="A97" i="10" a="1"/>
  <c r="A97" i="10" s="1"/>
  <c r="B97" i="10" s="1" a="1"/>
  <c r="B97" i="10" s="1"/>
  <c r="A98" i="10" a="1"/>
  <c r="A98" i="10" s="1"/>
  <c r="A99" i="10" a="1"/>
  <c r="A99" i="10" s="1"/>
  <c r="B99" i="10" s="1" a="1"/>
  <c r="B99" i="10" s="1"/>
  <c r="A100" i="10" a="1"/>
  <c r="A100" i="10" s="1"/>
  <c r="A101" i="10" a="1"/>
  <c r="A101" i="10" s="1"/>
  <c r="B101" i="10" s="1" a="1"/>
  <c r="B101" i="10" s="1"/>
  <c r="A102" i="10" a="1"/>
  <c r="A102" i="10" s="1"/>
  <c r="A103" i="10" a="1"/>
  <c r="A103" i="10" s="1"/>
  <c r="B103" i="10" s="1" a="1"/>
  <c r="B103" i="10" s="1"/>
  <c r="A104" i="10" a="1"/>
  <c r="A104" i="10" s="1"/>
  <c r="A105" i="10" a="1"/>
  <c r="A105" i="10" s="1"/>
  <c r="B105" i="10" s="1" a="1"/>
  <c r="B105" i="10" s="1"/>
  <c r="A106" i="10" a="1"/>
  <c r="A106" i="10" s="1"/>
  <c r="A107" i="10" a="1"/>
  <c r="A107" i="10" s="1"/>
  <c r="B107" i="10" s="1" a="1"/>
  <c r="A108" i="10" a="1"/>
  <c r="A108" i="10" s="1"/>
  <c r="A109" i="10" a="1"/>
  <c r="A109" i="10" s="1"/>
  <c r="A110" i="10" a="1"/>
  <c r="A110" i="10" s="1"/>
  <c r="A111" i="10" a="1"/>
  <c r="A111" i="10" s="1"/>
  <c r="A112" i="10" a="1"/>
  <c r="A112" i="10" s="1"/>
  <c r="A113" i="10" a="1"/>
  <c r="A113" i="10" s="1"/>
  <c r="A114" i="10" a="1"/>
  <c r="A114" i="10" s="1"/>
  <c r="A115" i="10" a="1"/>
  <c r="A115" i="10" s="1"/>
  <c r="A116" i="10" a="1"/>
  <c r="A116" i="10" s="1"/>
  <c r="A117" i="10" a="1"/>
  <c r="A117" i="10" s="1"/>
  <c r="A118" i="10" a="1"/>
  <c r="A118" i="10" s="1"/>
  <c r="A119" i="10" a="1"/>
  <c r="A119" i="10" s="1"/>
  <c r="B119" i="10" s="1" a="1"/>
  <c r="B119" i="10" s="1"/>
  <c r="A120" i="10" a="1"/>
  <c r="A120" i="10" s="1"/>
  <c r="B120" i="10" s="1" a="1"/>
  <c r="B120" i="10" s="1"/>
  <c r="A121" i="10" a="1"/>
  <c r="A121" i="10" s="1"/>
  <c r="A122" i="10" a="1"/>
  <c r="A122" i="10" s="1"/>
  <c r="B122" i="10" s="1" a="1"/>
  <c r="B122" i="10" s="1"/>
  <c r="B12" i="10" a="1"/>
  <c r="B12" i="10" s="1"/>
  <c r="B14" i="10" a="1"/>
  <c r="B14" i="10" s="1"/>
  <c r="B16" i="10" a="1"/>
  <c r="B16" i="10" s="1"/>
  <c r="B18" i="10" a="1"/>
  <c r="B18" i="10" s="1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B1004" i="13"/>
  <c r="B1004" i="13" a="1"/>
  <c r="B1003" i="13" a="1"/>
  <c r="B1003" i="13" s="1"/>
  <c r="B1002" i="13"/>
  <c r="B1002" i="13" a="1"/>
  <c r="B1001" i="13" a="1"/>
  <c r="B1001" i="13" s="1"/>
  <c r="B1000" i="13" a="1"/>
  <c r="B1000" i="13" s="1"/>
  <c r="B999" i="13" a="1"/>
  <c r="B999" i="13" s="1"/>
  <c r="B998" i="13" a="1"/>
  <c r="B998" i="13" s="1"/>
  <c r="B997" i="13" a="1"/>
  <c r="B997" i="13" s="1"/>
  <c r="B996" i="13"/>
  <c r="B996" i="13" a="1"/>
  <c r="B995" i="13" a="1"/>
  <c r="B995" i="13" s="1"/>
  <c r="B994" i="13"/>
  <c r="B994" i="13" a="1"/>
  <c r="B993" i="13" a="1"/>
  <c r="B993" i="13" s="1"/>
  <c r="B992" i="13" a="1"/>
  <c r="B992" i="13" s="1"/>
  <c r="B991" i="13" a="1"/>
  <c r="B991" i="13" s="1"/>
  <c r="B990" i="13" a="1"/>
  <c r="B990" i="13" s="1"/>
  <c r="B989" i="13" a="1"/>
  <c r="B989" i="13" s="1"/>
  <c r="B988" i="13"/>
  <c r="B988" i="13" a="1"/>
  <c r="B987" i="13" a="1"/>
  <c r="B987" i="13" s="1"/>
  <c r="B986" i="13"/>
  <c r="B986" i="13" a="1"/>
  <c r="B985" i="13" a="1"/>
  <c r="B985" i="13" s="1"/>
  <c r="B984" i="13" a="1"/>
  <c r="B984" i="13" s="1"/>
  <c r="B983" i="13" a="1"/>
  <c r="B983" i="13" s="1"/>
  <c r="B982" i="13" a="1"/>
  <c r="B982" i="13" s="1"/>
  <c r="B981" i="13" a="1"/>
  <c r="B981" i="13" s="1"/>
  <c r="B980" i="13"/>
  <c r="B980" i="13" a="1"/>
  <c r="B979" i="13" a="1"/>
  <c r="B979" i="13" s="1"/>
  <c r="B978" i="13"/>
  <c r="B978" i="13" a="1"/>
  <c r="B977" i="13" a="1"/>
  <c r="B977" i="13" s="1"/>
  <c r="B976" i="13" a="1"/>
  <c r="B976" i="13" s="1"/>
  <c r="B975" i="13" a="1"/>
  <c r="B975" i="13" s="1"/>
  <c r="B974" i="13" a="1"/>
  <c r="B974" i="13" s="1"/>
  <c r="B973" i="13" a="1"/>
  <c r="B973" i="13" s="1"/>
  <c r="B972" i="13" a="1"/>
  <c r="B972" i="13" s="1"/>
  <c r="B971" i="13" a="1"/>
  <c r="B971" i="13" s="1"/>
  <c r="B970" i="13"/>
  <c r="B970" i="13" a="1"/>
  <c r="B969" i="13" a="1"/>
  <c r="B969" i="13" s="1"/>
  <c r="B968" i="13" a="1"/>
  <c r="B968" i="13" s="1"/>
  <c r="B967" i="13" a="1"/>
  <c r="B967" i="13" s="1"/>
  <c r="B966" i="13"/>
  <c r="B966" i="13" a="1"/>
  <c r="B965" i="13" a="1"/>
  <c r="B965" i="13" s="1"/>
  <c r="B964" i="13" a="1"/>
  <c r="B964" i="13" s="1"/>
  <c r="B963" i="13" a="1"/>
  <c r="B963" i="13" s="1"/>
  <c r="B962" i="13"/>
  <c r="B962" i="13" a="1"/>
  <c r="B961" i="13" a="1"/>
  <c r="B961" i="13" s="1"/>
  <c r="B960" i="13" a="1"/>
  <c r="B960" i="13" s="1"/>
  <c r="B959" i="13" a="1"/>
  <c r="B959" i="13" s="1"/>
  <c r="B958" i="13"/>
  <c r="B958" i="13" a="1"/>
  <c r="B957" i="13" a="1"/>
  <c r="B957" i="13" s="1"/>
  <c r="B956" i="13"/>
  <c r="B956" i="13" a="1"/>
  <c r="B955" i="13" a="1"/>
  <c r="B955" i="13" s="1"/>
  <c r="B954" i="13"/>
  <c r="B954" i="13" a="1"/>
  <c r="B953" i="13" a="1"/>
  <c r="B953" i="13" s="1"/>
  <c r="B952" i="13" a="1"/>
  <c r="B952" i="13" s="1"/>
  <c r="B951" i="13" a="1"/>
  <c r="B951" i="13" s="1"/>
  <c r="B950" i="13"/>
  <c r="B950" i="13" a="1"/>
  <c r="B949" i="13" a="1"/>
  <c r="B949" i="13" s="1"/>
  <c r="B948" i="13"/>
  <c r="B948" i="13" a="1"/>
  <c r="B947" i="13" a="1"/>
  <c r="B947" i="13" s="1"/>
  <c r="B946" i="13"/>
  <c r="B946" i="13" a="1"/>
  <c r="B945" i="13" a="1"/>
  <c r="B945" i="13" s="1"/>
  <c r="B944" i="13" a="1"/>
  <c r="B944" i="13" s="1"/>
  <c r="B943" i="13" a="1"/>
  <c r="B943" i="13" s="1"/>
  <c r="B942" i="13"/>
  <c r="B942" i="13" a="1"/>
  <c r="B941" i="13" a="1"/>
  <c r="B941" i="13" s="1"/>
  <c r="B940" i="13"/>
  <c r="B940" i="13" a="1"/>
  <c r="B939" i="13" a="1"/>
  <c r="B939" i="13" s="1"/>
  <c r="B938" i="13"/>
  <c r="B938" i="13" a="1"/>
  <c r="B937" i="13" a="1"/>
  <c r="B937" i="13" s="1"/>
  <c r="B936" i="13" a="1"/>
  <c r="B936" i="13" s="1"/>
  <c r="B935" i="13" a="1"/>
  <c r="B935" i="13" s="1"/>
  <c r="B934" i="13"/>
  <c r="B934" i="13" a="1"/>
  <c r="B933" i="13" a="1"/>
  <c r="B933" i="13" s="1"/>
  <c r="B932" i="13"/>
  <c r="B932" i="13" a="1"/>
  <c r="B931" i="13" a="1"/>
  <c r="B931" i="13" s="1"/>
  <c r="B930" i="13"/>
  <c r="B930" i="13" a="1"/>
  <c r="B929" i="13" a="1"/>
  <c r="B929" i="13" s="1"/>
  <c r="B928" i="13" a="1"/>
  <c r="B928" i="13" s="1"/>
  <c r="B927" i="13" a="1"/>
  <c r="B927" i="13" s="1"/>
  <c r="B926" i="13"/>
  <c r="B926" i="13" a="1"/>
  <c r="B925" i="13" a="1"/>
  <c r="B925" i="13" s="1"/>
  <c r="B924" i="13"/>
  <c r="B924" i="13" a="1"/>
  <c r="B923" i="13" a="1"/>
  <c r="B923" i="13" s="1"/>
  <c r="B922" i="13"/>
  <c r="B922" i="13" a="1"/>
  <c r="B921" i="13" a="1"/>
  <c r="B921" i="13" s="1"/>
  <c r="B920" i="13" a="1"/>
  <c r="B920" i="13" s="1"/>
  <c r="B919" i="13" a="1"/>
  <c r="B919" i="13" s="1"/>
  <c r="B918" i="13"/>
  <c r="B918" i="13" a="1"/>
  <c r="B917" i="13" a="1"/>
  <c r="B917" i="13" s="1"/>
  <c r="B916" i="13"/>
  <c r="B916" i="13" a="1"/>
  <c r="B915" i="13" a="1"/>
  <c r="B915" i="13" s="1"/>
  <c r="B914" i="13"/>
  <c r="B914" i="13" a="1"/>
  <c r="B913" i="13" a="1"/>
  <c r="B913" i="13" s="1"/>
  <c r="B912" i="13" a="1"/>
  <c r="B912" i="13" s="1"/>
  <c r="B911" i="13" a="1"/>
  <c r="B911" i="13" s="1"/>
  <c r="B910" i="13"/>
  <c r="B910" i="13" a="1"/>
  <c r="B909" i="13" a="1"/>
  <c r="B909" i="13" s="1"/>
  <c r="B908" i="13"/>
  <c r="B908" i="13" a="1"/>
  <c r="B907" i="13" a="1"/>
  <c r="B907" i="13" s="1"/>
  <c r="B906" i="13"/>
  <c r="B906" i="13" a="1"/>
  <c r="B905" i="13" a="1"/>
  <c r="B905" i="13" s="1"/>
  <c r="B904" i="13" a="1"/>
  <c r="B904" i="13" s="1"/>
  <c r="B903" i="13" a="1"/>
  <c r="B903" i="13" s="1"/>
  <c r="B902" i="13"/>
  <c r="B902" i="13" a="1"/>
  <c r="B901" i="13" a="1"/>
  <c r="B901" i="13" s="1"/>
  <c r="B900" i="13"/>
  <c r="B900" i="13" a="1"/>
  <c r="B899" i="13" a="1"/>
  <c r="B899" i="13" s="1"/>
  <c r="B898" i="13"/>
  <c r="B898" i="13" a="1"/>
  <c r="B897" i="13" a="1"/>
  <c r="B897" i="13" s="1"/>
  <c r="B896" i="13" a="1"/>
  <c r="B896" i="13" s="1"/>
  <c r="B895" i="13" a="1"/>
  <c r="B895" i="13" s="1"/>
  <c r="B894" i="13"/>
  <c r="B894" i="13" a="1"/>
  <c r="B893" i="13" a="1"/>
  <c r="B893" i="13" s="1"/>
  <c r="B892" i="13"/>
  <c r="B892" i="13" a="1"/>
  <c r="B891" i="13" a="1"/>
  <c r="B891" i="13" s="1"/>
  <c r="B890" i="13"/>
  <c r="B890" i="13" a="1"/>
  <c r="B889" i="13" a="1"/>
  <c r="B889" i="13" s="1"/>
  <c r="B888" i="13" a="1"/>
  <c r="B888" i="13" s="1"/>
  <c r="B887" i="13" a="1"/>
  <c r="B887" i="13" s="1"/>
  <c r="B886" i="13"/>
  <c r="B886" i="13" a="1"/>
  <c r="B885" i="13" a="1"/>
  <c r="B885" i="13" s="1"/>
  <c r="B884" i="13"/>
  <c r="B884" i="13" a="1"/>
  <c r="B883" i="13" a="1"/>
  <c r="B883" i="13" s="1"/>
  <c r="B882" i="13"/>
  <c r="B882" i="13" a="1"/>
  <c r="B881" i="13" a="1"/>
  <c r="B881" i="13" s="1"/>
  <c r="B880" i="13" a="1"/>
  <c r="B880" i="13" s="1"/>
  <c r="B879" i="13" a="1"/>
  <c r="B879" i="13" s="1"/>
  <c r="B878" i="13"/>
  <c r="B878" i="13" a="1"/>
  <c r="B877" i="13" a="1"/>
  <c r="B877" i="13" s="1"/>
  <c r="B876" i="13"/>
  <c r="B876" i="13" a="1"/>
  <c r="B875" i="13" a="1"/>
  <c r="B875" i="13" s="1"/>
  <c r="B874" i="13"/>
  <c r="B874" i="13" a="1"/>
  <c r="B873" i="13" a="1"/>
  <c r="B873" i="13" s="1"/>
  <c r="B872" i="13" a="1"/>
  <c r="B872" i="13" s="1"/>
  <c r="B871" i="13" a="1"/>
  <c r="B871" i="13" s="1"/>
  <c r="B870" i="13"/>
  <c r="B870" i="13" a="1"/>
  <c r="B869" i="13" a="1"/>
  <c r="B869" i="13" s="1"/>
  <c r="B868" i="13"/>
  <c r="B868" i="13" a="1"/>
  <c r="B867" i="13" a="1"/>
  <c r="B867" i="13" s="1"/>
  <c r="B866" i="13"/>
  <c r="B866" i="13" a="1"/>
  <c r="B865" i="13" a="1"/>
  <c r="B865" i="13" s="1"/>
  <c r="B864" i="13" a="1"/>
  <c r="B864" i="13" s="1"/>
  <c r="B863" i="13" a="1"/>
  <c r="B863" i="13" s="1"/>
  <c r="B862" i="13" a="1"/>
  <c r="B862" i="13" s="1"/>
  <c r="B861" i="13" a="1"/>
  <c r="B861" i="13" s="1"/>
  <c r="B860" i="13"/>
  <c r="B860" i="13" a="1"/>
  <c r="B859" i="13" a="1"/>
  <c r="B859" i="13" s="1"/>
  <c r="B858" i="13"/>
  <c r="B858" i="13" a="1"/>
  <c r="B857" i="13" a="1"/>
  <c r="B857" i="13" s="1"/>
  <c r="B856" i="13" a="1"/>
  <c r="B856" i="13" s="1"/>
  <c r="B855" i="13" a="1"/>
  <c r="B855" i="13" s="1"/>
  <c r="B854" i="13" a="1"/>
  <c r="B854" i="13" s="1"/>
  <c r="B853" i="13" a="1"/>
  <c r="B853" i="13" s="1"/>
  <c r="B852" i="13"/>
  <c r="B852" i="13" a="1"/>
  <c r="B851" i="13" a="1"/>
  <c r="B851" i="13" s="1"/>
  <c r="B850" i="13"/>
  <c r="B850" i="13" a="1"/>
  <c r="B849" i="13" a="1"/>
  <c r="B849" i="13" s="1"/>
  <c r="B848" i="13" a="1"/>
  <c r="B848" i="13" s="1"/>
  <c r="B847" i="13" a="1"/>
  <c r="B847" i="13" s="1"/>
  <c r="B846" i="13" a="1"/>
  <c r="B846" i="13" s="1"/>
  <c r="B845" i="13" a="1"/>
  <c r="B845" i="13" s="1"/>
  <c r="B844" i="13" a="1"/>
  <c r="B844" i="13" s="1"/>
  <c r="B843" i="13" a="1"/>
  <c r="B843" i="13" s="1"/>
  <c r="B842" i="13"/>
  <c r="B842" i="13" a="1"/>
  <c r="B841" i="13" a="1"/>
  <c r="B841" i="13" s="1"/>
  <c r="B840" i="13" a="1"/>
  <c r="B840" i="13" s="1"/>
  <c r="B839" i="13" a="1"/>
  <c r="B839" i="13" s="1"/>
  <c r="B838" i="13" a="1"/>
  <c r="B838" i="13" s="1"/>
  <c r="B837" i="13" a="1"/>
  <c r="B837" i="13" s="1"/>
  <c r="B836" i="13"/>
  <c r="B836" i="13" a="1"/>
  <c r="B835" i="13" a="1"/>
  <c r="B835" i="13" s="1"/>
  <c r="B834" i="13"/>
  <c r="B834" i="13" a="1"/>
  <c r="B833" i="13" a="1"/>
  <c r="B833" i="13" s="1"/>
  <c r="B832" i="13"/>
  <c r="B832" i="13" a="1"/>
  <c r="B831" i="13" a="1"/>
  <c r="B831" i="13" s="1"/>
  <c r="B830" i="13"/>
  <c r="B830" i="13" a="1"/>
  <c r="B829" i="13" a="1"/>
  <c r="B829" i="13" s="1"/>
  <c r="B828" i="13"/>
  <c r="B828" i="13" a="1"/>
  <c r="B827" i="13" a="1"/>
  <c r="B827" i="13" s="1"/>
  <c r="B826" i="13"/>
  <c r="B826" i="13" a="1"/>
  <c r="B825" i="13" a="1"/>
  <c r="B825" i="13" s="1"/>
  <c r="B824" i="13"/>
  <c r="B824" i="13" a="1"/>
  <c r="B823" i="13" a="1"/>
  <c r="B823" i="13" s="1"/>
  <c r="B822" i="13"/>
  <c r="B822" i="13" a="1"/>
  <c r="B821" i="13" a="1"/>
  <c r="B821" i="13" s="1"/>
  <c r="B820" i="13"/>
  <c r="B820" i="13" a="1"/>
  <c r="B819" i="13" a="1"/>
  <c r="B819" i="13" s="1"/>
  <c r="B818" i="13"/>
  <c r="B818" i="13" a="1"/>
  <c r="B817" i="13" a="1"/>
  <c r="B817" i="13" s="1"/>
  <c r="B816" i="13"/>
  <c r="B816" i="13" a="1"/>
  <c r="B815" i="13" a="1"/>
  <c r="B815" i="13" s="1"/>
  <c r="B814" i="13"/>
  <c r="B814" i="13" a="1"/>
  <c r="B813" i="13" a="1"/>
  <c r="B813" i="13" s="1"/>
  <c r="B812" i="13"/>
  <c r="B812" i="13" a="1"/>
  <c r="B811" i="13" a="1"/>
  <c r="B811" i="13" s="1"/>
  <c r="B810" i="13"/>
  <c r="B810" i="13" a="1"/>
  <c r="B809" i="13" a="1"/>
  <c r="B809" i="13" s="1"/>
  <c r="B808" i="13"/>
  <c r="B808" i="13" a="1"/>
  <c r="B807" i="13" a="1"/>
  <c r="B807" i="13" s="1"/>
  <c r="B806" i="13"/>
  <c r="B806" i="13" a="1"/>
  <c r="B805" i="13" a="1"/>
  <c r="B805" i="13" s="1"/>
  <c r="B804" i="13"/>
  <c r="B804" i="13" a="1"/>
  <c r="B803" i="13" a="1"/>
  <c r="B803" i="13" s="1"/>
  <c r="B802" i="13"/>
  <c r="B802" i="13" a="1"/>
  <c r="B801" i="13" a="1"/>
  <c r="B801" i="13" s="1"/>
  <c r="B800" i="13"/>
  <c r="B800" i="13" a="1"/>
  <c r="B799" i="13" a="1"/>
  <c r="B799" i="13" s="1"/>
  <c r="B798" i="13"/>
  <c r="B798" i="13" a="1"/>
  <c r="B797" i="13" a="1"/>
  <c r="B797" i="13" s="1"/>
  <c r="B796" i="13"/>
  <c r="B796" i="13" a="1"/>
  <c r="B795" i="13" a="1"/>
  <c r="B795" i="13" s="1"/>
  <c r="B794" i="13"/>
  <c r="B794" i="13" a="1"/>
  <c r="B793" i="13" a="1"/>
  <c r="B793" i="13" s="1"/>
  <c r="B792" i="13"/>
  <c r="B792" i="13" a="1"/>
  <c r="B791" i="13" a="1"/>
  <c r="B791" i="13" s="1"/>
  <c r="B790" i="13"/>
  <c r="B790" i="13" a="1"/>
  <c r="B789" i="13" a="1"/>
  <c r="B789" i="13" s="1"/>
  <c r="B788" i="13"/>
  <c r="B788" i="13" a="1"/>
  <c r="B787" i="13" a="1"/>
  <c r="B787" i="13" s="1"/>
  <c r="B786" i="13"/>
  <c r="B786" i="13" a="1"/>
  <c r="B785" i="13" a="1"/>
  <c r="B785" i="13" s="1"/>
  <c r="B784" i="13" a="1"/>
  <c r="B784" i="13" s="1"/>
  <c r="B783" i="13" a="1"/>
  <c r="B783" i="13" s="1"/>
  <c r="B782" i="13" a="1"/>
  <c r="B782" i="13" s="1"/>
  <c r="B781" i="13" a="1"/>
  <c r="B781" i="13" s="1"/>
  <c r="B780" i="13"/>
  <c r="B780" i="13" a="1"/>
  <c r="B779" i="13" a="1"/>
  <c r="B779" i="13" s="1"/>
  <c r="B778" i="13"/>
  <c r="B778" i="13" a="1"/>
  <c r="B777" i="13" a="1"/>
  <c r="B777" i="13" s="1"/>
  <c r="B776" i="13" a="1"/>
  <c r="B776" i="13" s="1"/>
  <c r="B775" i="13" a="1"/>
  <c r="B775" i="13" s="1"/>
  <c r="B774" i="13" a="1"/>
  <c r="B774" i="13" s="1"/>
  <c r="B773" i="13" a="1"/>
  <c r="B773" i="13" s="1"/>
  <c r="B772" i="13"/>
  <c r="B772" i="13" a="1"/>
  <c r="B771" i="13" a="1"/>
  <c r="B771" i="13" s="1"/>
  <c r="B770" i="13"/>
  <c r="B770" i="13" a="1"/>
  <c r="B769" i="13" a="1"/>
  <c r="B769" i="13" s="1"/>
  <c r="B768" i="13"/>
  <c r="B768" i="13" a="1"/>
  <c r="B767" i="13" a="1"/>
  <c r="B767" i="13" s="1"/>
  <c r="B766" i="13" a="1"/>
  <c r="B766" i="13" s="1"/>
  <c r="B765" i="13" a="1"/>
  <c r="B765" i="13" s="1"/>
  <c r="B764" i="13"/>
  <c r="B764" i="13" a="1"/>
  <c r="B763" i="13" a="1"/>
  <c r="B763" i="13" s="1"/>
  <c r="B762" i="13"/>
  <c r="B762" i="13" a="1"/>
  <c r="B761" i="13" a="1"/>
  <c r="B761" i="13" s="1"/>
  <c r="B760" i="13"/>
  <c r="B760" i="13" a="1"/>
  <c r="B759" i="13" a="1"/>
  <c r="B759" i="13" s="1"/>
  <c r="B758" i="13" a="1"/>
  <c r="B758" i="13" s="1"/>
  <c r="B757" i="13" a="1"/>
  <c r="B757" i="13" s="1"/>
  <c r="B756" i="13"/>
  <c r="B756" i="13" a="1"/>
  <c r="B755" i="13" a="1"/>
  <c r="B755" i="13" s="1"/>
  <c r="B754" i="13"/>
  <c r="B754" i="13" a="1"/>
  <c r="B753" i="13" a="1"/>
  <c r="B753" i="13" s="1"/>
  <c r="B752" i="13" a="1"/>
  <c r="B752" i="13" s="1"/>
  <c r="B751" i="13" a="1"/>
  <c r="B751" i="13" s="1"/>
  <c r="B750" i="13" a="1"/>
  <c r="B750" i="13" s="1"/>
  <c r="B749" i="13" a="1"/>
  <c r="B749" i="13" s="1"/>
  <c r="B748" i="13"/>
  <c r="B748" i="13" a="1"/>
  <c r="B747" i="13" a="1"/>
  <c r="B747" i="13" s="1"/>
  <c r="B746" i="13"/>
  <c r="B746" i="13" a="1"/>
  <c r="B745" i="13" a="1"/>
  <c r="B745" i="13" s="1"/>
  <c r="B744" i="13" a="1"/>
  <c r="B744" i="13" s="1"/>
  <c r="B743" i="13" a="1"/>
  <c r="B743" i="13" s="1"/>
  <c r="B742" i="13" a="1"/>
  <c r="B742" i="13" s="1"/>
  <c r="B741" i="13" a="1"/>
  <c r="B741" i="13" s="1"/>
  <c r="B740" i="13"/>
  <c r="B740" i="13" a="1"/>
  <c r="B739" i="13" a="1"/>
  <c r="B739" i="13" s="1"/>
  <c r="B738" i="13"/>
  <c r="B738" i="13" a="1"/>
  <c r="B737" i="13" a="1"/>
  <c r="B737" i="13" s="1"/>
  <c r="B736" i="13"/>
  <c r="B736" i="13" a="1"/>
  <c r="B735" i="13" a="1"/>
  <c r="B735" i="13" s="1"/>
  <c r="B734" i="13" a="1"/>
  <c r="B734" i="13" s="1"/>
  <c r="B733" i="13" a="1"/>
  <c r="B733" i="13" s="1"/>
  <c r="B732" i="13"/>
  <c r="B732" i="13" a="1"/>
  <c r="B731" i="13" a="1"/>
  <c r="B731" i="13" s="1"/>
  <c r="B730" i="13"/>
  <c r="B730" i="13" a="1"/>
  <c r="B729" i="13" a="1"/>
  <c r="B729" i="13" s="1"/>
  <c r="B728" i="13"/>
  <c r="B728" i="13" a="1"/>
  <c r="B727" i="13" a="1"/>
  <c r="B727" i="13" s="1"/>
  <c r="B726" i="13" a="1"/>
  <c r="B726" i="13" s="1"/>
  <c r="B725" i="13" a="1"/>
  <c r="B725" i="13" s="1"/>
  <c r="B724" i="13"/>
  <c r="B724" i="13" a="1"/>
  <c r="B723" i="13" a="1"/>
  <c r="B723" i="13" s="1"/>
  <c r="B722" i="13"/>
  <c r="B722" i="13" a="1"/>
  <c r="B721" i="13" a="1"/>
  <c r="B721" i="13" s="1"/>
  <c r="B720" i="13" a="1"/>
  <c r="B720" i="13" s="1"/>
  <c r="B719" i="13" a="1"/>
  <c r="B719" i="13" s="1"/>
  <c r="B718" i="13" a="1"/>
  <c r="B718" i="13" s="1"/>
  <c r="B717" i="13" a="1"/>
  <c r="B717" i="13" s="1"/>
  <c r="B716" i="13"/>
  <c r="B716" i="13" a="1"/>
  <c r="B715" i="13" a="1"/>
  <c r="B715" i="13" s="1"/>
  <c r="B714" i="13"/>
  <c r="B714" i="13" a="1"/>
  <c r="B713" i="13" a="1"/>
  <c r="B713" i="13" s="1"/>
  <c r="B712" i="13" a="1"/>
  <c r="B712" i="13" s="1"/>
  <c r="B711" i="13" a="1"/>
  <c r="B711" i="13" s="1"/>
  <c r="B710" i="13" a="1"/>
  <c r="B710" i="13" s="1"/>
  <c r="B709" i="13" a="1"/>
  <c r="B709" i="13" s="1"/>
  <c r="B708" i="13" a="1"/>
  <c r="B708" i="13" s="1"/>
  <c r="B707" i="13" a="1"/>
  <c r="B707" i="13" s="1"/>
  <c r="B706" i="13"/>
  <c r="B706" i="13" a="1"/>
  <c r="B705" i="13" a="1"/>
  <c r="B705" i="13" s="1"/>
  <c r="B704" i="13"/>
  <c r="B704" i="13" a="1"/>
  <c r="B703" i="13" a="1"/>
  <c r="B703" i="13" s="1"/>
  <c r="B702" i="13" a="1"/>
  <c r="B702" i="13" s="1"/>
  <c r="B701" i="13" a="1"/>
  <c r="B701" i="13" s="1"/>
  <c r="B700" i="13" a="1"/>
  <c r="B700" i="13" s="1"/>
  <c r="B699" i="13" a="1"/>
  <c r="B699" i="13" s="1"/>
  <c r="B698" i="13"/>
  <c r="B698" i="13" a="1"/>
  <c r="B697" i="13" a="1"/>
  <c r="B697" i="13" s="1"/>
  <c r="B696" i="13" a="1"/>
  <c r="B696" i="13" s="1"/>
  <c r="B695" i="13" a="1"/>
  <c r="B695" i="13" s="1"/>
  <c r="B694" i="13" a="1"/>
  <c r="B694" i="13" s="1"/>
  <c r="B693" i="13" a="1"/>
  <c r="B693" i="13" s="1"/>
  <c r="B692" i="13" a="1"/>
  <c r="B692" i="13" s="1"/>
  <c r="B691" i="13" a="1"/>
  <c r="B691" i="13" s="1"/>
  <c r="B690" i="13"/>
  <c r="B690" i="13" a="1"/>
  <c r="B689" i="13" a="1"/>
  <c r="B689" i="13" s="1"/>
  <c r="B688" i="13"/>
  <c r="B688" i="13" a="1"/>
  <c r="B687" i="13" a="1"/>
  <c r="B687" i="13" s="1"/>
  <c r="B686" i="13" a="1"/>
  <c r="B686" i="13" s="1"/>
  <c r="B685" i="13" a="1"/>
  <c r="B685" i="13" s="1"/>
  <c r="B684" i="13" a="1"/>
  <c r="B684" i="13" s="1"/>
  <c r="B683" i="13" a="1"/>
  <c r="B683" i="13" s="1"/>
  <c r="B682" i="13"/>
  <c r="B682" i="13" a="1"/>
  <c r="B681" i="13" a="1"/>
  <c r="B681" i="13" s="1"/>
  <c r="B680" i="13" a="1"/>
  <c r="B680" i="13" s="1"/>
  <c r="B679" i="13" a="1"/>
  <c r="B679" i="13" s="1"/>
  <c r="B678" i="13"/>
  <c r="B678" i="13" a="1"/>
  <c r="B677" i="13" a="1"/>
  <c r="B677" i="13" s="1"/>
  <c r="B676" i="13"/>
  <c r="B676" i="13" a="1"/>
  <c r="B675" i="13" a="1"/>
  <c r="B675" i="13" s="1"/>
  <c r="B674" i="13" a="1"/>
  <c r="B674" i="13" s="1"/>
  <c r="B673" i="13" a="1"/>
  <c r="B673" i="13" s="1"/>
  <c r="B672" i="13" a="1"/>
  <c r="B672" i="13" s="1"/>
  <c r="B671" i="13" a="1"/>
  <c r="B671" i="13" s="1"/>
  <c r="B670" i="13"/>
  <c r="B670" i="13" a="1"/>
  <c r="B669" i="13" a="1"/>
  <c r="B669" i="13" s="1"/>
  <c r="B668" i="13"/>
  <c r="B668" i="13" a="1"/>
  <c r="B667" i="13" a="1"/>
  <c r="B667" i="13" s="1"/>
  <c r="B666" i="13"/>
  <c r="B666" i="13" a="1"/>
  <c r="B665" i="13" a="1"/>
  <c r="B665" i="13" s="1"/>
  <c r="B664" i="13" a="1"/>
  <c r="B664" i="13" s="1"/>
  <c r="B663" i="13" a="1"/>
  <c r="B663" i="13" s="1"/>
  <c r="B662" i="13"/>
  <c r="B662" i="13" a="1"/>
  <c r="B661" i="13" a="1"/>
  <c r="B661" i="13" s="1"/>
  <c r="B660" i="13"/>
  <c r="B660" i="13" a="1"/>
  <c r="B659" i="13" a="1"/>
  <c r="B659" i="13" s="1"/>
  <c r="B658" i="13"/>
  <c r="B658" i="13" a="1"/>
  <c r="B657" i="13" a="1"/>
  <c r="B657" i="13" s="1"/>
  <c r="B656" i="13" a="1"/>
  <c r="B656" i="13" s="1"/>
  <c r="B655" i="13" a="1"/>
  <c r="B655" i="13" s="1"/>
  <c r="B654" i="13"/>
  <c r="B654" i="13" a="1"/>
  <c r="B653" i="13" a="1"/>
  <c r="B653" i="13" s="1"/>
  <c r="B652" i="13"/>
  <c r="B652" i="13" a="1"/>
  <c r="B651" i="13" a="1"/>
  <c r="B651" i="13" s="1"/>
  <c r="B650" i="13" a="1"/>
  <c r="B650" i="13" s="1"/>
  <c r="B649" i="13" a="1"/>
  <c r="B649" i="13" s="1"/>
  <c r="B648" i="13" a="1"/>
  <c r="B648" i="13" s="1"/>
  <c r="B647" i="13" a="1"/>
  <c r="B647" i="13" s="1"/>
  <c r="B646" i="13"/>
  <c r="B646" i="13" a="1"/>
  <c r="B645" i="13" a="1"/>
  <c r="B645" i="13" s="1"/>
  <c r="B644" i="13"/>
  <c r="B644" i="13" a="1"/>
  <c r="B643" i="13" a="1"/>
  <c r="B643" i="13" s="1"/>
  <c r="B642" i="13" a="1"/>
  <c r="B642" i="13" s="1"/>
  <c r="B641" i="13" a="1"/>
  <c r="B641" i="13" s="1"/>
  <c r="B640" i="13" a="1"/>
  <c r="B640" i="13" s="1"/>
  <c r="B639" i="13" a="1"/>
  <c r="B639" i="13" s="1"/>
  <c r="B638" i="13"/>
  <c r="B638" i="13" a="1"/>
  <c r="B637" i="13" a="1"/>
  <c r="B637" i="13" s="1"/>
  <c r="B636" i="13"/>
  <c r="B636" i="13" a="1"/>
  <c r="B635" i="13" a="1"/>
  <c r="B635" i="13" s="1"/>
  <c r="B634" i="13"/>
  <c r="B634" i="13" a="1"/>
  <c r="B633" i="13" a="1"/>
  <c r="B633" i="13" s="1"/>
  <c r="B632" i="13" a="1"/>
  <c r="B632" i="13" s="1"/>
  <c r="B631" i="13" a="1"/>
  <c r="B631" i="13" s="1"/>
  <c r="B630" i="13"/>
  <c r="B630" i="13" a="1"/>
  <c r="B629" i="13" a="1"/>
  <c r="B629" i="13" s="1"/>
  <c r="B628" i="13"/>
  <c r="B628" i="13" a="1"/>
  <c r="B627" i="13" a="1"/>
  <c r="B627" i="13" s="1"/>
  <c r="B626" i="13"/>
  <c r="B626" i="13" a="1"/>
  <c r="B625" i="13" a="1"/>
  <c r="B625" i="13" s="1"/>
  <c r="B624" i="13" a="1"/>
  <c r="B624" i="13" s="1"/>
  <c r="B623" i="13" a="1"/>
  <c r="B623" i="13" s="1"/>
  <c r="B622" i="13"/>
  <c r="B622" i="13" a="1"/>
  <c r="B621" i="13" a="1"/>
  <c r="B621" i="13" s="1"/>
  <c r="B620" i="13"/>
  <c r="B620" i="13" a="1"/>
  <c r="B619" i="13" a="1"/>
  <c r="B619" i="13" s="1"/>
  <c r="B618" i="13" a="1"/>
  <c r="B618" i="13" s="1"/>
  <c r="B617" i="13" a="1"/>
  <c r="B617" i="13" s="1"/>
  <c r="B616" i="13" a="1"/>
  <c r="B616" i="13" s="1"/>
  <c r="B615" i="13" a="1"/>
  <c r="B615" i="13" s="1"/>
  <c r="B614" i="13"/>
  <c r="B614" i="13" a="1"/>
  <c r="B613" i="13" a="1"/>
  <c r="B613" i="13" s="1"/>
  <c r="B612" i="13"/>
  <c r="B612" i="13" a="1"/>
  <c r="B611" i="13" a="1"/>
  <c r="B611" i="13" s="1"/>
  <c r="B610" i="13" a="1"/>
  <c r="B610" i="13" s="1"/>
  <c r="B609" i="13" a="1"/>
  <c r="B609" i="13" s="1"/>
  <c r="B608" i="13" a="1"/>
  <c r="B608" i="13" s="1"/>
  <c r="B607" i="13" a="1"/>
  <c r="B607" i="13" s="1"/>
  <c r="B606" i="13"/>
  <c r="B606" i="13" a="1"/>
  <c r="B605" i="13" a="1"/>
  <c r="B605" i="13" s="1"/>
  <c r="B604" i="13"/>
  <c r="B604" i="13" a="1"/>
  <c r="B603" i="13" a="1"/>
  <c r="B603" i="13" s="1"/>
  <c r="B602" i="13"/>
  <c r="B602" i="13" a="1"/>
  <c r="B601" i="13" a="1"/>
  <c r="B601" i="13" s="1"/>
  <c r="B600" i="13" a="1"/>
  <c r="B600" i="13" s="1"/>
  <c r="B599" i="13" a="1"/>
  <c r="B599" i="13" s="1"/>
  <c r="B598" i="13"/>
  <c r="B598" i="13" a="1"/>
  <c r="B597" i="13" a="1"/>
  <c r="B597" i="13" s="1"/>
  <c r="B596" i="13"/>
  <c r="B596" i="13" a="1"/>
  <c r="B595" i="13" a="1"/>
  <c r="B595" i="13" s="1"/>
  <c r="B594" i="13"/>
  <c r="B594" i="13" a="1"/>
  <c r="B593" i="13" a="1"/>
  <c r="B593" i="13" s="1"/>
  <c r="B592" i="13" a="1"/>
  <c r="B592" i="13" s="1"/>
  <c r="B591" i="13" a="1"/>
  <c r="B591" i="13" s="1"/>
  <c r="B590" i="13"/>
  <c r="B590" i="13" a="1"/>
  <c r="B589" i="13" a="1"/>
  <c r="B589" i="13" s="1"/>
  <c r="B588" i="13"/>
  <c r="B588" i="13" a="1"/>
  <c r="B587" i="13" a="1"/>
  <c r="B587" i="13" s="1"/>
  <c r="B586" i="13" a="1"/>
  <c r="B586" i="13" s="1"/>
  <c r="B585" i="13" a="1"/>
  <c r="B585" i="13" s="1"/>
  <c r="B584" i="13" a="1"/>
  <c r="B584" i="13" s="1"/>
  <c r="B583" i="13" a="1"/>
  <c r="B583" i="13" s="1"/>
  <c r="B582" i="13"/>
  <c r="B582" i="13" a="1"/>
  <c r="B581" i="13" a="1"/>
  <c r="B581" i="13" s="1"/>
  <c r="B580" i="13"/>
  <c r="B580" i="13" a="1"/>
  <c r="B579" i="13" a="1"/>
  <c r="B579" i="13" s="1"/>
  <c r="B578" i="13" a="1"/>
  <c r="B578" i="13" s="1"/>
  <c r="B577" i="13" a="1"/>
  <c r="B577" i="13" s="1"/>
  <c r="B576" i="13" a="1"/>
  <c r="B576" i="13" s="1"/>
  <c r="B575" i="13" a="1"/>
  <c r="B575" i="13" s="1"/>
  <c r="B574" i="13"/>
  <c r="B574" i="13" a="1"/>
  <c r="B573" i="13" a="1"/>
  <c r="B573" i="13" s="1"/>
  <c r="B572" i="13"/>
  <c r="B572" i="13" a="1"/>
  <c r="B571" i="13" a="1"/>
  <c r="B571" i="13" s="1"/>
  <c r="B570" i="13"/>
  <c r="B570" i="13" a="1"/>
  <c r="B569" i="13" a="1"/>
  <c r="B569" i="13" s="1"/>
  <c r="B568" i="13" a="1"/>
  <c r="B568" i="13" s="1"/>
  <c r="B567" i="13" a="1"/>
  <c r="B567" i="13" s="1"/>
  <c r="B566" i="13"/>
  <c r="B566" i="13" a="1"/>
  <c r="B565" i="13" a="1"/>
  <c r="B565" i="13" s="1"/>
  <c r="B564" i="13"/>
  <c r="B564" i="13" a="1"/>
  <c r="B563" i="13" a="1"/>
  <c r="B563" i="13" s="1"/>
  <c r="B562" i="13"/>
  <c r="B562" i="13" a="1"/>
  <c r="B561" i="13" a="1"/>
  <c r="B561" i="13" s="1"/>
  <c r="B560" i="13" a="1"/>
  <c r="B560" i="13" s="1"/>
  <c r="B559" i="13" a="1"/>
  <c r="B559" i="13" s="1"/>
  <c r="B558" i="13"/>
  <c r="B558" i="13" a="1"/>
  <c r="B557" i="13" a="1"/>
  <c r="B557" i="13" s="1"/>
  <c r="B556" i="13"/>
  <c r="B556" i="13" a="1"/>
  <c r="B555" i="13" a="1"/>
  <c r="B555" i="13" s="1"/>
  <c r="B554" i="13" a="1"/>
  <c r="B554" i="13" s="1"/>
  <c r="B553" i="13" a="1"/>
  <c r="B553" i="13" s="1"/>
  <c r="B552" i="13" a="1"/>
  <c r="B552" i="13" s="1"/>
  <c r="B551" i="13" a="1"/>
  <c r="B551" i="13" s="1"/>
  <c r="B550" i="13"/>
  <c r="B550" i="13" a="1"/>
  <c r="B549" i="13" a="1"/>
  <c r="B549" i="13" s="1"/>
  <c r="B548" i="13"/>
  <c r="B548" i="13" a="1"/>
  <c r="B547" i="13" a="1"/>
  <c r="B547" i="13" s="1"/>
  <c r="B546" i="13" a="1"/>
  <c r="B546" i="13" s="1"/>
  <c r="B545" i="13" a="1"/>
  <c r="B545" i="13" s="1"/>
  <c r="B544" i="13" a="1"/>
  <c r="B544" i="13" s="1"/>
  <c r="B543" i="13" a="1"/>
  <c r="B543" i="13" s="1"/>
  <c r="B542" i="13"/>
  <c r="B542" i="13" a="1"/>
  <c r="B541" i="13" a="1"/>
  <c r="B541" i="13" s="1"/>
  <c r="B540" i="13"/>
  <c r="B540" i="13" a="1"/>
  <c r="B539" i="13" a="1"/>
  <c r="B539" i="13" s="1"/>
  <c r="B538" i="13"/>
  <c r="B538" i="13" a="1"/>
  <c r="B537" i="13" a="1"/>
  <c r="B537" i="13" s="1"/>
  <c r="B536" i="13" a="1"/>
  <c r="B536" i="13" s="1"/>
  <c r="B535" i="13" a="1"/>
  <c r="B535" i="13" s="1"/>
  <c r="B534" i="13"/>
  <c r="B534" i="13" a="1"/>
  <c r="B533" i="13" a="1"/>
  <c r="B533" i="13" s="1"/>
  <c r="B532" i="13"/>
  <c r="B532" i="13" a="1"/>
  <c r="B531" i="13" a="1"/>
  <c r="B531" i="13" s="1"/>
  <c r="B530" i="13"/>
  <c r="B530" i="13" a="1"/>
  <c r="B529" i="13" a="1"/>
  <c r="B529" i="13" s="1"/>
  <c r="B528" i="13" a="1"/>
  <c r="B528" i="13" s="1"/>
  <c r="B527" i="13" a="1"/>
  <c r="B527" i="13" s="1"/>
  <c r="B526" i="13"/>
  <c r="B526" i="13" a="1"/>
  <c r="B525" i="13" a="1"/>
  <c r="B525" i="13" s="1"/>
  <c r="B524" i="13"/>
  <c r="B524" i="13" a="1"/>
  <c r="B523" i="13" a="1"/>
  <c r="B523" i="13" s="1"/>
  <c r="B522" i="13" a="1"/>
  <c r="B522" i="13" s="1"/>
  <c r="B521" i="13" a="1"/>
  <c r="B521" i="13" s="1"/>
  <c r="B520" i="13" a="1"/>
  <c r="B520" i="13" s="1"/>
  <c r="B519" i="13" a="1"/>
  <c r="B519" i="13" s="1"/>
  <c r="B518" i="13"/>
  <c r="B518" i="13" a="1"/>
  <c r="B517" i="13" a="1"/>
  <c r="B517" i="13" s="1"/>
  <c r="B516" i="13"/>
  <c r="B516" i="13" a="1"/>
  <c r="B515" i="13" a="1"/>
  <c r="B515" i="13" s="1"/>
  <c r="B514" i="13" a="1"/>
  <c r="B514" i="13" s="1"/>
  <c r="B513" i="13"/>
  <c r="B513" i="13" a="1"/>
  <c r="B512" i="13" a="1"/>
  <c r="B512" i="13" s="1"/>
  <c r="B511" i="13"/>
  <c r="B511" i="13" a="1"/>
  <c r="B510" i="13" a="1"/>
  <c r="B510" i="13" s="1"/>
  <c r="B509" i="13" a="1"/>
  <c r="B509" i="13" s="1"/>
  <c r="B508" i="13" a="1"/>
  <c r="B508" i="13" s="1"/>
  <c r="B507" i="13" a="1"/>
  <c r="B507" i="13" s="1"/>
  <c r="B506" i="13" a="1"/>
  <c r="B506" i="13" s="1"/>
  <c r="B505" i="13"/>
  <c r="B505" i="13" a="1"/>
  <c r="B504" i="13" a="1"/>
  <c r="B504" i="13" s="1"/>
  <c r="B503" i="13"/>
  <c r="B503" i="13" a="1"/>
  <c r="B502" i="13" a="1"/>
  <c r="B502" i="13" s="1"/>
  <c r="B501" i="13" a="1"/>
  <c r="B501" i="13" s="1"/>
  <c r="B500" i="13" a="1"/>
  <c r="B500" i="13" s="1"/>
  <c r="B499" i="13" a="1"/>
  <c r="B499" i="13" s="1"/>
  <c r="B498" i="13" a="1"/>
  <c r="B498" i="13" s="1"/>
  <c r="B497" i="13"/>
  <c r="B497" i="13" a="1"/>
  <c r="B496" i="13" a="1"/>
  <c r="B496" i="13" s="1"/>
  <c r="B495" i="13"/>
  <c r="B495" i="13" a="1"/>
  <c r="B494" i="13" a="1"/>
  <c r="B494" i="13" s="1"/>
  <c r="B493" i="13" a="1"/>
  <c r="B493" i="13" s="1"/>
  <c r="B492" i="13" a="1"/>
  <c r="B492" i="13" s="1"/>
  <c r="B491" i="13" a="1"/>
  <c r="B491" i="13" s="1"/>
  <c r="B490" i="13" a="1"/>
  <c r="B490" i="13" s="1"/>
  <c r="B489" i="13"/>
  <c r="B489" i="13" a="1"/>
  <c r="B488" i="13" a="1"/>
  <c r="B488" i="13" s="1"/>
  <c r="B487" i="13"/>
  <c r="B487" i="13" a="1"/>
  <c r="B486" i="13" a="1"/>
  <c r="B486" i="13" s="1"/>
  <c r="B485" i="13" a="1"/>
  <c r="B485" i="13" s="1"/>
  <c r="B484" i="13" a="1"/>
  <c r="B484" i="13" s="1"/>
  <c r="B483" i="13" a="1"/>
  <c r="B483" i="13" s="1"/>
  <c r="B482" i="13" a="1"/>
  <c r="B482" i="13" s="1"/>
  <c r="B481" i="13"/>
  <c r="B481" i="13" a="1"/>
  <c r="B480" i="13" a="1"/>
  <c r="B480" i="13" s="1"/>
  <c r="B479" i="13"/>
  <c r="B479" i="13" a="1"/>
  <c r="B478" i="13" a="1"/>
  <c r="B478" i="13" s="1"/>
  <c r="B477" i="13" a="1"/>
  <c r="B477" i="13" s="1"/>
  <c r="B476" i="13" a="1"/>
  <c r="B476" i="13" s="1"/>
  <c r="B475" i="13" a="1"/>
  <c r="B475" i="13" s="1"/>
  <c r="B474" i="13" a="1"/>
  <c r="B474" i="13" s="1"/>
  <c r="B473" i="13"/>
  <c r="B473" i="13" a="1"/>
  <c r="B472" i="13" a="1"/>
  <c r="B472" i="13" s="1"/>
  <c r="B471" i="13"/>
  <c r="B471" i="13" a="1"/>
  <c r="B470" i="13" a="1"/>
  <c r="B470" i="13" s="1"/>
  <c r="B469" i="13" a="1"/>
  <c r="B469" i="13" s="1"/>
  <c r="B468" i="13" a="1"/>
  <c r="B468" i="13" s="1"/>
  <c r="B467" i="13" a="1"/>
  <c r="B467" i="13" s="1"/>
  <c r="B466" i="13" a="1"/>
  <c r="B466" i="13" s="1"/>
  <c r="B465" i="13"/>
  <c r="B465" i="13" a="1"/>
  <c r="B464" i="13" a="1"/>
  <c r="B464" i="13" s="1"/>
  <c r="B463" i="13"/>
  <c r="B463" i="13" a="1"/>
  <c r="B462" i="13" a="1"/>
  <c r="B462" i="13" s="1"/>
  <c r="B461" i="13" a="1"/>
  <c r="B461" i="13" s="1"/>
  <c r="B460" i="13" a="1"/>
  <c r="B460" i="13" s="1"/>
  <c r="B459" i="13" a="1"/>
  <c r="B459" i="13" s="1"/>
  <c r="B458" i="13" a="1"/>
  <c r="B458" i="13" s="1"/>
  <c r="B457" i="13" a="1"/>
  <c r="B457" i="13" s="1"/>
  <c r="B456" i="13" a="1"/>
  <c r="B456" i="13" s="1"/>
  <c r="B455" i="13"/>
  <c r="B455" i="13" a="1"/>
  <c r="B454" i="13" a="1"/>
  <c r="B454" i="13" s="1"/>
  <c r="B453" i="13" a="1"/>
  <c r="B453" i="13" s="1"/>
  <c r="B452" i="13" a="1"/>
  <c r="B452" i="13" s="1"/>
  <c r="B451" i="13" a="1"/>
  <c r="B451" i="13" s="1"/>
  <c r="B450" i="13" a="1"/>
  <c r="B450" i="13" s="1"/>
  <c r="B449" i="13" a="1"/>
  <c r="B449" i="13" s="1"/>
  <c r="B448" i="13" a="1"/>
  <c r="B448" i="13" s="1"/>
  <c r="B447" i="13"/>
  <c r="B447" i="13" a="1"/>
  <c r="B446" i="13" a="1"/>
  <c r="B446" i="13" s="1"/>
  <c r="B445" i="13" a="1"/>
  <c r="B445" i="13" s="1"/>
  <c r="B444" i="13" a="1"/>
  <c r="B444" i="13" s="1"/>
  <c r="B443" i="13" a="1"/>
  <c r="B443" i="13" s="1"/>
  <c r="B442" i="13" a="1"/>
  <c r="B442" i="13" s="1"/>
  <c r="B441" i="13" a="1"/>
  <c r="B441" i="13" s="1"/>
  <c r="B440" i="13" a="1"/>
  <c r="B440" i="13" s="1"/>
  <c r="B439" i="13"/>
  <c r="B439" i="13" a="1"/>
  <c r="B438" i="13" a="1"/>
  <c r="B438" i="13" s="1"/>
  <c r="B437" i="13" a="1"/>
  <c r="B437" i="13" s="1"/>
  <c r="B436" i="13" a="1"/>
  <c r="B436" i="13" s="1"/>
  <c r="B435" i="13" a="1"/>
  <c r="B435" i="13" s="1"/>
  <c r="B434" i="13" a="1"/>
  <c r="B434" i="13" s="1"/>
  <c r="B433" i="13" a="1"/>
  <c r="B433" i="13" s="1"/>
  <c r="B432" i="13" a="1"/>
  <c r="B432" i="13" s="1"/>
  <c r="B431" i="13"/>
  <c r="B431" i="13" a="1"/>
  <c r="B430" i="13" a="1"/>
  <c r="B430" i="13" s="1"/>
  <c r="B429" i="13" a="1"/>
  <c r="B429" i="13" s="1"/>
  <c r="B428" i="13" a="1"/>
  <c r="B428" i="13" s="1"/>
  <c r="B427" i="13" a="1"/>
  <c r="B427" i="13" s="1"/>
  <c r="B426" i="13" a="1"/>
  <c r="B426" i="13" s="1"/>
  <c r="B425" i="13" a="1"/>
  <c r="B425" i="13" s="1"/>
  <c r="B424" i="13" a="1"/>
  <c r="B424" i="13" s="1"/>
  <c r="B423" i="13"/>
  <c r="B423" i="13" a="1"/>
  <c r="B422" i="13" a="1"/>
  <c r="B422" i="13" s="1"/>
  <c r="B421" i="13" a="1"/>
  <c r="B421" i="13" s="1"/>
  <c r="B420" i="13" a="1"/>
  <c r="B420" i="13" s="1"/>
  <c r="B419" i="13" a="1"/>
  <c r="B419" i="13" s="1"/>
  <c r="B418" i="13" a="1"/>
  <c r="B418" i="13" s="1"/>
  <c r="B417" i="13" a="1"/>
  <c r="B417" i="13" s="1"/>
  <c r="B416" i="13" a="1"/>
  <c r="B416" i="13" s="1"/>
  <c r="B415" i="13"/>
  <c r="B415" i="13" a="1"/>
  <c r="B414" i="13" a="1"/>
  <c r="B414" i="13" s="1"/>
  <c r="B413" i="13" a="1"/>
  <c r="B413" i="13" s="1"/>
  <c r="B412" i="13" a="1"/>
  <c r="B412" i="13" s="1"/>
  <c r="B411" i="13" a="1"/>
  <c r="B411" i="13" s="1"/>
  <c r="B410" i="13" a="1"/>
  <c r="B410" i="13" s="1"/>
  <c r="B409" i="13" a="1"/>
  <c r="B409" i="13" s="1"/>
  <c r="B408" i="13" a="1"/>
  <c r="B408" i="13" s="1"/>
  <c r="B407" i="13"/>
  <c r="B407" i="13" a="1"/>
  <c r="B406" i="13" a="1"/>
  <c r="B406" i="13" s="1"/>
  <c r="B405" i="13" a="1"/>
  <c r="B405" i="13" s="1"/>
  <c r="B404" i="13" a="1"/>
  <c r="B404" i="13" s="1"/>
  <c r="B403" i="13" a="1"/>
  <c r="B403" i="13" s="1"/>
  <c r="B402" i="13" a="1"/>
  <c r="B402" i="13" s="1"/>
  <c r="B401" i="13" a="1"/>
  <c r="B401" i="13" s="1"/>
  <c r="B400" i="13" a="1"/>
  <c r="B400" i="13" s="1"/>
  <c r="B399" i="13"/>
  <c r="B399" i="13" a="1"/>
  <c r="B398" i="13" a="1"/>
  <c r="B398" i="13" s="1"/>
  <c r="B397" i="13" a="1"/>
  <c r="B397" i="13" s="1"/>
  <c r="B396" i="13" a="1"/>
  <c r="B396" i="13" s="1"/>
  <c r="B395" i="13" a="1"/>
  <c r="B395" i="13" s="1"/>
  <c r="B394" i="13" a="1"/>
  <c r="B394" i="13" s="1"/>
  <c r="B393" i="13" a="1"/>
  <c r="B393" i="13" s="1"/>
  <c r="B392" i="13" a="1"/>
  <c r="B392" i="13" s="1"/>
  <c r="B391" i="13"/>
  <c r="B391" i="13" a="1"/>
  <c r="B390" i="13" a="1"/>
  <c r="B390" i="13" s="1"/>
  <c r="B389" i="13" a="1"/>
  <c r="B389" i="13" s="1"/>
  <c r="B388" i="13" a="1"/>
  <c r="B388" i="13" s="1"/>
  <c r="B387" i="13" a="1"/>
  <c r="B387" i="13" s="1"/>
  <c r="B386" i="13" a="1"/>
  <c r="B386" i="13" s="1"/>
  <c r="B385" i="13" a="1"/>
  <c r="B385" i="13" s="1"/>
  <c r="B384" i="13" a="1"/>
  <c r="B384" i="13" s="1"/>
  <c r="B383" i="13"/>
  <c r="B383" i="13" a="1"/>
  <c r="B382" i="13" a="1"/>
  <c r="B382" i="13" s="1"/>
  <c r="B381" i="13" a="1"/>
  <c r="B381" i="13" s="1"/>
  <c r="B380" i="13" a="1"/>
  <c r="B380" i="13" s="1"/>
  <c r="B379" i="13" a="1"/>
  <c r="B379" i="13" s="1"/>
  <c r="B378" i="13" a="1"/>
  <c r="B378" i="13" s="1"/>
  <c r="B377" i="13" a="1"/>
  <c r="B377" i="13" s="1"/>
  <c r="B376" i="13" a="1"/>
  <c r="B376" i="13" s="1"/>
  <c r="B375" i="13"/>
  <c r="B375" i="13" a="1"/>
  <c r="B374" i="13" a="1"/>
  <c r="B374" i="13" s="1"/>
  <c r="B373" i="13" a="1"/>
  <c r="B373" i="13" s="1"/>
  <c r="B372" i="13" a="1"/>
  <c r="B372" i="13" s="1"/>
  <c r="B371" i="13" a="1"/>
  <c r="B371" i="13" s="1"/>
  <c r="B370" i="13" a="1"/>
  <c r="B370" i="13" s="1"/>
  <c r="B369" i="13" a="1"/>
  <c r="B369" i="13" s="1"/>
  <c r="B368" i="13" a="1"/>
  <c r="B368" i="13" s="1"/>
  <c r="B367" i="13"/>
  <c r="B367" i="13" a="1"/>
  <c r="B366" i="13" a="1"/>
  <c r="B366" i="13" s="1"/>
  <c r="B365" i="13" a="1"/>
  <c r="B365" i="13" s="1"/>
  <c r="B364" i="13" a="1"/>
  <c r="B364" i="13" s="1"/>
  <c r="B363" i="13" a="1"/>
  <c r="B363" i="13" s="1"/>
  <c r="B362" i="13" a="1"/>
  <c r="B362" i="13" s="1"/>
  <c r="B361" i="13" a="1"/>
  <c r="B361" i="13" s="1"/>
  <c r="B360" i="13" a="1"/>
  <c r="B360" i="13" s="1"/>
  <c r="B359" i="13"/>
  <c r="B359" i="13" a="1"/>
  <c r="B358" i="13" a="1"/>
  <c r="B358" i="13" s="1"/>
  <c r="B357" i="13" a="1"/>
  <c r="B357" i="13" s="1"/>
  <c r="B356" i="13" a="1"/>
  <c r="B356" i="13" s="1"/>
  <c r="B355" i="13" a="1"/>
  <c r="B355" i="13" s="1"/>
  <c r="B354" i="13" a="1"/>
  <c r="B354" i="13" s="1"/>
  <c r="B353" i="13" a="1"/>
  <c r="B353" i="13" s="1"/>
  <c r="B352" i="13" a="1"/>
  <c r="B352" i="13" s="1"/>
  <c r="B351" i="13"/>
  <c r="B351" i="13" a="1"/>
  <c r="B350" i="13" a="1"/>
  <c r="B350" i="13" s="1"/>
  <c r="B349" i="13" a="1"/>
  <c r="B349" i="13" s="1"/>
  <c r="B348" i="13" a="1"/>
  <c r="B348" i="13" s="1"/>
  <c r="B347" i="13" a="1"/>
  <c r="B347" i="13" s="1"/>
  <c r="B346" i="13" a="1"/>
  <c r="B346" i="13" s="1"/>
  <c r="B345" i="13" a="1"/>
  <c r="B345" i="13" s="1"/>
  <c r="B344" i="13" a="1"/>
  <c r="B344" i="13" s="1"/>
  <c r="B343" i="13"/>
  <c r="B343" i="13" a="1"/>
  <c r="B342" i="13" a="1"/>
  <c r="B342" i="13" s="1"/>
  <c r="B341" i="13" a="1"/>
  <c r="B341" i="13" s="1"/>
  <c r="B340" i="13" a="1"/>
  <c r="B340" i="13" s="1"/>
  <c r="B339" i="13" a="1"/>
  <c r="B339" i="13" s="1"/>
  <c r="B338" i="13" a="1"/>
  <c r="B338" i="13" s="1"/>
  <c r="B337" i="13" a="1"/>
  <c r="B337" i="13" s="1"/>
  <c r="B336" i="13" a="1"/>
  <c r="B336" i="13" s="1"/>
  <c r="B335" i="13"/>
  <c r="B335" i="13" a="1"/>
  <c r="B334" i="13" a="1"/>
  <c r="B334" i="13" s="1"/>
  <c r="B333" i="13" a="1"/>
  <c r="B333" i="13" s="1"/>
  <c r="B332" i="13" a="1"/>
  <c r="B332" i="13" s="1"/>
  <c r="B331" i="13" a="1"/>
  <c r="B331" i="13" s="1"/>
  <c r="B330" i="13" a="1"/>
  <c r="B330" i="13" s="1"/>
  <c r="B329" i="13" a="1"/>
  <c r="B329" i="13" s="1"/>
  <c r="B328" i="13" a="1"/>
  <c r="B328" i="13" s="1"/>
  <c r="B327" i="13"/>
  <c r="B327" i="13" a="1"/>
  <c r="B326" i="13" a="1"/>
  <c r="B326" i="13" s="1"/>
  <c r="B325" i="13" a="1"/>
  <c r="B325" i="13" s="1"/>
  <c r="B324" i="13" a="1"/>
  <c r="B324" i="13" s="1"/>
  <c r="B323" i="13" a="1"/>
  <c r="B323" i="13" s="1"/>
  <c r="B322" i="13" a="1"/>
  <c r="B322" i="13" s="1"/>
  <c r="B321" i="13" a="1"/>
  <c r="B321" i="13" s="1"/>
  <c r="B320" i="13" a="1"/>
  <c r="B320" i="13" s="1"/>
  <c r="B319" i="13"/>
  <c r="B319" i="13" a="1"/>
  <c r="B318" i="13" a="1"/>
  <c r="B318" i="13" s="1"/>
  <c r="B317" i="13" a="1"/>
  <c r="B317" i="13" s="1"/>
  <c r="B316" i="13" a="1"/>
  <c r="B316" i="13" s="1"/>
  <c r="B315" i="13" a="1"/>
  <c r="B315" i="13" s="1"/>
  <c r="B314" i="13" a="1"/>
  <c r="B314" i="13" s="1"/>
  <c r="B313" i="13" a="1"/>
  <c r="B313" i="13" s="1"/>
  <c r="B312" i="13" a="1"/>
  <c r="B312" i="13" s="1"/>
  <c r="B311" i="13"/>
  <c r="B311" i="13" a="1"/>
  <c r="B310" i="13" a="1"/>
  <c r="B310" i="13" s="1"/>
  <c r="B309" i="13" a="1"/>
  <c r="B309" i="13" s="1"/>
  <c r="B308" i="13" a="1"/>
  <c r="B308" i="13" s="1"/>
  <c r="B307" i="13" a="1"/>
  <c r="B307" i="13" s="1"/>
  <c r="B306" i="13" a="1"/>
  <c r="B306" i="13" s="1"/>
  <c r="B305" i="13" a="1"/>
  <c r="B305" i="13" s="1"/>
  <c r="B304" i="13" a="1"/>
  <c r="B304" i="13" s="1"/>
  <c r="B303" i="13"/>
  <c r="B303" i="13" a="1"/>
  <c r="B302" i="13" a="1"/>
  <c r="B302" i="13" s="1"/>
  <c r="B301" i="13" a="1"/>
  <c r="B301" i="13" s="1"/>
  <c r="B300" i="13" a="1"/>
  <c r="B300" i="13" s="1"/>
  <c r="B299" i="13" a="1"/>
  <c r="B299" i="13" s="1"/>
  <c r="B298" i="13" a="1"/>
  <c r="B298" i="13" s="1"/>
  <c r="B297" i="13" a="1"/>
  <c r="B297" i="13" s="1"/>
  <c r="B296" i="13" a="1"/>
  <c r="B296" i="13" s="1"/>
  <c r="B295" i="13"/>
  <c r="B295" i="13" a="1"/>
  <c r="B294" i="13" a="1"/>
  <c r="B294" i="13" s="1"/>
  <c r="B293" i="13" a="1"/>
  <c r="B293" i="13" s="1"/>
  <c r="B292" i="13" a="1"/>
  <c r="B292" i="13" s="1"/>
  <c r="B291" i="13" a="1"/>
  <c r="B291" i="13" s="1"/>
  <c r="B290" i="13" a="1"/>
  <c r="B290" i="13" s="1"/>
  <c r="B289" i="13" a="1"/>
  <c r="B289" i="13" s="1"/>
  <c r="B288" i="13" a="1"/>
  <c r="B288" i="13" s="1"/>
  <c r="B287" i="13"/>
  <c r="B287" i="13" a="1"/>
  <c r="B286" i="13" a="1"/>
  <c r="B286" i="13" s="1"/>
  <c r="B285" i="13" a="1"/>
  <c r="B285" i="13" s="1"/>
  <c r="B284" i="13" a="1"/>
  <c r="B284" i="13" s="1"/>
  <c r="B283" i="13" a="1"/>
  <c r="B283" i="13" s="1"/>
  <c r="B282" i="13" a="1"/>
  <c r="B282" i="13" s="1"/>
  <c r="B281" i="13" a="1"/>
  <c r="B281" i="13" s="1"/>
  <c r="B280" i="13" a="1"/>
  <c r="B280" i="13" s="1"/>
  <c r="B279" i="13"/>
  <c r="B279" i="13" a="1"/>
  <c r="B278" i="13" a="1"/>
  <c r="B278" i="13" s="1"/>
  <c r="B277" i="13" a="1"/>
  <c r="B277" i="13" s="1"/>
  <c r="B276" i="13" a="1"/>
  <c r="B276" i="13" s="1"/>
  <c r="B275" i="13" a="1"/>
  <c r="B275" i="13" s="1"/>
  <c r="B274" i="13" a="1"/>
  <c r="B274" i="13" s="1"/>
  <c r="B273" i="13" a="1"/>
  <c r="B273" i="13" s="1"/>
  <c r="B272" i="13" a="1"/>
  <c r="B272" i="13" s="1"/>
  <c r="B271" i="13"/>
  <c r="B271" i="13" a="1"/>
  <c r="B270" i="13" a="1"/>
  <c r="B270" i="13" s="1"/>
  <c r="B269" i="13" a="1"/>
  <c r="B269" i="13" s="1"/>
  <c r="B268" i="13" a="1"/>
  <c r="B268" i="13" s="1"/>
  <c r="B267" i="13" a="1"/>
  <c r="B267" i="13" s="1"/>
  <c r="B266" i="13" a="1"/>
  <c r="B266" i="13" s="1"/>
  <c r="B265" i="13" a="1"/>
  <c r="B265" i="13" s="1"/>
  <c r="B264" i="13" a="1"/>
  <c r="B264" i="13" s="1"/>
  <c r="B263" i="13"/>
  <c r="B263" i="13" a="1"/>
  <c r="B262" i="13" a="1"/>
  <c r="B262" i="13" s="1"/>
  <c r="B261" i="13" a="1"/>
  <c r="B261" i="13" s="1"/>
  <c r="B260" i="13" a="1"/>
  <c r="B260" i="13" s="1"/>
  <c r="B259" i="13" a="1"/>
  <c r="B259" i="13" s="1"/>
  <c r="B258" i="13" a="1"/>
  <c r="B258" i="13" s="1"/>
  <c r="B257" i="13" a="1"/>
  <c r="B257" i="13" s="1"/>
  <c r="B256" i="13" a="1"/>
  <c r="B256" i="13" s="1"/>
  <c r="B255" i="13"/>
  <c r="B255" i="13" a="1"/>
  <c r="B254" i="13" a="1"/>
  <c r="B254" i="13" s="1"/>
  <c r="B253" i="13" a="1"/>
  <c r="B253" i="13" s="1"/>
  <c r="B252" i="13" a="1"/>
  <c r="B252" i="13" s="1"/>
  <c r="B251" i="13" a="1"/>
  <c r="B251" i="13" s="1"/>
  <c r="B250" i="13" a="1"/>
  <c r="B250" i="13" s="1"/>
  <c r="B249" i="13" a="1"/>
  <c r="B249" i="13" s="1"/>
  <c r="B248" i="13" a="1"/>
  <c r="B248" i="13" s="1"/>
  <c r="B247" i="13"/>
  <c r="B247" i="13" a="1"/>
  <c r="B246" i="13" a="1"/>
  <c r="B246" i="13" s="1"/>
  <c r="B245" i="13" a="1"/>
  <c r="B245" i="13" s="1"/>
  <c r="B244" i="13" a="1"/>
  <c r="B244" i="13" s="1"/>
  <c r="B243" i="13" a="1"/>
  <c r="B243" i="13" s="1"/>
  <c r="B242" i="13" a="1"/>
  <c r="B242" i="13" s="1"/>
  <c r="B241" i="13" a="1"/>
  <c r="B241" i="13" s="1"/>
  <c r="B240" i="13" a="1"/>
  <c r="B240" i="13" s="1"/>
  <c r="B239" i="13"/>
  <c r="B239" i="13" a="1"/>
  <c r="B238" i="13" a="1"/>
  <c r="B238" i="13" s="1"/>
  <c r="B237" i="13" a="1"/>
  <c r="B237" i="13" s="1"/>
  <c r="B236" i="13" a="1"/>
  <c r="B236" i="13" s="1"/>
  <c r="B235" i="13" a="1"/>
  <c r="B235" i="13" s="1"/>
  <c r="B234" i="13" a="1"/>
  <c r="B234" i="13" s="1"/>
  <c r="B233" i="13" a="1"/>
  <c r="B233" i="13" s="1"/>
  <c r="B232" i="13" a="1"/>
  <c r="B232" i="13" s="1"/>
  <c r="B231" i="13"/>
  <c r="B231" i="13" a="1"/>
  <c r="B230" i="13" a="1"/>
  <c r="B230" i="13" s="1"/>
  <c r="B229" i="13" a="1"/>
  <c r="B229" i="13" s="1"/>
  <c r="B228" i="13" a="1"/>
  <c r="B228" i="13" s="1"/>
  <c r="B227" i="13" a="1"/>
  <c r="B227" i="13" s="1"/>
  <c r="B226" i="13" a="1"/>
  <c r="B226" i="13" s="1"/>
  <c r="B225" i="13" a="1"/>
  <c r="B225" i="13" s="1"/>
  <c r="B224" i="13" a="1"/>
  <c r="B224" i="13" s="1"/>
  <c r="B223" i="13"/>
  <c r="B223" i="13" a="1"/>
  <c r="B222" i="13" a="1"/>
  <c r="B222" i="13" s="1"/>
  <c r="B221" i="13" a="1"/>
  <c r="B221" i="13" s="1"/>
  <c r="B220" i="13" a="1"/>
  <c r="B220" i="13" s="1"/>
  <c r="B219" i="13" a="1"/>
  <c r="B219" i="13" s="1"/>
  <c r="B218" i="13" a="1"/>
  <c r="B218" i="13" s="1"/>
  <c r="B217" i="13" a="1"/>
  <c r="B217" i="13" s="1"/>
  <c r="B216" i="13" a="1"/>
  <c r="B216" i="13" s="1"/>
  <c r="B215" i="13"/>
  <c r="B215" i="13" a="1"/>
  <c r="B214" i="13" a="1"/>
  <c r="B214" i="13" s="1"/>
  <c r="B213" i="13" a="1"/>
  <c r="B213" i="13" s="1"/>
  <c r="B212" i="13" a="1"/>
  <c r="B212" i="13" s="1"/>
  <c r="B211" i="13" a="1"/>
  <c r="B211" i="13" s="1"/>
  <c r="B210" i="13" a="1"/>
  <c r="B210" i="13" s="1"/>
  <c r="B209" i="13" a="1"/>
  <c r="B209" i="13" s="1"/>
  <c r="B208" i="13" a="1"/>
  <c r="B208" i="13" s="1"/>
  <c r="B207" i="13"/>
  <c r="B207" i="13" a="1"/>
  <c r="B206" i="13" a="1"/>
  <c r="B206" i="13" s="1"/>
  <c r="B205" i="13" a="1"/>
  <c r="B205" i="13" s="1"/>
  <c r="B204" i="13" a="1"/>
  <c r="B204" i="13" s="1"/>
  <c r="B203" i="13" a="1"/>
  <c r="B203" i="13" s="1"/>
  <c r="B202" i="13" a="1"/>
  <c r="B202" i="13" s="1"/>
  <c r="B201" i="13" a="1"/>
  <c r="B201" i="13" s="1"/>
  <c r="B200" i="13" a="1"/>
  <c r="B200" i="13" s="1"/>
  <c r="B199" i="13"/>
  <c r="B199" i="13" a="1"/>
  <c r="B198" i="13" a="1"/>
  <c r="B198" i="13" s="1"/>
  <c r="B197" i="13" a="1"/>
  <c r="B197" i="13" s="1"/>
  <c r="B196" i="13" a="1"/>
  <c r="B196" i="13" s="1"/>
  <c r="B195" i="13" a="1"/>
  <c r="B195" i="13" s="1"/>
  <c r="B194" i="13" a="1"/>
  <c r="B194" i="13" s="1"/>
  <c r="B193" i="13" a="1"/>
  <c r="B193" i="13" s="1"/>
  <c r="B192" i="13" a="1"/>
  <c r="B192" i="13" s="1"/>
  <c r="B191" i="13"/>
  <c r="B191" i="13" a="1"/>
  <c r="B190" i="13" a="1"/>
  <c r="B190" i="13" s="1"/>
  <c r="B189" i="13" a="1"/>
  <c r="B189" i="13" s="1"/>
  <c r="B188" i="13" a="1"/>
  <c r="B188" i="13" s="1"/>
  <c r="B187" i="13" a="1"/>
  <c r="B187" i="13" s="1"/>
  <c r="B186" i="13" a="1"/>
  <c r="B186" i="13" s="1"/>
  <c r="B185" i="13" a="1"/>
  <c r="B185" i="13" s="1"/>
  <c r="B184" i="13" a="1"/>
  <c r="B184" i="13" s="1"/>
  <c r="B183" i="13"/>
  <c r="B183" i="13" a="1"/>
  <c r="B182" i="13" a="1"/>
  <c r="B182" i="13" s="1"/>
  <c r="B181" i="13" a="1"/>
  <c r="B181" i="13" s="1"/>
  <c r="B180" i="13" a="1"/>
  <c r="B180" i="13" s="1"/>
  <c r="B179" i="13" a="1"/>
  <c r="B179" i="13" s="1"/>
  <c r="B178" i="13" a="1"/>
  <c r="B178" i="13" s="1"/>
  <c r="B177" i="13" a="1"/>
  <c r="B177" i="13" s="1"/>
  <c r="B176" i="13" a="1"/>
  <c r="B176" i="13" s="1"/>
  <c r="B175" i="13"/>
  <c r="B175" i="13" a="1"/>
  <c r="B174" i="13" a="1"/>
  <c r="B174" i="13" s="1"/>
  <c r="B173" i="13"/>
  <c r="B173" i="13" a="1"/>
  <c r="B172" i="13" a="1"/>
  <c r="B172" i="13" s="1"/>
  <c r="B171" i="13"/>
  <c r="B171" i="13" a="1"/>
  <c r="B170" i="13" a="1"/>
  <c r="B170" i="13" s="1"/>
  <c r="B169" i="13"/>
  <c r="B169" i="13" a="1"/>
  <c r="B168" i="13" a="1"/>
  <c r="B168" i="13" s="1"/>
  <c r="B167" i="13"/>
  <c r="B167" i="13" a="1"/>
  <c r="B166" i="13" a="1"/>
  <c r="B166" i="13" s="1"/>
  <c r="B165" i="13"/>
  <c r="B165" i="13" a="1"/>
  <c r="B164" i="13" a="1"/>
  <c r="B164" i="13" s="1"/>
  <c r="B163" i="13"/>
  <c r="B163" i="13" a="1"/>
  <c r="B162" i="13" a="1"/>
  <c r="B162" i="13" s="1"/>
  <c r="B161" i="13"/>
  <c r="B161" i="13" a="1"/>
  <c r="B160" i="13" a="1"/>
  <c r="B160" i="13" s="1"/>
  <c r="B159" i="13"/>
  <c r="B159" i="13" a="1"/>
  <c r="B158" i="13" a="1"/>
  <c r="B158" i="13" s="1"/>
  <c r="B157" i="13"/>
  <c r="B157" i="13" a="1"/>
  <c r="B156" i="13" a="1"/>
  <c r="B156" i="13" s="1"/>
  <c r="B155" i="13"/>
  <c r="B155" i="13" a="1"/>
  <c r="B154" i="13" a="1"/>
  <c r="B154" i="13" s="1"/>
  <c r="B153" i="13"/>
  <c r="B153" i="13" a="1"/>
  <c r="B152" i="13" a="1"/>
  <c r="B152" i="13" s="1"/>
  <c r="B151" i="13"/>
  <c r="B151" i="13" a="1"/>
  <c r="B150" i="13" a="1"/>
  <c r="B150" i="13" s="1"/>
  <c r="B149" i="13"/>
  <c r="B149" i="13" a="1"/>
  <c r="B148" i="13" a="1"/>
  <c r="B148" i="13" s="1"/>
  <c r="B147" i="13"/>
  <c r="B147" i="13" a="1"/>
  <c r="B146" i="13" a="1"/>
  <c r="B146" i="13" s="1"/>
  <c r="B145" i="13"/>
  <c r="B145" i="13" a="1"/>
  <c r="B144" i="13" a="1"/>
  <c r="B144" i="13" s="1"/>
  <c r="B143" i="13"/>
  <c r="B143" i="13" a="1"/>
  <c r="B142" i="13" a="1"/>
  <c r="B142" i="13" s="1"/>
  <c r="B141" i="13"/>
  <c r="B141" i="13" a="1"/>
  <c r="B139" i="13" a="1"/>
  <c r="B139" i="13" s="1"/>
  <c r="B136" i="13" a="1"/>
  <c r="B136" i="13" s="1"/>
  <c r="B135" i="13" a="1"/>
  <c r="B135" i="13" s="1"/>
  <c r="B132" i="13" a="1"/>
  <c r="B132" i="13" s="1"/>
  <c r="B131" i="13" a="1"/>
  <c r="B131" i="13" s="1"/>
  <c r="B130" i="13" a="1"/>
  <c r="B130" i="13" s="1"/>
  <c r="B128" i="13" a="1"/>
  <c r="B128" i="13" s="1"/>
  <c r="B127" i="13"/>
  <c r="B127" i="13" a="1"/>
  <c r="B124" i="13" a="1"/>
  <c r="B124" i="13" s="1"/>
  <c r="B123" i="13" a="1"/>
  <c r="B123" i="13" s="1"/>
  <c r="B122" i="13" a="1"/>
  <c r="B122" i="13" s="1"/>
  <c r="B120" i="13" a="1"/>
  <c r="B120" i="13" s="1"/>
  <c r="B119" i="13" a="1"/>
  <c r="B119" i="13" s="1"/>
  <c r="B117" i="13" a="1"/>
  <c r="B117" i="13" s="1"/>
  <c r="B116" i="13" a="1"/>
  <c r="B116" i="13" s="1"/>
  <c r="B115" i="13" a="1"/>
  <c r="B115" i="13" s="1"/>
  <c r="B114" i="13" a="1"/>
  <c r="B114" i="13" s="1"/>
  <c r="B113" i="13"/>
  <c r="B112" i="13" a="1"/>
  <c r="B112" i="13" s="1"/>
  <c r="B111" i="13" a="1"/>
  <c r="B111" i="13" s="1"/>
  <c r="B109" i="13"/>
  <c r="B109" i="13" a="1"/>
  <c r="B108" i="13" a="1"/>
  <c r="B108" i="13" s="1"/>
  <c r="B107" i="13" a="1"/>
  <c r="B107" i="13" s="1"/>
  <c r="B106" i="13" a="1"/>
  <c r="B106" i="13" s="1"/>
  <c r="B105" i="13"/>
  <c r="B104" i="13" a="1"/>
  <c r="B104" i="13" s="1"/>
  <c r="B103" i="13" a="1"/>
  <c r="B103" i="13" s="1"/>
  <c r="B101" i="13" a="1"/>
  <c r="B101" i="13" s="1"/>
  <c r="B100" i="13" a="1"/>
  <c r="B100" i="13" s="1"/>
  <c r="B99" i="13" a="1"/>
  <c r="B99" i="13" s="1"/>
  <c r="B98" i="13" a="1"/>
  <c r="B98" i="13" s="1"/>
  <c r="B97" i="13"/>
  <c r="B96" i="13" a="1"/>
  <c r="B96" i="13" s="1"/>
  <c r="B95" i="13"/>
  <c r="B95" i="13" a="1"/>
  <c r="B93" i="13" a="1"/>
  <c r="B93" i="13" s="1"/>
  <c r="B92" i="13" a="1"/>
  <c r="B92" i="13" s="1"/>
  <c r="B91" i="13" a="1"/>
  <c r="B91" i="13" s="1"/>
  <c r="B90" i="13" a="1"/>
  <c r="B90" i="13" s="1"/>
  <c r="B89" i="13"/>
  <c r="B89" i="13" a="1"/>
  <c r="B88" i="13" a="1"/>
  <c r="B88" i="13" s="1"/>
  <c r="B87" i="13" a="1"/>
  <c r="B87" i="13" s="1"/>
  <c r="B86" i="13" a="1"/>
  <c r="B86" i="13" s="1"/>
  <c r="B85" i="13" a="1"/>
  <c r="B85" i="13" s="1"/>
  <c r="B84" i="13" a="1"/>
  <c r="B84" i="13" s="1"/>
  <c r="B83" i="13" a="1"/>
  <c r="B83" i="13" s="1"/>
  <c r="B82" i="13" a="1"/>
  <c r="B82" i="13" s="1"/>
  <c r="B81" i="13"/>
  <c r="B81" i="13" a="1"/>
  <c r="B80" i="13" a="1"/>
  <c r="B80" i="13" s="1"/>
  <c r="B79" i="13" a="1"/>
  <c r="B79" i="13" s="1"/>
  <c r="B78" i="13" a="1"/>
  <c r="B78" i="13" s="1"/>
  <c r="B77" i="13" a="1"/>
  <c r="B77" i="13" s="1"/>
  <c r="B76" i="13" a="1"/>
  <c r="B76" i="13" s="1"/>
  <c r="B75" i="13" a="1"/>
  <c r="B75" i="13" s="1"/>
  <c r="B74" i="13" a="1"/>
  <c r="B74" i="13" s="1"/>
  <c r="B73" i="13"/>
  <c r="B73" i="13" a="1"/>
  <c r="B72" i="13" a="1"/>
  <c r="B72" i="13" s="1"/>
  <c r="B71" i="13" a="1"/>
  <c r="B71" i="13" s="1"/>
  <c r="B70" i="13" a="1"/>
  <c r="B70" i="13" s="1"/>
  <c r="B69" i="13" a="1"/>
  <c r="B69" i="13" s="1"/>
  <c r="B68" i="13" a="1"/>
  <c r="B68" i="13" s="1"/>
  <c r="B67" i="13" a="1"/>
  <c r="B67" i="13" s="1"/>
  <c r="B66" i="13" a="1"/>
  <c r="B66" i="13" s="1"/>
  <c r="B65" i="13"/>
  <c r="B65" i="13" a="1"/>
  <c r="B64" i="13" a="1"/>
  <c r="B64" i="13" s="1"/>
  <c r="B63" i="13" a="1"/>
  <c r="B63" i="13" s="1"/>
  <c r="B62" i="13" a="1"/>
  <c r="B62" i="13" s="1"/>
  <c r="B61" i="13" a="1"/>
  <c r="B61" i="13" s="1"/>
  <c r="B60" i="13" a="1"/>
  <c r="B60" i="13" s="1"/>
  <c r="B59" i="13" a="1"/>
  <c r="B59" i="13" s="1"/>
  <c r="B58" i="13" a="1"/>
  <c r="B58" i="13" s="1"/>
  <c r="B57" i="13"/>
  <c r="B57" i="13" a="1"/>
  <c r="B56" i="13" a="1"/>
  <c r="B56" i="13" s="1"/>
  <c r="B55" i="13" a="1"/>
  <c r="B55" i="13" s="1"/>
  <c r="B54" i="13" a="1"/>
  <c r="B54" i="13" s="1"/>
  <c r="B53" i="13" a="1"/>
  <c r="B53" i="13" s="1"/>
  <c r="B52" i="13" a="1"/>
  <c r="B52" i="13" s="1"/>
  <c r="B51" i="13" a="1"/>
  <c r="B51" i="13" s="1"/>
  <c r="B50" i="13" a="1"/>
  <c r="B50" i="13" s="1"/>
  <c r="B49" i="13"/>
  <c r="B49" i="13" a="1"/>
  <c r="B48" i="13" a="1"/>
  <c r="B48" i="13" s="1"/>
  <c r="B47" i="13" a="1"/>
  <c r="B47" i="13" s="1"/>
  <c r="B46" i="13" a="1"/>
  <c r="B46" i="13" s="1"/>
  <c r="B45" i="13" a="1"/>
  <c r="B45" i="13" s="1"/>
  <c r="B44" i="13" a="1"/>
  <c r="B44" i="13" s="1"/>
  <c r="B43" i="13" a="1"/>
  <c r="B43" i="13" s="1"/>
  <c r="B42" i="13" a="1"/>
  <c r="B42" i="13" s="1"/>
  <c r="B41" i="13"/>
  <c r="B41" i="13" a="1"/>
  <c r="B40" i="13" a="1"/>
  <c r="B40" i="13" s="1"/>
  <c r="B39" i="13" a="1"/>
  <c r="B39" i="13" s="1"/>
  <c r="B38" i="13" a="1"/>
  <c r="B38" i="13" s="1"/>
  <c r="B37" i="13" a="1"/>
  <c r="B37" i="13" s="1"/>
  <c r="B36" i="13" a="1"/>
  <c r="B36" i="13" s="1"/>
  <c r="B35" i="13" a="1"/>
  <c r="B35" i="13" s="1"/>
  <c r="B34" i="13" a="1"/>
  <c r="B34" i="13" s="1"/>
  <c r="B33" i="13"/>
  <c r="B33" i="13" a="1"/>
  <c r="B32" i="13" a="1"/>
  <c r="B32" i="13" s="1"/>
  <c r="B31" i="13" a="1"/>
  <c r="B31" i="13" s="1"/>
  <c r="B30" i="13" a="1"/>
  <c r="B30" i="13" s="1"/>
  <c r="B29" i="13" a="1"/>
  <c r="B29" i="13" s="1"/>
  <c r="B28" i="13" a="1"/>
  <c r="B28" i="13" s="1"/>
  <c r="B27" i="13" a="1"/>
  <c r="B27" i="13" s="1"/>
  <c r="B26" i="13" a="1"/>
  <c r="B26" i="13" s="1"/>
  <c r="B25" i="13"/>
  <c r="B25" i="13" a="1"/>
  <c r="B24" i="13" a="1"/>
  <c r="B24" i="13" s="1"/>
  <c r="B23" i="13" a="1"/>
  <c r="B23" i="13" s="1"/>
  <c r="B22" i="13" a="1"/>
  <c r="B22" i="13" s="1"/>
  <c r="B21" i="13" a="1"/>
  <c r="B21" i="13" s="1"/>
  <c r="B20" i="13" a="1"/>
  <c r="B20" i="13" s="1"/>
  <c r="B19" i="13" a="1"/>
  <c r="B19" i="13" s="1"/>
  <c r="B18" i="13" a="1"/>
  <c r="B18" i="13" s="1"/>
  <c r="B17" i="13"/>
  <c r="B17" i="13" a="1"/>
  <c r="B16" i="13" a="1"/>
  <c r="B16" i="13" s="1"/>
  <c r="B15" i="13" a="1"/>
  <c r="B15" i="13" s="1"/>
  <c r="B14" i="13" a="1"/>
  <c r="B14" i="13" s="1"/>
  <c r="B13" i="13" a="1"/>
  <c r="B13" i="13" s="1"/>
  <c r="B12" i="13" a="1"/>
  <c r="B12" i="13" s="1"/>
  <c r="B11" i="13" a="1"/>
  <c r="B11" i="13" s="1"/>
  <c r="B3" i="13"/>
  <c r="A2" i="12"/>
  <c r="A2" i="13" s="1"/>
  <c r="B3" i="12"/>
  <c r="H336" i="11"/>
  <c r="H335" i="11"/>
  <c r="H334" i="11"/>
  <c r="H333" i="11"/>
  <c r="H332" i="11"/>
  <c r="H331" i="11"/>
  <c r="H330" i="11"/>
  <c r="H329" i="11"/>
  <c r="H328" i="11"/>
  <c r="H327" i="11"/>
  <c r="H326" i="11"/>
  <c r="H325" i="11"/>
  <c r="H324" i="11"/>
  <c r="H323" i="11"/>
  <c r="H322" i="11"/>
  <c r="H321" i="11"/>
  <c r="H320" i="11"/>
  <c r="H319" i="11"/>
  <c r="H318" i="11"/>
  <c r="H317" i="11"/>
  <c r="H316" i="11"/>
  <c r="H315" i="11"/>
  <c r="H314" i="11"/>
  <c r="H313" i="11"/>
  <c r="H312" i="11"/>
  <c r="H311" i="11"/>
  <c r="H310" i="11"/>
  <c r="H309" i="11"/>
  <c r="H308" i="11"/>
  <c r="H307" i="11"/>
  <c r="H306" i="11"/>
  <c r="H305" i="11"/>
  <c r="H304" i="11"/>
  <c r="H303" i="11"/>
  <c r="H302" i="11"/>
  <c r="H301" i="11"/>
  <c r="H300" i="11"/>
  <c r="H299" i="11"/>
  <c r="H298" i="11"/>
  <c r="H297" i="11"/>
  <c r="H296" i="11"/>
  <c r="H295" i="11"/>
  <c r="H294" i="11"/>
  <c r="H293" i="11"/>
  <c r="H292" i="11"/>
  <c r="H291" i="11"/>
  <c r="H290" i="11"/>
  <c r="H289" i="11"/>
  <c r="H288" i="11"/>
  <c r="H287" i="11"/>
  <c r="H286" i="11"/>
  <c r="H285" i="11"/>
  <c r="H284" i="11"/>
  <c r="H283" i="11"/>
  <c r="H282" i="11"/>
  <c r="H281" i="11"/>
  <c r="H280" i="11"/>
  <c r="H279" i="11"/>
  <c r="H278" i="11"/>
  <c r="H277" i="11"/>
  <c r="H276" i="11"/>
  <c r="H275" i="11"/>
  <c r="H274" i="11"/>
  <c r="H273" i="11"/>
  <c r="H272" i="11"/>
  <c r="H271" i="11"/>
  <c r="H270" i="11"/>
  <c r="H269" i="11"/>
  <c r="H268" i="11"/>
  <c r="H267" i="11"/>
  <c r="H266" i="11"/>
  <c r="H265" i="11"/>
  <c r="H264" i="11"/>
  <c r="H263" i="11"/>
  <c r="H262" i="11"/>
  <c r="H261" i="11"/>
  <c r="H260" i="11"/>
  <c r="H259" i="11"/>
  <c r="H258" i="11"/>
  <c r="H257" i="11"/>
  <c r="H256" i="11"/>
  <c r="H255" i="11"/>
  <c r="H254" i="11"/>
  <c r="H253" i="11"/>
  <c r="H252" i="11"/>
  <c r="H251" i="11"/>
  <c r="H250" i="11"/>
  <c r="H249" i="11"/>
  <c r="H248" i="11"/>
  <c r="H247" i="11"/>
  <c r="H246" i="11"/>
  <c r="H245" i="11"/>
  <c r="H244" i="11"/>
  <c r="H243" i="11"/>
  <c r="H242" i="11"/>
  <c r="H241" i="11"/>
  <c r="H240" i="11"/>
  <c r="H239" i="11"/>
  <c r="H238" i="11"/>
  <c r="H237" i="11"/>
  <c r="H236" i="11"/>
  <c r="H235" i="11"/>
  <c r="H234" i="11"/>
  <c r="H233" i="11"/>
  <c r="H232" i="11"/>
  <c r="H231" i="11"/>
  <c r="H230" i="11"/>
  <c r="H229" i="11"/>
  <c r="H228" i="11"/>
  <c r="H227" i="11"/>
  <c r="H226" i="11"/>
  <c r="H225" i="11"/>
  <c r="H224" i="11"/>
  <c r="H223" i="11"/>
  <c r="H222" i="11"/>
  <c r="H221" i="11"/>
  <c r="H220" i="11"/>
  <c r="H219" i="11"/>
  <c r="H218" i="11"/>
  <c r="H217" i="11"/>
  <c r="H216" i="11"/>
  <c r="H215" i="11"/>
  <c r="H214" i="11"/>
  <c r="H213" i="11"/>
  <c r="H212" i="11"/>
  <c r="H211" i="11"/>
  <c r="H210" i="11"/>
  <c r="H209" i="11"/>
  <c r="H208" i="11"/>
  <c r="H207" i="11"/>
  <c r="H206" i="11"/>
  <c r="H205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B21" i="10" a="1"/>
  <c r="B21" i="10" s="1"/>
  <c r="B23" i="10" a="1"/>
  <c r="B23" i="10" s="1"/>
  <c r="B25" i="10" a="1"/>
  <c r="B25" i="10" s="1"/>
  <c r="B26" i="10" a="1"/>
  <c r="B26" i="10" s="1"/>
  <c r="B28" i="10" a="1"/>
  <c r="B28" i="10" s="1"/>
  <c r="B30" i="10" a="1"/>
  <c r="B30" i="10" s="1"/>
  <c r="B31" i="10"/>
  <c r="B33" i="10" a="1"/>
  <c r="B33" i="10" s="1"/>
  <c r="B35" i="10" a="1"/>
  <c r="B35" i="10" s="1"/>
  <c r="B37" i="10" a="1"/>
  <c r="B37" i="10" s="1"/>
  <c r="B39" i="10" a="1"/>
  <c r="B39" i="10" s="1"/>
  <c r="B41" i="10" a="1"/>
  <c r="B41" i="10" s="1"/>
  <c r="B43" i="10" a="1"/>
  <c r="B43" i="10" s="1"/>
  <c r="B44" i="10" a="1"/>
  <c r="B44" i="10" s="1"/>
  <c r="B46" i="10" a="1"/>
  <c r="B46" i="10" s="1"/>
  <c r="B48" i="10" a="1"/>
  <c r="B48" i="10" s="1"/>
  <c r="B50" i="10" a="1"/>
  <c r="B50" i="10" s="1"/>
  <c r="B51" i="10"/>
  <c r="B53" i="10" a="1"/>
  <c r="B53" i="10" s="1"/>
  <c r="B55" i="10" a="1"/>
  <c r="B55" i="10" s="1"/>
  <c r="B57" i="10" a="1"/>
  <c r="B57" i="10" s="1"/>
  <c r="B58" i="10" a="1"/>
  <c r="B58" i="10" s="1"/>
  <c r="B60" i="10" a="1"/>
  <c r="B60" i="10" s="1"/>
  <c r="B62" i="10" a="1"/>
  <c r="B62" i="10" s="1"/>
  <c r="B63" i="10"/>
  <c r="B65" i="10" a="1"/>
  <c r="B65" i="10" s="1"/>
  <c r="B67" i="10" a="1"/>
  <c r="B67" i="10" s="1"/>
  <c r="B69" i="10" a="1"/>
  <c r="B69" i="10" s="1"/>
  <c r="B71" i="10" a="1"/>
  <c r="B71" i="10" s="1"/>
  <c r="B73" i="10" a="1"/>
  <c r="B73" i="10" s="1"/>
  <c r="B74" i="10" a="1"/>
  <c r="B74" i="10" s="1"/>
  <c r="B76" i="10" a="1"/>
  <c r="B76" i="10" s="1"/>
  <c r="B78" i="10" a="1"/>
  <c r="B78" i="10" s="1"/>
  <c r="B79" i="10"/>
  <c r="B81" i="10" a="1"/>
  <c r="B81" i="10" s="1"/>
  <c r="B83" i="10" a="1"/>
  <c r="B83" i="10" s="1"/>
  <c r="B84" i="10" a="1"/>
  <c r="B84" i="10" s="1"/>
  <c r="B86" i="10" a="1"/>
  <c r="B86" i="10" s="1"/>
  <c r="B88" i="10" a="1"/>
  <c r="B88" i="10" s="1"/>
  <c r="B89" i="10"/>
  <c r="B91" i="10" a="1"/>
  <c r="B91" i="10" s="1"/>
  <c r="B93" i="10" a="1"/>
  <c r="B93" i="10" s="1"/>
  <c r="B95" i="10" a="1"/>
  <c r="B95" i="10" s="1"/>
  <c r="B96" i="10" a="1"/>
  <c r="B96" i="10" s="1"/>
  <c r="B98" i="10" a="1"/>
  <c r="B98" i="10" s="1"/>
  <c r="B100" i="10" a="1"/>
  <c r="B100" i="10" s="1"/>
  <c r="B102" i="10" a="1"/>
  <c r="B102" i="10" s="1"/>
  <c r="B104" i="10" a="1"/>
  <c r="B104" i="10" s="1"/>
  <c r="B106" i="10" a="1"/>
  <c r="B106" i="10" s="1"/>
  <c r="B107" i="10"/>
  <c r="B108" i="10" a="1"/>
  <c r="B108" i="10" s="1"/>
  <c r="B109" i="10" a="1"/>
  <c r="B109" i="10" s="1"/>
  <c r="B110" i="10" a="1"/>
  <c r="B110" i="10" s="1"/>
  <c r="B111" i="10" a="1"/>
  <c r="B111" i="10" s="1"/>
  <c r="B112" i="10" a="1"/>
  <c r="B112" i="10" s="1"/>
  <c r="B113" i="10" a="1"/>
  <c r="B113" i="10" s="1"/>
  <c r="B114" i="10" a="1"/>
  <c r="B114" i="10" s="1"/>
  <c r="B115" i="10" a="1"/>
  <c r="B115" i="10"/>
  <c r="B116" i="10" a="1"/>
  <c r="B116" i="10" s="1"/>
  <c r="B117" i="10" a="1"/>
  <c r="B117" i="10" s="1"/>
  <c r="B118" i="10" a="1"/>
  <c r="B118" i="10" s="1"/>
  <c r="B121" i="10" a="1"/>
  <c r="B121" i="10"/>
  <c r="B123" i="10" a="1"/>
  <c r="B123" i="10" s="1"/>
  <c r="B124" i="10" a="1"/>
  <c r="B124" i="10" s="1"/>
  <c r="B125" i="10" a="1"/>
  <c r="B125" i="10" s="1"/>
  <c r="B126" i="10" a="1"/>
  <c r="B126" i="10" s="1"/>
  <c r="B127" i="10" a="1"/>
  <c r="B127" i="10"/>
  <c r="B128" i="10" a="1"/>
  <c r="B128" i="10" s="1"/>
  <c r="B129" i="10" a="1"/>
  <c r="B129" i="10" s="1"/>
  <c r="B130" i="10" a="1"/>
  <c r="B130" i="10" s="1"/>
  <c r="B131" i="10" a="1"/>
  <c r="B131" i="10" s="1"/>
  <c r="B132" i="10" a="1"/>
  <c r="B132" i="10" s="1"/>
  <c r="B133" i="10" a="1"/>
  <c r="B133" i="10" s="1"/>
  <c r="B134" i="10" a="1"/>
  <c r="B134" i="10" s="1"/>
  <c r="B135" i="10" a="1"/>
  <c r="B135" i="10" s="1"/>
  <c r="B136" i="10" a="1"/>
  <c r="B136" i="10" s="1"/>
  <c r="B137" i="10" a="1"/>
  <c r="B137" i="10"/>
  <c r="B138" i="10" a="1"/>
  <c r="B138" i="10" s="1"/>
  <c r="B139" i="10" a="1"/>
  <c r="B139" i="10" s="1"/>
  <c r="B140" i="10" a="1"/>
  <c r="B140" i="10" s="1"/>
  <c r="B141" i="10" a="1"/>
  <c r="B141" i="10" s="1"/>
  <c r="B142" i="10" a="1"/>
  <c r="B142" i="10" s="1"/>
  <c r="B143" i="10" a="1"/>
  <c r="B143" i="10"/>
  <c r="B144" i="10" a="1"/>
  <c r="B144" i="10" s="1"/>
  <c r="B145" i="10" a="1"/>
  <c r="B145" i="10" s="1"/>
  <c r="B146" i="10" a="1"/>
  <c r="B146" i="10" s="1"/>
  <c r="B147" i="10" a="1"/>
  <c r="B147" i="10"/>
  <c r="B148" i="10" a="1"/>
  <c r="B148" i="10" s="1"/>
  <c r="B149" i="10" a="1"/>
  <c r="B149" i="10" s="1"/>
  <c r="B150" i="10" a="1"/>
  <c r="B150" i="10" s="1"/>
  <c r="B151" i="10" a="1"/>
  <c r="B151" i="10" s="1"/>
  <c r="B152" i="10" a="1"/>
  <c r="B152" i="10" s="1"/>
  <c r="B153" i="10" a="1"/>
  <c r="B153" i="10"/>
  <c r="B154" i="10" a="1"/>
  <c r="B154" i="10" s="1"/>
  <c r="B155" i="10" a="1"/>
  <c r="B155" i="10" s="1"/>
  <c r="B156" i="10" a="1"/>
  <c r="B156" i="10" s="1"/>
  <c r="B157" i="10" a="1"/>
  <c r="B157" i="10" s="1"/>
  <c r="B158" i="10" a="1"/>
  <c r="B158" i="10" s="1"/>
  <c r="B159" i="10" a="1"/>
  <c r="B159" i="10"/>
  <c r="B160" i="10" a="1"/>
  <c r="B160" i="10" s="1"/>
  <c r="B161" i="10" a="1"/>
  <c r="B161" i="10" s="1"/>
  <c r="B162" i="10" a="1"/>
  <c r="B162" i="10" s="1"/>
  <c r="B163" i="10" a="1"/>
  <c r="B163" i="10" s="1"/>
  <c r="B164" i="10" a="1"/>
  <c r="B164" i="10" s="1"/>
  <c r="B165" i="10" a="1"/>
  <c r="B165" i="10" s="1"/>
  <c r="B166" i="10" a="1"/>
  <c r="B166" i="10" s="1"/>
  <c r="B167" i="10" a="1"/>
  <c r="B167" i="10" s="1"/>
  <c r="B168" i="10" a="1"/>
  <c r="B168" i="10" s="1"/>
  <c r="B169" i="10" a="1"/>
  <c r="B169" i="10" s="1"/>
  <c r="B170" i="10" a="1"/>
  <c r="B170" i="10" s="1"/>
  <c r="B171" i="10" a="1"/>
  <c r="B171" i="10"/>
  <c r="B172" i="10" a="1"/>
  <c r="B172" i="10" s="1"/>
  <c r="B173" i="10" a="1"/>
  <c r="B173" i="10" s="1"/>
  <c r="B174" i="10" a="1"/>
  <c r="B174" i="10" s="1"/>
  <c r="B175" i="10" a="1"/>
  <c r="B175" i="10" s="1"/>
  <c r="B176" i="10" a="1"/>
  <c r="B176" i="10" s="1"/>
  <c r="B177" i="10" a="1"/>
  <c r="B177" i="10" s="1"/>
  <c r="B178" i="10" a="1"/>
  <c r="B178" i="10" s="1"/>
  <c r="B179" i="10" a="1"/>
  <c r="B179" i="10"/>
  <c r="B180" i="10" a="1"/>
  <c r="B180" i="10" s="1"/>
  <c r="B181" i="10" a="1"/>
  <c r="B181" i="10" s="1"/>
  <c r="B182" i="10" a="1"/>
  <c r="B182" i="10" s="1"/>
  <c r="B183" i="10" a="1"/>
  <c r="B183" i="10" s="1"/>
  <c r="B184" i="10" a="1"/>
  <c r="B184" i="10" s="1"/>
  <c r="B185" i="10" a="1"/>
  <c r="B185" i="10" s="1"/>
  <c r="B186" i="10" a="1"/>
  <c r="B186" i="10" s="1"/>
  <c r="B187" i="10" a="1"/>
  <c r="B187" i="10"/>
  <c r="B188" i="10" a="1"/>
  <c r="B188" i="10" s="1"/>
  <c r="B189" i="10" a="1"/>
  <c r="B189" i="10" s="1"/>
  <c r="B190" i="10" a="1"/>
  <c r="B190" i="10" s="1"/>
  <c r="B191" i="10" a="1"/>
  <c r="B191" i="10" s="1"/>
  <c r="B192" i="10" a="1"/>
  <c r="B192" i="10" s="1"/>
  <c r="B193" i="10" a="1"/>
  <c r="B193" i="10"/>
  <c r="B194" i="10" a="1"/>
  <c r="B194" i="10" s="1"/>
  <c r="B195" i="10" a="1"/>
  <c r="B195" i="10" s="1"/>
  <c r="B196" i="10" a="1"/>
  <c r="B196" i="10" s="1"/>
  <c r="B197" i="10" a="1"/>
  <c r="B197" i="10" s="1"/>
  <c r="B198" i="10" a="1"/>
  <c r="B198" i="10" s="1"/>
  <c r="B199" i="10" a="1"/>
  <c r="B199" i="10"/>
  <c r="B200" i="10" a="1"/>
  <c r="B200" i="10" s="1"/>
  <c r="B201" i="10" a="1"/>
  <c r="B201" i="10" s="1"/>
  <c r="B202" i="10" a="1"/>
  <c r="B202" i="10" s="1"/>
  <c r="B203" i="10" a="1"/>
  <c r="B203" i="10"/>
  <c r="B204" i="10" a="1"/>
  <c r="B204" i="10" s="1"/>
  <c r="B205" i="10" a="1"/>
  <c r="B205" i="10" s="1"/>
  <c r="B206" i="10" a="1"/>
  <c r="B206" i="10" s="1"/>
  <c r="B207" i="10" a="1"/>
  <c r="B207" i="10" s="1"/>
  <c r="B208" i="10" a="1"/>
  <c r="B208" i="10" s="1"/>
  <c r="B209" i="10" a="1"/>
  <c r="B209" i="10"/>
  <c r="B210" i="10" a="1"/>
  <c r="B210" i="10" s="1"/>
  <c r="B211" i="10" a="1"/>
  <c r="B211" i="10" s="1"/>
  <c r="B212" i="10" a="1"/>
  <c r="B212" i="10" s="1"/>
  <c r="B213" i="10" a="1"/>
  <c r="B213" i="10" s="1"/>
  <c r="B214" i="10" a="1"/>
  <c r="B214" i="10" s="1"/>
  <c r="B215" i="10" a="1"/>
  <c r="B215" i="10" s="1"/>
  <c r="B216" i="10" a="1"/>
  <c r="B216" i="10" s="1"/>
  <c r="B217" i="10" a="1"/>
  <c r="B217" i="10"/>
  <c r="B218" i="10" a="1"/>
  <c r="B218" i="10" s="1"/>
  <c r="B219" i="10" a="1"/>
  <c r="B219" i="10" s="1"/>
  <c r="B220" i="10" a="1"/>
  <c r="B220" i="10" s="1"/>
  <c r="B221" i="10" a="1"/>
  <c r="B221" i="10" s="1"/>
  <c r="B222" i="10" a="1"/>
  <c r="B222" i="10" s="1"/>
  <c r="B223" i="10" a="1"/>
  <c r="B223" i="10"/>
  <c r="B224" i="10" a="1"/>
  <c r="B224" i="10" s="1"/>
  <c r="B225" i="10" a="1"/>
  <c r="B225" i="10" s="1"/>
  <c r="B226" i="10" a="1"/>
  <c r="B226" i="10" s="1"/>
  <c r="B227" i="10" a="1"/>
  <c r="B227" i="10"/>
  <c r="B228" i="10" a="1"/>
  <c r="B228" i="10" s="1"/>
  <c r="B229" i="10" a="1"/>
  <c r="B229" i="10" s="1"/>
  <c r="B230" i="10" a="1"/>
  <c r="B230" i="10" s="1"/>
  <c r="B231" i="10" a="1"/>
  <c r="B231" i="10" s="1"/>
  <c r="B232" i="10" a="1"/>
  <c r="B232" i="10" s="1"/>
  <c r="B233" i="10" a="1"/>
  <c r="B233" i="10"/>
  <c r="B234" i="10" a="1"/>
  <c r="B234" i="10" s="1"/>
  <c r="B235" i="10" a="1"/>
  <c r="B235" i="10" s="1"/>
  <c r="B236" i="10" a="1"/>
  <c r="B236" i="10" s="1"/>
  <c r="B237" i="10" a="1"/>
  <c r="B237" i="10" s="1"/>
  <c r="B238" i="10" a="1"/>
  <c r="B238" i="10" s="1"/>
  <c r="B239" i="10" a="1"/>
  <c r="B239" i="10"/>
  <c r="B240" i="10" a="1"/>
  <c r="B240" i="10" s="1"/>
  <c r="B241" i="10" a="1"/>
  <c r="B241" i="10" s="1"/>
  <c r="B242" i="10" a="1"/>
  <c r="B242" i="10" s="1"/>
  <c r="B243" i="10" a="1"/>
  <c r="B243" i="10"/>
  <c r="B244" i="10" a="1"/>
  <c r="B244" i="10" s="1"/>
  <c r="B245" i="10" a="1"/>
  <c r="B245" i="10" s="1"/>
  <c r="B246" i="10" a="1"/>
  <c r="B246" i="10" s="1"/>
  <c r="B247" i="10" a="1"/>
  <c r="B247" i="10" s="1"/>
  <c r="B248" i="10" a="1"/>
  <c r="B248" i="10" s="1"/>
  <c r="B249" i="10" a="1"/>
  <c r="B249" i="10" s="1"/>
  <c r="B250" i="10" a="1"/>
  <c r="B250" i="10" s="1"/>
  <c r="B251" i="10" a="1"/>
  <c r="B251" i="10"/>
  <c r="B252" i="10" a="1"/>
  <c r="B252" i="10" s="1"/>
  <c r="B253" i="10" a="1"/>
  <c r="B253" i="10" s="1"/>
  <c r="B254" i="10" a="1"/>
  <c r="B254" i="10" s="1"/>
  <c r="B255" i="10" a="1"/>
  <c r="B255" i="10" s="1"/>
  <c r="B256" i="10" a="1"/>
  <c r="B256" i="10" s="1"/>
  <c r="B257" i="10" a="1"/>
  <c r="B257" i="10"/>
  <c r="B258" i="10" a="1"/>
  <c r="B258" i="10" s="1"/>
  <c r="B259" i="10" a="1"/>
  <c r="B259" i="10" s="1"/>
  <c r="B260" i="10" a="1"/>
  <c r="B260" i="10" s="1"/>
  <c r="B261" i="10" a="1"/>
  <c r="B261" i="10" s="1"/>
  <c r="B262" i="10" a="1"/>
  <c r="B262" i="10" s="1"/>
  <c r="B263" i="10" a="1"/>
  <c r="B263" i="10"/>
  <c r="B264" i="10" a="1"/>
  <c r="B264" i="10" s="1"/>
  <c r="B265" i="10" a="1"/>
  <c r="B265" i="10" s="1"/>
  <c r="B266" i="10" a="1"/>
  <c r="B266" i="10" s="1"/>
  <c r="B267" i="10" a="1"/>
  <c r="B267" i="10"/>
  <c r="B268" i="10" a="1"/>
  <c r="B268" i="10" s="1"/>
  <c r="B269" i="10" a="1"/>
  <c r="B269" i="10" s="1"/>
  <c r="B270" i="10" a="1"/>
  <c r="B270" i="10" s="1"/>
  <c r="B271" i="10" a="1"/>
  <c r="B271" i="10" s="1"/>
  <c r="B272" i="10" a="1"/>
  <c r="B272" i="10" s="1"/>
  <c r="B273" i="10" a="1"/>
  <c r="B273" i="10"/>
  <c r="B274" i="10" a="1"/>
  <c r="B274" i="10" s="1"/>
  <c r="B275" i="10" a="1"/>
  <c r="B275" i="10" s="1"/>
  <c r="B276" i="10" a="1"/>
  <c r="B276" i="10" s="1"/>
  <c r="B277" i="10" a="1"/>
  <c r="B277" i="10" s="1"/>
  <c r="B278" i="10" a="1"/>
  <c r="B278" i="10" s="1"/>
  <c r="B279" i="10" a="1"/>
  <c r="B279" i="10" s="1"/>
  <c r="B280" i="10" a="1"/>
  <c r="B280" i="10" s="1"/>
  <c r="B281" i="10" a="1"/>
  <c r="B281" i="10"/>
  <c r="B282" i="10" a="1"/>
  <c r="B282" i="10" s="1"/>
  <c r="B283" i="10" a="1"/>
  <c r="B283" i="10" s="1"/>
  <c r="B284" i="10" a="1"/>
  <c r="B284" i="10" s="1"/>
  <c r="B285" i="10" a="1"/>
  <c r="B285" i="10" s="1"/>
  <c r="B286" i="10" a="1"/>
  <c r="B286" i="10" s="1"/>
  <c r="B287" i="10" a="1"/>
  <c r="B287" i="10"/>
  <c r="B288" i="10" a="1"/>
  <c r="B288" i="10" s="1"/>
  <c r="B289" i="10" a="1"/>
  <c r="B289" i="10" s="1"/>
  <c r="B290" i="10" a="1"/>
  <c r="B290" i="10" s="1"/>
  <c r="B291" i="10" a="1"/>
  <c r="B291" i="10"/>
  <c r="B292" i="10" a="1"/>
  <c r="B292" i="10" s="1"/>
  <c r="B293" i="10" a="1"/>
  <c r="B293" i="10" s="1"/>
  <c r="B294" i="10" a="1"/>
  <c r="B294" i="10" s="1"/>
  <c r="B295" i="10" a="1"/>
  <c r="B295" i="10" s="1"/>
  <c r="B296" i="10" a="1"/>
  <c r="B296" i="10" s="1"/>
  <c r="B297" i="10" a="1"/>
  <c r="B297" i="10"/>
  <c r="B298" i="10" a="1"/>
  <c r="B298" i="10" s="1"/>
  <c r="B299" i="10" a="1"/>
  <c r="B299" i="10" s="1"/>
  <c r="B300" i="10" a="1"/>
  <c r="B300" i="10" s="1"/>
  <c r="B301" i="10" a="1"/>
  <c r="B301" i="10" s="1"/>
  <c r="B302" i="10" a="1"/>
  <c r="B302" i="10" s="1"/>
  <c r="B303" i="10" a="1"/>
  <c r="B303" i="10"/>
  <c r="B304" i="10" a="1"/>
  <c r="B304" i="10" s="1"/>
  <c r="B305" i="10" a="1"/>
  <c r="B305" i="10" s="1"/>
  <c r="B306" i="10" a="1"/>
  <c r="B306" i="10" s="1"/>
  <c r="B307" i="10" a="1"/>
  <c r="B307" i="10"/>
  <c r="B308" i="10" a="1"/>
  <c r="B308" i="10"/>
  <c r="B309" i="10" a="1"/>
  <c r="B309" i="10"/>
  <c r="B310" i="10" a="1"/>
  <c r="B310" i="10"/>
  <c r="B311" i="10" a="1"/>
  <c r="B311" i="10"/>
  <c r="B312" i="10" a="1"/>
  <c r="B312" i="10"/>
  <c r="B313" i="10" a="1"/>
  <c r="B313" i="10"/>
  <c r="B314" i="10" a="1"/>
  <c r="B314" i="10"/>
  <c r="B315" i="10" a="1"/>
  <c r="B315" i="10"/>
  <c r="B316" i="10" a="1"/>
  <c r="B316" i="10"/>
  <c r="B317" i="10" a="1"/>
  <c r="B317" i="10"/>
  <c r="B318" i="10" a="1"/>
  <c r="B318" i="10"/>
  <c r="B319" i="10" a="1"/>
  <c r="B319" i="10"/>
  <c r="B320" i="10" a="1"/>
  <c r="B320" i="10"/>
  <c r="B321" i="10" a="1"/>
  <c r="B321" i="10"/>
  <c r="B322" i="10" a="1"/>
  <c r="B322" i="10"/>
  <c r="B323" i="10" a="1"/>
  <c r="B323" i="10"/>
  <c r="B324" i="10" a="1"/>
  <c r="B324" i="10"/>
  <c r="B325" i="10" a="1"/>
  <c r="B325" i="10"/>
  <c r="B326" i="10" a="1"/>
  <c r="B326" i="10"/>
  <c r="B327" i="10" a="1"/>
  <c r="B327" i="10"/>
  <c r="B328" i="10" a="1"/>
  <c r="B328" i="10"/>
  <c r="B329" i="10" a="1"/>
  <c r="B329" i="10"/>
  <c r="B330" i="10" a="1"/>
  <c r="B330" i="10"/>
  <c r="B331" i="10" a="1"/>
  <c r="B331" i="10"/>
  <c r="B332" i="10" a="1"/>
  <c r="B332" i="10"/>
  <c r="B333" i="10" a="1"/>
  <c r="B333" i="10"/>
  <c r="B334" i="10" a="1"/>
  <c r="B334" i="10"/>
  <c r="B335" i="10" a="1"/>
  <c r="B335" i="10"/>
  <c r="B336" i="10" a="1"/>
  <c r="B336" i="10"/>
  <c r="B337" i="10" a="1"/>
  <c r="B337" i="10"/>
  <c r="B338" i="10" a="1"/>
  <c r="B338" i="10"/>
  <c r="B339" i="10" a="1"/>
  <c r="B339" i="10"/>
  <c r="B340" i="10" a="1"/>
  <c r="B340" i="10"/>
  <c r="B341" i="10" a="1"/>
  <c r="B341" i="10"/>
  <c r="B342" i="10" a="1"/>
  <c r="B342" i="10"/>
  <c r="B343" i="10" a="1"/>
  <c r="B343" i="10"/>
  <c r="B344" i="10" a="1"/>
  <c r="B344" i="10"/>
  <c r="B345" i="10" a="1"/>
  <c r="B345" i="10"/>
  <c r="B346" i="10" a="1"/>
  <c r="B346" i="10"/>
  <c r="B347" i="10" a="1"/>
  <c r="B347" i="10"/>
  <c r="B348" i="10" a="1"/>
  <c r="B348" i="10"/>
  <c r="B349" i="10" a="1"/>
  <c r="B349" i="10"/>
  <c r="B350" i="10" a="1"/>
  <c r="B350" i="10"/>
  <c r="B351" i="10" a="1"/>
  <c r="B351" i="10"/>
  <c r="B352" i="10" a="1"/>
  <c r="B352" i="10"/>
  <c r="B353" i="10" a="1"/>
  <c r="B353" i="10"/>
  <c r="B354" i="10" a="1"/>
  <c r="B354" i="10"/>
  <c r="B355" i="10" a="1"/>
  <c r="B355" i="10"/>
  <c r="B356" i="10" a="1"/>
  <c r="B356" i="10"/>
  <c r="B357" i="10" a="1"/>
  <c r="B357" i="10"/>
  <c r="B358" i="10" a="1"/>
  <c r="B358" i="10"/>
  <c r="B359" i="10" a="1"/>
  <c r="B359" i="10"/>
  <c r="B360" i="10" a="1"/>
  <c r="B360" i="10"/>
  <c r="B361" i="10" a="1"/>
  <c r="B361" i="10"/>
  <c r="B362" i="10" a="1"/>
  <c r="B362" i="10"/>
  <c r="B363" i="10" a="1"/>
  <c r="B363" i="10"/>
  <c r="B364" i="10" a="1"/>
  <c r="B364" i="10"/>
  <c r="B365" i="10" a="1"/>
  <c r="B365" i="10"/>
  <c r="B366" i="10" a="1"/>
  <c r="B366" i="10"/>
  <c r="B367" i="10" a="1"/>
  <c r="B367" i="10"/>
  <c r="B368" i="10" a="1"/>
  <c r="B368" i="10"/>
  <c r="B369" i="10" a="1"/>
  <c r="B369" i="10"/>
  <c r="B370" i="10" a="1"/>
  <c r="B370" i="10"/>
  <c r="B371" i="10" a="1"/>
  <c r="B371" i="10"/>
  <c r="B372" i="10" a="1"/>
  <c r="B372" i="10"/>
  <c r="B373" i="10" a="1"/>
  <c r="B373" i="10"/>
  <c r="B374" i="10" a="1"/>
  <c r="B374" i="10"/>
  <c r="B375" i="10" a="1"/>
  <c r="B375" i="10"/>
  <c r="B376" i="10" a="1"/>
  <c r="B376" i="10"/>
  <c r="B377" i="10" a="1"/>
  <c r="B377" i="10"/>
  <c r="B378" i="10" a="1"/>
  <c r="B378" i="10"/>
  <c r="B379" i="10" a="1"/>
  <c r="B379" i="10"/>
  <c r="B380" i="10" a="1"/>
  <c r="B380" i="10"/>
  <c r="B381" i="10" a="1"/>
  <c r="B381" i="10"/>
  <c r="B382" i="10" a="1"/>
  <c r="B382" i="10"/>
  <c r="B383" i="10" a="1"/>
  <c r="B383" i="10"/>
  <c r="B384" i="10" a="1"/>
  <c r="B384" i="10"/>
  <c r="B385" i="10" a="1"/>
  <c r="B385" i="10"/>
  <c r="B386" i="10" a="1"/>
  <c r="B386" i="10"/>
  <c r="B387" i="10" a="1"/>
  <c r="B387" i="10"/>
  <c r="B388" i="10" a="1"/>
  <c r="B388" i="10"/>
  <c r="B389" i="10" a="1"/>
  <c r="B389" i="10"/>
  <c r="B390" i="10" a="1"/>
  <c r="B390" i="10"/>
  <c r="B391" i="10" a="1"/>
  <c r="B391" i="10"/>
  <c r="B392" i="10" a="1"/>
  <c r="B392" i="10"/>
  <c r="B393" i="10" a="1"/>
  <c r="B393" i="10"/>
  <c r="B394" i="10" a="1"/>
  <c r="B394" i="10"/>
  <c r="B395" i="10" a="1"/>
  <c r="B395" i="10"/>
  <c r="B396" i="10" a="1"/>
  <c r="B396" i="10"/>
  <c r="B397" i="10" a="1"/>
  <c r="B397" i="10"/>
  <c r="B398" i="10" a="1"/>
  <c r="B398" i="10"/>
  <c r="B399" i="10" a="1"/>
  <c r="B399" i="10"/>
  <c r="B400" i="10" a="1"/>
  <c r="B400" i="10"/>
  <c r="B401" i="10" a="1"/>
  <c r="B401" i="10"/>
  <c r="B402" i="10" a="1"/>
  <c r="B402" i="10"/>
  <c r="B403" i="10" a="1"/>
  <c r="B403" i="10"/>
  <c r="B404" i="10" a="1"/>
  <c r="B404" i="10"/>
  <c r="B405" i="10" a="1"/>
  <c r="B405" i="10"/>
  <c r="B406" i="10" a="1"/>
  <c r="B406" i="10"/>
  <c r="B407" i="10" a="1"/>
  <c r="B407" i="10"/>
  <c r="B408" i="10" a="1"/>
  <c r="B408" i="10"/>
  <c r="B409" i="10" a="1"/>
  <c r="B409" i="10"/>
  <c r="B410" i="10" a="1"/>
  <c r="B410" i="10" s="1"/>
  <c r="B411" i="10" a="1"/>
  <c r="B411" i="10" s="1"/>
  <c r="B412" i="10" a="1"/>
  <c r="B412" i="10" s="1"/>
  <c r="B413" i="10" a="1"/>
  <c r="B413" i="10"/>
  <c r="B414" i="10" a="1"/>
  <c r="B414" i="10" s="1"/>
  <c r="B415" i="10" a="1"/>
  <c r="B415" i="10" s="1"/>
  <c r="B416" i="10" a="1"/>
  <c r="B416" i="10" s="1"/>
  <c r="B417" i="10" a="1"/>
  <c r="B417" i="10"/>
  <c r="B418" i="10" a="1"/>
  <c r="B418" i="10" s="1"/>
  <c r="B419" i="10" a="1"/>
  <c r="B419" i="10" s="1"/>
  <c r="B420" i="10" a="1"/>
  <c r="B420" i="10" s="1"/>
  <c r="B421" i="10" a="1"/>
  <c r="B421" i="10"/>
  <c r="B422" i="10" a="1"/>
  <c r="B422" i="10" s="1"/>
  <c r="B423" i="10" a="1"/>
  <c r="B423" i="10" s="1"/>
  <c r="B424" i="10" a="1"/>
  <c r="B424" i="10" s="1"/>
  <c r="B425" i="10" a="1"/>
  <c r="B425" i="10"/>
  <c r="B426" i="10" a="1"/>
  <c r="B426" i="10" s="1"/>
  <c r="B427" i="10" a="1"/>
  <c r="B427" i="10" s="1"/>
  <c r="B428" i="10" a="1"/>
  <c r="B428" i="10" s="1"/>
  <c r="B429" i="10" a="1"/>
  <c r="B429" i="10"/>
  <c r="B430" i="10" a="1"/>
  <c r="B430" i="10" s="1"/>
  <c r="B431" i="10" a="1"/>
  <c r="B431" i="10" s="1"/>
  <c r="B432" i="10" a="1"/>
  <c r="B432" i="10" s="1"/>
  <c r="B433" i="10" a="1"/>
  <c r="B433" i="10"/>
  <c r="B434" i="10" a="1"/>
  <c r="B434" i="10" s="1"/>
  <c r="B435" i="10" a="1"/>
  <c r="B435" i="10" s="1"/>
  <c r="B436" i="10" a="1"/>
  <c r="B436" i="10" s="1"/>
  <c r="B437" i="10" a="1"/>
  <c r="B437" i="10"/>
  <c r="B438" i="10" a="1"/>
  <c r="B438" i="10" s="1"/>
  <c r="B439" i="10" a="1"/>
  <c r="B439" i="10" s="1"/>
  <c r="B440" i="10" a="1"/>
  <c r="B440" i="10" s="1"/>
  <c r="B441" i="10" a="1"/>
  <c r="B441" i="10"/>
  <c r="B442" i="10" a="1"/>
  <c r="B442" i="10" s="1"/>
  <c r="B443" i="10" a="1"/>
  <c r="B443" i="10" s="1"/>
  <c r="B444" i="10" a="1"/>
  <c r="B444" i="10" s="1"/>
  <c r="B445" i="10" a="1"/>
  <c r="B445" i="10"/>
  <c r="B446" i="10" a="1"/>
  <c r="B446" i="10" s="1"/>
  <c r="B447" i="10" a="1"/>
  <c r="B447" i="10" s="1"/>
  <c r="B448" i="10" a="1"/>
  <c r="B448" i="10" s="1"/>
  <c r="B449" i="10" a="1"/>
  <c r="B449" i="10"/>
  <c r="B450" i="10" a="1"/>
  <c r="B450" i="10" s="1"/>
  <c r="B451" i="10" a="1"/>
  <c r="B451" i="10" s="1"/>
  <c r="B452" i="10" a="1"/>
  <c r="B452" i="10" s="1"/>
  <c r="B453" i="10" a="1"/>
  <c r="B453" i="10"/>
  <c r="B454" i="10" a="1"/>
  <c r="B454" i="10" s="1"/>
  <c r="B455" i="10" a="1"/>
  <c r="B455" i="10" s="1"/>
  <c r="B456" i="10" a="1"/>
  <c r="B456" i="10" s="1"/>
  <c r="B457" i="10" a="1"/>
  <c r="B457" i="10"/>
  <c r="B458" i="10" a="1"/>
  <c r="B458" i="10" s="1"/>
  <c r="B459" i="10" a="1"/>
  <c r="B459" i="10" s="1"/>
  <c r="B460" i="10" a="1"/>
  <c r="B460" i="10" s="1"/>
  <c r="B461" i="10" a="1"/>
  <c r="B461" i="10"/>
  <c r="B462" i="10" a="1"/>
  <c r="B462" i="10" s="1"/>
  <c r="B463" i="10" a="1"/>
  <c r="B463" i="10" s="1"/>
  <c r="B464" i="10" a="1"/>
  <c r="B464" i="10" s="1"/>
  <c r="B465" i="10" a="1"/>
  <c r="B465" i="10"/>
  <c r="B466" i="10" a="1"/>
  <c r="B466" i="10" s="1"/>
  <c r="B467" i="10" a="1"/>
  <c r="B467" i="10" s="1"/>
  <c r="B468" i="10" a="1"/>
  <c r="B468" i="10" s="1"/>
  <c r="B469" i="10" a="1"/>
  <c r="B469" i="10"/>
  <c r="B470" i="10" a="1"/>
  <c r="B470" i="10" s="1"/>
  <c r="B471" i="10" a="1"/>
  <c r="B471" i="10" s="1"/>
  <c r="B472" i="10" a="1"/>
  <c r="B472" i="10" s="1"/>
  <c r="B473" i="10" a="1"/>
  <c r="B473" i="10"/>
  <c r="B474" i="10" a="1"/>
  <c r="B474" i="10" s="1"/>
  <c r="B475" i="10" a="1"/>
  <c r="B475" i="10" s="1"/>
  <c r="B476" i="10" a="1"/>
  <c r="B476" i="10" s="1"/>
  <c r="B477" i="10" a="1"/>
  <c r="B477" i="10" s="1"/>
  <c r="B478" i="10" a="1"/>
  <c r="B478" i="10"/>
  <c r="B479" i="10" a="1"/>
  <c r="B479" i="10" s="1"/>
  <c r="B480" i="10" a="1"/>
  <c r="B480" i="10" s="1"/>
  <c r="B481" i="10" a="1"/>
  <c r="B481" i="10" s="1"/>
  <c r="B482" i="10" a="1"/>
  <c r="B482" i="10" s="1"/>
  <c r="B483" i="10" a="1"/>
  <c r="B483" i="10" s="1"/>
  <c r="B484" i="10" a="1"/>
  <c r="B484" i="10" s="1"/>
  <c r="B485" i="10" a="1"/>
  <c r="B485" i="10" s="1"/>
  <c r="B486" i="10" a="1"/>
  <c r="B486" i="10"/>
  <c r="B487" i="10" a="1"/>
  <c r="B487" i="10" s="1"/>
  <c r="B488" i="10" a="1"/>
  <c r="B488" i="10" s="1"/>
  <c r="B489" i="10" a="1"/>
  <c r="B489" i="10" s="1"/>
  <c r="B490" i="10" a="1"/>
  <c r="B490" i="10" s="1"/>
  <c r="B491" i="10" a="1"/>
  <c r="B491" i="10" s="1"/>
  <c r="B492" i="10" a="1"/>
  <c r="B492" i="10" s="1"/>
  <c r="B493" i="10" a="1"/>
  <c r="B493" i="10" s="1"/>
  <c r="B494" i="10" a="1"/>
  <c r="B494" i="10"/>
  <c r="B495" i="10" a="1"/>
  <c r="B495" i="10" s="1"/>
  <c r="B496" i="10" a="1"/>
  <c r="B496" i="10" s="1"/>
  <c r="B497" i="10" a="1"/>
  <c r="B497" i="10" s="1"/>
  <c r="B498" i="10" a="1"/>
  <c r="B498" i="10" s="1"/>
  <c r="B499" i="10" a="1"/>
  <c r="B499" i="10" s="1"/>
  <c r="B500" i="10" a="1"/>
  <c r="B500" i="10" s="1"/>
  <c r="B501" i="10" a="1"/>
  <c r="B501" i="10" s="1"/>
  <c r="B502" i="10" a="1"/>
  <c r="B502" i="10"/>
  <c r="B503" i="10" a="1"/>
  <c r="B503" i="10" s="1"/>
  <c r="B504" i="10" a="1"/>
  <c r="B504" i="10" s="1"/>
  <c r="B505" i="10" a="1"/>
  <c r="B505" i="10" s="1"/>
  <c r="B506" i="10" a="1"/>
  <c r="B506" i="10" s="1"/>
  <c r="B507" i="10" a="1"/>
  <c r="B507" i="10" s="1"/>
  <c r="B508" i="10" a="1"/>
  <c r="B508" i="10" s="1"/>
  <c r="B509" i="10" a="1"/>
  <c r="B509" i="10" s="1"/>
  <c r="B510" i="10" a="1"/>
  <c r="B510" i="10"/>
  <c r="B511" i="10" a="1"/>
  <c r="B511" i="10" s="1"/>
  <c r="B512" i="10" a="1"/>
  <c r="B512" i="10" s="1"/>
  <c r="B513" i="10" a="1"/>
  <c r="B513" i="10" s="1"/>
  <c r="B514" i="10" a="1"/>
  <c r="B514" i="10" s="1"/>
  <c r="B515" i="10" a="1"/>
  <c r="B515" i="10" s="1"/>
  <c r="B516" i="10" a="1"/>
  <c r="B516" i="10" s="1"/>
  <c r="B517" i="10" a="1"/>
  <c r="B517" i="10" s="1"/>
  <c r="B518" i="10" a="1"/>
  <c r="B518" i="10"/>
  <c r="B519" i="10" a="1"/>
  <c r="B519" i="10" s="1"/>
  <c r="B520" i="10" a="1"/>
  <c r="B520" i="10" s="1"/>
  <c r="B521" i="10" a="1"/>
  <c r="B521" i="10" s="1"/>
  <c r="B522" i="10" a="1"/>
  <c r="B522" i="10" s="1"/>
  <c r="B523" i="10" a="1"/>
  <c r="B523" i="10" s="1"/>
  <c r="B524" i="10" a="1"/>
  <c r="B524" i="10" s="1"/>
  <c r="B525" i="10" a="1"/>
  <c r="B525" i="10" s="1"/>
  <c r="B526" i="10" a="1"/>
  <c r="B526" i="10"/>
  <c r="B527" i="10" a="1"/>
  <c r="B527" i="10" s="1"/>
  <c r="B528" i="10" a="1"/>
  <c r="B528" i="10" s="1"/>
  <c r="B529" i="10" a="1"/>
  <c r="B529" i="10" s="1"/>
  <c r="B530" i="10" a="1"/>
  <c r="B530" i="10" s="1"/>
  <c r="B531" i="10" a="1"/>
  <c r="B531" i="10" s="1"/>
  <c r="B532" i="10" a="1"/>
  <c r="B532" i="10" s="1"/>
  <c r="B533" i="10" a="1"/>
  <c r="B533" i="10" s="1"/>
  <c r="B534" i="10" a="1"/>
  <c r="B534" i="10"/>
  <c r="B535" i="10" a="1"/>
  <c r="B535" i="10" s="1"/>
  <c r="B536" i="10" a="1"/>
  <c r="B536" i="10" s="1"/>
  <c r="B537" i="10" a="1"/>
  <c r="B537" i="10" s="1"/>
  <c r="B538" i="10" a="1"/>
  <c r="B538" i="10" s="1"/>
  <c r="B539" i="10" a="1"/>
  <c r="B539" i="10" s="1"/>
  <c r="B540" i="10" a="1"/>
  <c r="B540" i="10" s="1"/>
  <c r="B541" i="10" a="1"/>
  <c r="B541" i="10" s="1"/>
  <c r="B542" i="10" a="1"/>
  <c r="B542" i="10"/>
  <c r="B543" i="10" a="1"/>
  <c r="B543" i="10" s="1"/>
  <c r="B544" i="10" a="1"/>
  <c r="B544" i="10" s="1"/>
  <c r="B545" i="10" a="1"/>
  <c r="B545" i="10" s="1"/>
  <c r="B546" i="10" a="1"/>
  <c r="B546" i="10" s="1"/>
  <c r="B547" i="10" a="1"/>
  <c r="B547" i="10" s="1"/>
  <c r="B548" i="10" a="1"/>
  <c r="B548" i="10" s="1"/>
  <c r="B549" i="10" a="1"/>
  <c r="B549" i="10" s="1"/>
  <c r="B550" i="10" a="1"/>
  <c r="B550" i="10"/>
  <c r="B551" i="10" a="1"/>
  <c r="B551" i="10" s="1"/>
  <c r="B552" i="10" a="1"/>
  <c r="B552" i="10" s="1"/>
  <c r="B553" i="10" a="1"/>
  <c r="B553" i="10" s="1"/>
  <c r="B554" i="10" a="1"/>
  <c r="B554" i="10" s="1"/>
  <c r="B555" i="10" a="1"/>
  <c r="B555" i="10" s="1"/>
  <c r="B556" i="10" a="1"/>
  <c r="B556" i="10" s="1"/>
  <c r="B557" i="10" a="1"/>
  <c r="B557" i="10" s="1"/>
  <c r="B558" i="10" a="1"/>
  <c r="B558" i="10"/>
  <c r="B559" i="10" a="1"/>
  <c r="B559" i="10" s="1"/>
  <c r="B560" i="10" a="1"/>
  <c r="B560" i="10" s="1"/>
  <c r="B561" i="10" a="1"/>
  <c r="B561" i="10" s="1"/>
  <c r="B562" i="10" a="1"/>
  <c r="B562" i="10" s="1"/>
  <c r="B563" i="10" a="1"/>
  <c r="B563" i="10" s="1"/>
  <c r="B564" i="10" a="1"/>
  <c r="B564" i="10" s="1"/>
  <c r="B565" i="10" a="1"/>
  <c r="B565" i="10" s="1"/>
  <c r="B566" i="10" a="1"/>
  <c r="B566" i="10"/>
  <c r="B567" i="10" a="1"/>
  <c r="B567" i="10" s="1"/>
  <c r="B568" i="10" a="1"/>
  <c r="B568" i="10" s="1"/>
  <c r="B569" i="10" a="1"/>
  <c r="B569" i="10" s="1"/>
  <c r="B570" i="10" a="1"/>
  <c r="B570" i="10" s="1"/>
  <c r="B571" i="10" a="1"/>
  <c r="B571" i="10" s="1"/>
  <c r="B572" i="10" a="1"/>
  <c r="B572" i="10" s="1"/>
  <c r="B573" i="10" a="1"/>
  <c r="B573" i="10" s="1"/>
  <c r="B574" i="10" a="1"/>
  <c r="B574" i="10"/>
  <c r="B575" i="10" a="1"/>
  <c r="B575" i="10" s="1"/>
  <c r="B576" i="10" a="1"/>
  <c r="B576" i="10" s="1"/>
  <c r="B577" i="10" a="1"/>
  <c r="B577" i="10" s="1"/>
  <c r="B578" i="10" a="1"/>
  <c r="B578" i="10" s="1"/>
  <c r="B579" i="10" a="1"/>
  <c r="B579" i="10" s="1"/>
  <c r="B580" i="10" a="1"/>
  <c r="B580" i="10" s="1"/>
  <c r="B581" i="10" a="1"/>
  <c r="B581" i="10" s="1"/>
  <c r="B582" i="10" a="1"/>
  <c r="B582" i="10"/>
  <c r="B583" i="10" a="1"/>
  <c r="B583" i="10" s="1"/>
  <c r="B584" i="10" a="1"/>
  <c r="B584" i="10" s="1"/>
  <c r="B585" i="10" a="1"/>
  <c r="B585" i="10" s="1"/>
  <c r="B586" i="10" a="1"/>
  <c r="B586" i="10" s="1"/>
  <c r="B587" i="10" a="1"/>
  <c r="B587" i="10" s="1"/>
  <c r="B588" i="10" a="1"/>
  <c r="B588" i="10" s="1"/>
  <c r="B589" i="10" a="1"/>
  <c r="B589" i="10" s="1"/>
  <c r="B590" i="10" a="1"/>
  <c r="B590" i="10"/>
  <c r="B591" i="10" a="1"/>
  <c r="B591" i="10" s="1"/>
  <c r="B592" i="10" a="1"/>
  <c r="B592" i="10" s="1"/>
  <c r="B593" i="10" a="1"/>
  <c r="B593" i="10" s="1"/>
  <c r="B594" i="10" a="1"/>
  <c r="B594" i="10" s="1"/>
  <c r="B595" i="10" a="1"/>
  <c r="B595" i="10" s="1"/>
  <c r="B596" i="10" a="1"/>
  <c r="B596" i="10" s="1"/>
  <c r="B597" i="10" a="1"/>
  <c r="B597" i="10" s="1"/>
  <c r="B598" i="10" a="1"/>
  <c r="B598" i="10"/>
  <c r="B599" i="10" a="1"/>
  <c r="B599" i="10" s="1"/>
  <c r="B600" i="10" a="1"/>
  <c r="B600" i="10" s="1"/>
  <c r="B601" i="10" a="1"/>
  <c r="B601" i="10" s="1"/>
  <c r="B602" i="10" a="1"/>
  <c r="B602" i="10" s="1"/>
  <c r="B603" i="10" a="1"/>
  <c r="B603" i="10" s="1"/>
  <c r="B604" i="10" a="1"/>
  <c r="B604" i="10" s="1"/>
  <c r="B605" i="10" a="1"/>
  <c r="B605" i="10" s="1"/>
  <c r="B606" i="10" a="1"/>
  <c r="B606" i="10"/>
  <c r="B607" i="10" a="1"/>
  <c r="B607" i="10" s="1"/>
  <c r="B608" i="10" a="1"/>
  <c r="B608" i="10" s="1"/>
  <c r="B609" i="10" a="1"/>
  <c r="B609" i="10" s="1"/>
  <c r="B610" i="10" a="1"/>
  <c r="B610" i="10" s="1"/>
  <c r="B611" i="10" a="1"/>
  <c r="B611" i="10" s="1"/>
  <c r="B612" i="10" a="1"/>
  <c r="B612" i="10" s="1"/>
  <c r="B613" i="10" a="1"/>
  <c r="B613" i="10" s="1"/>
  <c r="B614" i="10" a="1"/>
  <c r="B614" i="10"/>
  <c r="B615" i="10" a="1"/>
  <c r="B615" i="10" s="1"/>
  <c r="B616" i="10" a="1"/>
  <c r="B616" i="10" s="1"/>
  <c r="B617" i="10" a="1"/>
  <c r="B617" i="10" s="1"/>
  <c r="B618" i="10" a="1"/>
  <c r="B618" i="10" s="1"/>
  <c r="B619" i="10" a="1"/>
  <c r="B619" i="10" s="1"/>
  <c r="B620" i="10" a="1"/>
  <c r="B620" i="10" s="1"/>
  <c r="B621" i="10" a="1"/>
  <c r="B621" i="10" s="1"/>
  <c r="B622" i="10" a="1"/>
  <c r="B622" i="10"/>
  <c r="B623" i="10" a="1"/>
  <c r="B623" i="10" s="1"/>
  <c r="B624" i="10" a="1"/>
  <c r="B624" i="10" s="1"/>
  <c r="B625" i="10" a="1"/>
  <c r="B625" i="10" s="1"/>
  <c r="B626" i="10" a="1"/>
  <c r="B626" i="10" s="1"/>
  <c r="B627" i="10" a="1"/>
  <c r="B627" i="10" s="1"/>
  <c r="B628" i="10" a="1"/>
  <c r="B628" i="10" s="1"/>
  <c r="B629" i="10" a="1"/>
  <c r="B629" i="10" s="1"/>
  <c r="B630" i="10" a="1"/>
  <c r="B630" i="10"/>
  <c r="B631" i="10" a="1"/>
  <c r="B631" i="10" s="1"/>
  <c r="B632" i="10" a="1"/>
  <c r="B632" i="10" s="1"/>
  <c r="B633" i="10" a="1"/>
  <c r="B633" i="10" s="1"/>
  <c r="B634" i="10" a="1"/>
  <c r="B634" i="10" s="1"/>
  <c r="B635" i="10" a="1"/>
  <c r="B635" i="10" s="1"/>
  <c r="B636" i="10" a="1"/>
  <c r="B636" i="10" s="1"/>
  <c r="B637" i="10" a="1"/>
  <c r="B637" i="10" s="1"/>
  <c r="B638" i="10" a="1"/>
  <c r="B638" i="10"/>
  <c r="B639" i="10" a="1"/>
  <c r="B639" i="10" s="1"/>
  <c r="B640" i="10" a="1"/>
  <c r="B640" i="10" s="1"/>
  <c r="B641" i="10" a="1"/>
  <c r="B641" i="10" s="1"/>
  <c r="B642" i="10" a="1"/>
  <c r="B642" i="10" s="1"/>
  <c r="B643" i="10" a="1"/>
  <c r="B643" i="10" s="1"/>
  <c r="B644" i="10" a="1"/>
  <c r="B644" i="10" s="1"/>
  <c r="B645" i="10" a="1"/>
  <c r="B645" i="10" s="1"/>
  <c r="B646" i="10" a="1"/>
  <c r="B646" i="10"/>
  <c r="B647" i="10" a="1"/>
  <c r="B647" i="10" s="1"/>
  <c r="B648" i="10" a="1"/>
  <c r="B648" i="10" s="1"/>
  <c r="B649" i="10" a="1"/>
  <c r="B649" i="10" s="1"/>
  <c r="B650" i="10" a="1"/>
  <c r="B650" i="10" s="1"/>
  <c r="B651" i="10" a="1"/>
  <c r="B651" i="10" s="1"/>
  <c r="B652" i="10" a="1"/>
  <c r="B652" i="10" s="1"/>
  <c r="B653" i="10" a="1"/>
  <c r="B653" i="10" s="1"/>
  <c r="B654" i="10" a="1"/>
  <c r="B654" i="10"/>
  <c r="B655" i="10" a="1"/>
  <c r="B655" i="10" s="1"/>
  <c r="B656" i="10" a="1"/>
  <c r="B656" i="10" s="1"/>
  <c r="B657" i="10" a="1"/>
  <c r="B657" i="10" s="1"/>
  <c r="B658" i="10" a="1"/>
  <c r="B658" i="10" s="1"/>
  <c r="B659" i="10" a="1"/>
  <c r="B659" i="10" s="1"/>
  <c r="B660" i="10" a="1"/>
  <c r="B660" i="10" s="1"/>
  <c r="B661" i="10" a="1"/>
  <c r="B661" i="10" s="1"/>
  <c r="B662" i="10" a="1"/>
  <c r="B662" i="10"/>
  <c r="B663" i="10" a="1"/>
  <c r="B663" i="10" s="1"/>
  <c r="B664" i="10" a="1"/>
  <c r="B664" i="10" s="1"/>
  <c r="B665" i="10" a="1"/>
  <c r="B665" i="10" s="1"/>
  <c r="B666" i="10" a="1"/>
  <c r="B666" i="10" s="1"/>
  <c r="B667" i="10" a="1"/>
  <c r="B667" i="10" s="1"/>
  <c r="B668" i="10" a="1"/>
  <c r="B668" i="10" s="1"/>
  <c r="B669" i="10" a="1"/>
  <c r="B669" i="10" s="1"/>
  <c r="B670" i="10" a="1"/>
  <c r="B670" i="10"/>
  <c r="B671" i="10" a="1"/>
  <c r="B671" i="10" s="1"/>
  <c r="B672" i="10" a="1"/>
  <c r="B672" i="10" s="1"/>
  <c r="B673" i="10" a="1"/>
  <c r="B673" i="10" s="1"/>
  <c r="B674" i="10" a="1"/>
  <c r="B674" i="10" s="1"/>
  <c r="B675" i="10" a="1"/>
  <c r="B675" i="10" s="1"/>
  <c r="B676" i="10" a="1"/>
  <c r="B676" i="10" s="1"/>
  <c r="B677" i="10" a="1"/>
  <c r="B677" i="10" s="1"/>
  <c r="B678" i="10" a="1"/>
  <c r="B678" i="10"/>
  <c r="B679" i="10" a="1"/>
  <c r="B679" i="10" s="1"/>
  <c r="B680" i="10" a="1"/>
  <c r="B680" i="10" s="1"/>
  <c r="B681" i="10" a="1"/>
  <c r="B681" i="10" s="1"/>
  <c r="B682" i="10" a="1"/>
  <c r="B682" i="10" s="1"/>
  <c r="B683" i="10" a="1"/>
  <c r="B683" i="10" s="1"/>
  <c r="B684" i="10" a="1"/>
  <c r="B684" i="10" s="1"/>
  <c r="B685" i="10" a="1"/>
  <c r="B685" i="10" s="1"/>
  <c r="B686" i="10" a="1"/>
  <c r="B686" i="10"/>
  <c r="B687" i="10" a="1"/>
  <c r="B687" i="10" s="1"/>
  <c r="B688" i="10" a="1"/>
  <c r="B688" i="10" s="1"/>
  <c r="B689" i="10" a="1"/>
  <c r="B689" i="10" s="1"/>
  <c r="B690" i="10" a="1"/>
  <c r="B690" i="10" s="1"/>
  <c r="B691" i="10" a="1"/>
  <c r="B691" i="10" s="1"/>
  <c r="B692" i="10" a="1"/>
  <c r="B692" i="10" s="1"/>
  <c r="B693" i="10" a="1"/>
  <c r="B693" i="10" s="1"/>
  <c r="B694" i="10" a="1"/>
  <c r="B694" i="10"/>
  <c r="B695" i="10" a="1"/>
  <c r="B695" i="10" s="1"/>
  <c r="B696" i="10" a="1"/>
  <c r="B696" i="10" s="1"/>
  <c r="B697" i="10" a="1"/>
  <c r="B697" i="10" s="1"/>
  <c r="B698" i="10" a="1"/>
  <c r="B698" i="10" s="1"/>
  <c r="B699" i="10" a="1"/>
  <c r="B699" i="10" s="1"/>
  <c r="B700" i="10" a="1"/>
  <c r="B700" i="10" s="1"/>
  <c r="B701" i="10" a="1"/>
  <c r="B701" i="10" s="1"/>
  <c r="B702" i="10" a="1"/>
  <c r="B702" i="10"/>
  <c r="B703" i="10" a="1"/>
  <c r="B703" i="10" s="1"/>
  <c r="B704" i="10" a="1"/>
  <c r="B704" i="10" s="1"/>
  <c r="B705" i="10" a="1"/>
  <c r="B705" i="10" s="1"/>
  <c r="B706" i="10" a="1"/>
  <c r="B706" i="10" s="1"/>
  <c r="B707" i="10" a="1"/>
  <c r="B707" i="10" s="1"/>
  <c r="B708" i="10" a="1"/>
  <c r="B708" i="10" s="1"/>
  <c r="B709" i="10" a="1"/>
  <c r="B709" i="10" s="1"/>
  <c r="B710" i="10" a="1"/>
  <c r="B710" i="10"/>
  <c r="B711" i="10" a="1"/>
  <c r="B711" i="10" s="1"/>
  <c r="B712" i="10" a="1"/>
  <c r="B712" i="10" s="1"/>
  <c r="B713" i="10" a="1"/>
  <c r="B713" i="10" s="1"/>
  <c r="B714" i="10" a="1"/>
  <c r="B714" i="10" s="1"/>
  <c r="B715" i="10" a="1"/>
  <c r="B715" i="10" s="1"/>
  <c r="B716" i="10" a="1"/>
  <c r="B716" i="10" s="1"/>
  <c r="B717" i="10" a="1"/>
  <c r="B717" i="10" s="1"/>
  <c r="B718" i="10" a="1"/>
  <c r="B718" i="10"/>
  <c r="B719" i="10" a="1"/>
  <c r="B719" i="10" s="1"/>
  <c r="B720" i="10" a="1"/>
  <c r="B720" i="10" s="1"/>
  <c r="B721" i="10" a="1"/>
  <c r="B721" i="10" s="1"/>
  <c r="B722" i="10" a="1"/>
  <c r="B722" i="10" s="1"/>
  <c r="B723" i="10" a="1"/>
  <c r="B723" i="10" s="1"/>
  <c r="B724" i="10" a="1"/>
  <c r="B724" i="10" s="1"/>
  <c r="B725" i="10" a="1"/>
  <c r="B725" i="10" s="1"/>
  <c r="B726" i="10" a="1"/>
  <c r="B726" i="10"/>
  <c r="B727" i="10" a="1"/>
  <c r="B727" i="10" s="1"/>
  <c r="B728" i="10" a="1"/>
  <c r="B728" i="10" s="1"/>
  <c r="B729" i="10" a="1"/>
  <c r="B729" i="10" s="1"/>
  <c r="B730" i="10" a="1"/>
  <c r="B730" i="10" s="1"/>
  <c r="B731" i="10" a="1"/>
  <c r="B731" i="10" s="1"/>
  <c r="B732" i="10" a="1"/>
  <c r="B732" i="10" s="1"/>
  <c r="B733" i="10" a="1"/>
  <c r="B733" i="10" s="1"/>
  <c r="B734" i="10" a="1"/>
  <c r="B734" i="10"/>
  <c r="B735" i="10" a="1"/>
  <c r="B735" i="10" s="1"/>
  <c r="B736" i="10" a="1"/>
  <c r="B736" i="10" s="1"/>
  <c r="B737" i="10" a="1"/>
  <c r="B737" i="10" s="1"/>
  <c r="B738" i="10" a="1"/>
  <c r="B738" i="10" s="1"/>
  <c r="B739" i="10" a="1"/>
  <c r="B739" i="10" s="1"/>
  <c r="B740" i="10" a="1"/>
  <c r="B740" i="10" s="1"/>
  <c r="B741" i="10" a="1"/>
  <c r="B741" i="10" s="1"/>
  <c r="B742" i="10" a="1"/>
  <c r="B742" i="10"/>
  <c r="B743" i="10" a="1"/>
  <c r="B743" i="10" s="1"/>
  <c r="B744" i="10" a="1"/>
  <c r="B744" i="10" s="1"/>
  <c r="B745" i="10" a="1"/>
  <c r="B745" i="10" s="1"/>
  <c r="B746" i="10" a="1"/>
  <c r="B746" i="10" s="1"/>
  <c r="B747" i="10" a="1"/>
  <c r="B747" i="10" s="1"/>
  <c r="B748" i="10" a="1"/>
  <c r="B748" i="10" s="1"/>
  <c r="B749" i="10" a="1"/>
  <c r="B749" i="10" s="1"/>
  <c r="B750" i="10" a="1"/>
  <c r="B750" i="10"/>
  <c r="B751" i="10" a="1"/>
  <c r="B751" i="10" s="1"/>
  <c r="B752" i="10" a="1"/>
  <c r="B752" i="10" s="1"/>
  <c r="B753" i="10" a="1"/>
  <c r="B753" i="10" s="1"/>
  <c r="B754" i="10" a="1"/>
  <c r="B754" i="10" s="1"/>
  <c r="B755" i="10" a="1"/>
  <c r="B755" i="10" s="1"/>
  <c r="B756" i="10" a="1"/>
  <c r="B756" i="10" s="1"/>
  <c r="B757" i="10" a="1"/>
  <c r="B757" i="10" s="1"/>
  <c r="B758" i="10" a="1"/>
  <c r="B758" i="10"/>
  <c r="B759" i="10" a="1"/>
  <c r="B759" i="10" s="1"/>
  <c r="B760" i="10" a="1"/>
  <c r="B760" i="10" s="1"/>
  <c r="B761" i="10" a="1"/>
  <c r="B761" i="10" s="1"/>
  <c r="B762" i="10" a="1"/>
  <c r="B762" i="10" s="1"/>
  <c r="B763" i="10" a="1"/>
  <c r="B763" i="10" s="1"/>
  <c r="B764" i="10" a="1"/>
  <c r="B764" i="10" s="1"/>
  <c r="B765" i="10" a="1"/>
  <c r="B765" i="10" s="1"/>
  <c r="B766" i="10" a="1"/>
  <c r="B766" i="10"/>
  <c r="B767" i="10" a="1"/>
  <c r="B767" i="10" s="1"/>
  <c r="B768" i="10" a="1"/>
  <c r="B768" i="10" s="1"/>
  <c r="B769" i="10" a="1"/>
  <c r="B769" i="10" s="1"/>
  <c r="B770" i="10" a="1"/>
  <c r="B770" i="10" s="1"/>
  <c r="B771" i="10" a="1"/>
  <c r="B771" i="10" s="1"/>
  <c r="B772" i="10" a="1"/>
  <c r="B772" i="10" s="1"/>
  <c r="B773" i="10" a="1"/>
  <c r="B773" i="10" s="1"/>
  <c r="B774" i="10" a="1"/>
  <c r="B774" i="10"/>
  <c r="B775" i="10" a="1"/>
  <c r="B775" i="10" s="1"/>
  <c r="B776" i="10" a="1"/>
  <c r="B776" i="10" s="1"/>
  <c r="B777" i="10" a="1"/>
  <c r="B777" i="10" s="1"/>
  <c r="B778" i="10" a="1"/>
  <c r="B778" i="10" s="1"/>
  <c r="B779" i="10" a="1"/>
  <c r="B779" i="10" s="1"/>
  <c r="B780" i="10" a="1"/>
  <c r="B780" i="10" s="1"/>
  <c r="B781" i="10" a="1"/>
  <c r="B781" i="10" s="1"/>
  <c r="B782" i="10" a="1"/>
  <c r="B782" i="10"/>
  <c r="B783" i="10" a="1"/>
  <c r="B783" i="10" s="1"/>
  <c r="B784" i="10" a="1"/>
  <c r="B784" i="10" s="1"/>
  <c r="B785" i="10" a="1"/>
  <c r="B785" i="10" s="1"/>
  <c r="B786" i="10" a="1"/>
  <c r="B786" i="10" s="1"/>
  <c r="B787" i="10" a="1"/>
  <c r="B787" i="10" s="1"/>
  <c r="B788" i="10" a="1"/>
  <c r="B788" i="10" s="1"/>
  <c r="B789" i="10" a="1"/>
  <c r="B789" i="10" s="1"/>
  <c r="B790" i="10" a="1"/>
  <c r="B790" i="10"/>
  <c r="B791" i="10" a="1"/>
  <c r="B791" i="10" s="1"/>
  <c r="B792" i="10" a="1"/>
  <c r="B792" i="10" s="1"/>
  <c r="B793" i="10" a="1"/>
  <c r="B793" i="10" s="1"/>
  <c r="B794" i="10" a="1"/>
  <c r="B794" i="10" s="1"/>
  <c r="B795" i="10" a="1"/>
  <c r="B795" i="10" s="1"/>
  <c r="B796" i="10" a="1"/>
  <c r="B796" i="10" s="1"/>
  <c r="B797" i="10" a="1"/>
  <c r="B797" i="10" s="1"/>
  <c r="B798" i="10" a="1"/>
  <c r="B798" i="10"/>
  <c r="B799" i="10" a="1"/>
  <c r="B799" i="10" s="1"/>
  <c r="B800" i="10" a="1"/>
  <c r="B800" i="10" s="1"/>
  <c r="B801" i="10" a="1"/>
  <c r="B801" i="10" s="1"/>
  <c r="B802" i="10" a="1"/>
  <c r="B802" i="10" s="1"/>
  <c r="B803" i="10" a="1"/>
  <c r="B803" i="10" s="1"/>
  <c r="B804" i="10" a="1"/>
  <c r="B804" i="10" s="1"/>
  <c r="B805" i="10" a="1"/>
  <c r="B805" i="10" s="1"/>
  <c r="B806" i="10" a="1"/>
  <c r="B806" i="10"/>
  <c r="B807" i="10" a="1"/>
  <c r="B807" i="10" s="1"/>
  <c r="B808" i="10" a="1"/>
  <c r="B808" i="10" s="1"/>
  <c r="B809" i="10" a="1"/>
  <c r="B809" i="10" s="1"/>
  <c r="B810" i="10" a="1"/>
  <c r="B810" i="10" s="1"/>
  <c r="B811" i="10" a="1"/>
  <c r="B811" i="10" s="1"/>
  <c r="B812" i="10" a="1"/>
  <c r="B812" i="10" s="1"/>
  <c r="B813" i="10" a="1"/>
  <c r="B813" i="10" s="1"/>
  <c r="B814" i="10" a="1"/>
  <c r="B814" i="10"/>
  <c r="B815" i="10" a="1"/>
  <c r="B815" i="10" s="1"/>
  <c r="B816" i="10" a="1"/>
  <c r="B816" i="10" s="1"/>
  <c r="B817" i="10" a="1"/>
  <c r="B817" i="10" s="1"/>
  <c r="B818" i="10" a="1"/>
  <c r="B818" i="10"/>
  <c r="B819" i="10" a="1"/>
  <c r="B819" i="10" s="1"/>
  <c r="B820" i="10" a="1"/>
  <c r="B820" i="10" s="1"/>
  <c r="B821" i="10" a="1"/>
  <c r="B821" i="10" s="1"/>
  <c r="B822" i="10" a="1"/>
  <c r="B822" i="10"/>
  <c r="B823" i="10" a="1"/>
  <c r="B823" i="10" s="1"/>
  <c r="B824" i="10" a="1"/>
  <c r="B824" i="10" s="1"/>
  <c r="B825" i="10" a="1"/>
  <c r="B825" i="10" s="1"/>
  <c r="B826" i="10" a="1"/>
  <c r="B826" i="10"/>
  <c r="B827" i="10" a="1"/>
  <c r="B827" i="10" s="1"/>
  <c r="B828" i="10" a="1"/>
  <c r="B828" i="10" s="1"/>
  <c r="B829" i="10" a="1"/>
  <c r="B829" i="10" s="1"/>
  <c r="B830" i="10" a="1"/>
  <c r="B830" i="10"/>
  <c r="B831" i="10" a="1"/>
  <c r="B831" i="10" s="1"/>
  <c r="B832" i="10" a="1"/>
  <c r="B832" i="10" s="1"/>
  <c r="B833" i="10" a="1"/>
  <c r="B833" i="10" s="1"/>
  <c r="B834" i="10" a="1"/>
  <c r="B834" i="10"/>
  <c r="B835" i="10" a="1"/>
  <c r="B835" i="10" s="1"/>
  <c r="B836" i="10" a="1"/>
  <c r="B836" i="10" s="1"/>
  <c r="B837" i="10" a="1"/>
  <c r="B837" i="10" s="1"/>
  <c r="B838" i="10" a="1"/>
  <c r="B838" i="10"/>
  <c r="B839" i="10" a="1"/>
  <c r="B839" i="10" s="1"/>
  <c r="B840" i="10" a="1"/>
  <c r="B840" i="10" s="1"/>
  <c r="B841" i="10" a="1"/>
  <c r="B841" i="10" s="1"/>
  <c r="B842" i="10" a="1"/>
  <c r="B842" i="10"/>
  <c r="B843" i="10" a="1"/>
  <c r="B843" i="10" s="1"/>
  <c r="B844" i="10" a="1"/>
  <c r="B844" i="10" s="1"/>
  <c r="B845" i="10" a="1"/>
  <c r="B845" i="10" s="1"/>
  <c r="B846" i="10" a="1"/>
  <c r="B846" i="10"/>
  <c r="B847" i="10" a="1"/>
  <c r="B847" i="10" s="1"/>
  <c r="B848" i="10" a="1"/>
  <c r="B848" i="10" s="1"/>
  <c r="B849" i="10" a="1"/>
  <c r="B849" i="10" s="1"/>
  <c r="B850" i="10" a="1"/>
  <c r="B850" i="10"/>
  <c r="B851" i="10" a="1"/>
  <c r="B851" i="10" s="1"/>
  <c r="B852" i="10" a="1"/>
  <c r="B852" i="10" s="1"/>
  <c r="B853" i="10" a="1"/>
  <c r="B853" i="10" s="1"/>
  <c r="B854" i="10" a="1"/>
  <c r="B854" i="10"/>
  <c r="B855" i="10" a="1"/>
  <c r="B855" i="10" s="1"/>
  <c r="B856" i="10" a="1"/>
  <c r="B856" i="10" s="1"/>
  <c r="B857" i="10" a="1"/>
  <c r="B857" i="10" s="1"/>
  <c r="B858" i="10" a="1"/>
  <c r="B858" i="10"/>
  <c r="B859" i="10" a="1"/>
  <c r="B859" i="10" s="1"/>
  <c r="B860" i="10" a="1"/>
  <c r="B860" i="10" s="1"/>
  <c r="B861" i="10" a="1"/>
  <c r="B861" i="10" s="1"/>
  <c r="B862" i="10" a="1"/>
  <c r="B862" i="10"/>
  <c r="B863" i="10" a="1"/>
  <c r="B863" i="10" s="1"/>
  <c r="B864" i="10" a="1"/>
  <c r="B864" i="10" s="1"/>
  <c r="B865" i="10" a="1"/>
  <c r="B865" i="10" s="1"/>
  <c r="B866" i="10" a="1"/>
  <c r="B866" i="10"/>
  <c r="B867" i="10" a="1"/>
  <c r="B867" i="10" s="1"/>
  <c r="B868" i="10" a="1"/>
  <c r="B868" i="10" s="1"/>
  <c r="B869" i="10" a="1"/>
  <c r="B869" i="10" s="1"/>
  <c r="B870" i="10" a="1"/>
  <c r="B870" i="10"/>
  <c r="B871" i="10" a="1"/>
  <c r="B871" i="10" s="1"/>
  <c r="B872" i="10" a="1"/>
  <c r="B872" i="10" s="1"/>
  <c r="B873" i="10" a="1"/>
  <c r="B873" i="10" s="1"/>
  <c r="B874" i="10" a="1"/>
  <c r="B874" i="10"/>
  <c r="B875" i="10" a="1"/>
  <c r="B875" i="10" s="1"/>
  <c r="B876" i="10" a="1"/>
  <c r="B876" i="10" s="1"/>
  <c r="B877" i="10" a="1"/>
  <c r="B877" i="10" s="1"/>
  <c r="B878" i="10" a="1"/>
  <c r="B878" i="10"/>
  <c r="B879" i="10" a="1"/>
  <c r="B879" i="10" s="1"/>
  <c r="B880" i="10" a="1"/>
  <c r="B880" i="10" s="1"/>
  <c r="B881" i="10" a="1"/>
  <c r="B881" i="10" s="1"/>
  <c r="B882" i="10" a="1"/>
  <c r="B882" i="10"/>
  <c r="B883" i="10" a="1"/>
  <c r="B883" i="10" s="1"/>
  <c r="B884" i="10" a="1"/>
  <c r="B884" i="10" s="1"/>
  <c r="B885" i="10" a="1"/>
  <c r="B885" i="10" s="1"/>
  <c r="B886" i="10" a="1"/>
  <c r="B886" i="10"/>
  <c r="B887" i="10" a="1"/>
  <c r="B887" i="10" s="1"/>
  <c r="B888" i="10" a="1"/>
  <c r="B888" i="10"/>
  <c r="B889" i="10" a="1"/>
  <c r="B889" i="10" s="1"/>
  <c r="B890" i="10" a="1"/>
  <c r="B890" i="10"/>
  <c r="B891" i="10" a="1"/>
  <c r="B891" i="10" s="1"/>
  <c r="B892" i="10" a="1"/>
  <c r="B892" i="10"/>
  <c r="B893" i="10" a="1"/>
  <c r="B893" i="10" s="1"/>
  <c r="B894" i="10" a="1"/>
  <c r="B894" i="10"/>
  <c r="B895" i="10" a="1"/>
  <c r="B895" i="10" s="1"/>
  <c r="B896" i="10" a="1"/>
  <c r="B896" i="10"/>
  <c r="B897" i="10" a="1"/>
  <c r="B897" i="10" s="1"/>
  <c r="B898" i="10" a="1"/>
  <c r="B898" i="10"/>
  <c r="B899" i="10" a="1"/>
  <c r="B899" i="10" s="1"/>
  <c r="B900" i="10" a="1"/>
  <c r="B900" i="10"/>
  <c r="B901" i="10" a="1"/>
  <c r="B901" i="10" s="1"/>
  <c r="B902" i="10" a="1"/>
  <c r="B902" i="10"/>
  <c r="B903" i="10" a="1"/>
  <c r="B903" i="10" s="1"/>
  <c r="B904" i="10" a="1"/>
  <c r="B904" i="10"/>
  <c r="B905" i="10" a="1"/>
  <c r="B905" i="10" s="1"/>
  <c r="B906" i="10" a="1"/>
  <c r="B906" i="10"/>
  <c r="B907" i="10" a="1"/>
  <c r="B907" i="10" s="1"/>
  <c r="B908" i="10" a="1"/>
  <c r="B908" i="10"/>
  <c r="B909" i="10" a="1"/>
  <c r="B909" i="10" s="1"/>
  <c r="B910" i="10" a="1"/>
  <c r="B910" i="10"/>
  <c r="B911" i="10" a="1"/>
  <c r="B911" i="10" s="1"/>
  <c r="B912" i="10" a="1"/>
  <c r="B912" i="10"/>
  <c r="B913" i="10" a="1"/>
  <c r="B913" i="10" s="1"/>
  <c r="B914" i="10" a="1"/>
  <c r="B914" i="10"/>
  <c r="B915" i="10" a="1"/>
  <c r="B915" i="10" s="1"/>
  <c r="B916" i="10" a="1"/>
  <c r="B916" i="10"/>
  <c r="B917" i="10" a="1"/>
  <c r="B917" i="10" s="1"/>
  <c r="B918" i="10" a="1"/>
  <c r="B918" i="10"/>
  <c r="B919" i="10" a="1"/>
  <c r="B919" i="10" s="1"/>
  <c r="B920" i="10" a="1"/>
  <c r="B920" i="10"/>
  <c r="B921" i="10" a="1"/>
  <c r="B921" i="10" s="1"/>
  <c r="B922" i="10" a="1"/>
  <c r="B922" i="10"/>
  <c r="B923" i="10" a="1"/>
  <c r="B923" i="10" s="1"/>
  <c r="B924" i="10" a="1"/>
  <c r="B924" i="10"/>
  <c r="B925" i="10" a="1"/>
  <c r="B925" i="10" s="1"/>
  <c r="B926" i="10" a="1"/>
  <c r="B926" i="10"/>
  <c r="B927" i="10" a="1"/>
  <c r="B927" i="10" s="1"/>
  <c r="B928" i="10" a="1"/>
  <c r="B928" i="10"/>
  <c r="B929" i="10" a="1"/>
  <c r="B929" i="10" s="1"/>
  <c r="B930" i="10" a="1"/>
  <c r="B930" i="10"/>
  <c r="B931" i="10" a="1"/>
  <c r="B931" i="10" s="1"/>
  <c r="B932" i="10" a="1"/>
  <c r="B932" i="10"/>
  <c r="B933" i="10" a="1"/>
  <c r="B933" i="10" s="1"/>
  <c r="B934" i="10" a="1"/>
  <c r="B934" i="10"/>
  <c r="B935" i="10" a="1"/>
  <c r="B935" i="10" s="1"/>
  <c r="B936" i="10" a="1"/>
  <c r="B936" i="10"/>
  <c r="B937" i="10" a="1"/>
  <c r="B937" i="10" s="1"/>
  <c r="B938" i="10" a="1"/>
  <c r="B938" i="10"/>
  <c r="B939" i="10" a="1"/>
  <c r="B939" i="10" s="1"/>
  <c r="B940" i="10" a="1"/>
  <c r="B940" i="10"/>
  <c r="B941" i="10" a="1"/>
  <c r="B941" i="10" s="1"/>
  <c r="B942" i="10" a="1"/>
  <c r="B942" i="10"/>
  <c r="B943" i="10" a="1"/>
  <c r="B943" i="10" s="1"/>
  <c r="B944" i="10" a="1"/>
  <c r="B944" i="10"/>
  <c r="B945" i="10" a="1"/>
  <c r="B945" i="10" s="1"/>
  <c r="B946" i="10" a="1"/>
  <c r="B946" i="10"/>
  <c r="B947" i="10" a="1"/>
  <c r="B947" i="10" s="1"/>
  <c r="B948" i="10" a="1"/>
  <c r="B948" i="10"/>
  <c r="B949" i="10" a="1"/>
  <c r="B949" i="10" s="1"/>
  <c r="B950" i="10" a="1"/>
  <c r="B950" i="10"/>
  <c r="B951" i="10" a="1"/>
  <c r="B951" i="10" s="1"/>
  <c r="B952" i="10" a="1"/>
  <c r="B952" i="10"/>
  <c r="B953" i="10" a="1"/>
  <c r="B953" i="10" s="1"/>
  <c r="B954" i="10" a="1"/>
  <c r="B954" i="10"/>
  <c r="B955" i="10" a="1"/>
  <c r="B955" i="10" s="1"/>
  <c r="B956" i="10" a="1"/>
  <c r="B956" i="10"/>
  <c r="B957" i="10" a="1"/>
  <c r="B957" i="10" s="1"/>
  <c r="B958" i="10" a="1"/>
  <c r="B958" i="10"/>
  <c r="B959" i="10" a="1"/>
  <c r="B959" i="10" s="1"/>
  <c r="B960" i="10" a="1"/>
  <c r="B960" i="10"/>
  <c r="B961" i="10" a="1"/>
  <c r="B961" i="10" s="1"/>
  <c r="B962" i="10" a="1"/>
  <c r="B962" i="10"/>
  <c r="B963" i="10" a="1"/>
  <c r="B963" i="10" s="1"/>
  <c r="B964" i="10" a="1"/>
  <c r="B964" i="10"/>
  <c r="B965" i="10" a="1"/>
  <c r="B965" i="10" s="1"/>
  <c r="B966" i="10" a="1"/>
  <c r="B966" i="10"/>
  <c r="B967" i="10" a="1"/>
  <c r="B967" i="10" s="1"/>
  <c r="B968" i="10" a="1"/>
  <c r="B968" i="10"/>
  <c r="B969" i="10" a="1"/>
  <c r="B969" i="10" s="1"/>
  <c r="B970" i="10" a="1"/>
  <c r="B970" i="10"/>
  <c r="B971" i="10" a="1"/>
  <c r="B971" i="10" s="1"/>
  <c r="B972" i="10" a="1"/>
  <c r="B972" i="10"/>
  <c r="B973" i="10" a="1"/>
  <c r="B973" i="10" s="1"/>
  <c r="B974" i="10" a="1"/>
  <c r="B974" i="10"/>
  <c r="B975" i="10" a="1"/>
  <c r="B975" i="10" s="1"/>
  <c r="B976" i="10" a="1"/>
  <c r="B976" i="10"/>
  <c r="B977" i="10" a="1"/>
  <c r="B977" i="10" s="1"/>
  <c r="B978" i="10" a="1"/>
  <c r="B978" i="10"/>
  <c r="B979" i="10" a="1"/>
  <c r="B979" i="10" s="1"/>
  <c r="B980" i="10" a="1"/>
  <c r="B980" i="10"/>
  <c r="B981" i="10" a="1"/>
  <c r="B981" i="10" s="1"/>
  <c r="B982" i="10" a="1"/>
  <c r="B982" i="10"/>
  <c r="B983" i="10" a="1"/>
  <c r="B983" i="10" s="1"/>
  <c r="B984" i="10" a="1"/>
  <c r="B984" i="10"/>
  <c r="B985" i="10" a="1"/>
  <c r="B985" i="10" s="1"/>
  <c r="B986" i="10" a="1"/>
  <c r="B986" i="10"/>
  <c r="B987" i="10" a="1"/>
  <c r="B987" i="10" s="1"/>
  <c r="B988" i="10" a="1"/>
  <c r="B988" i="10"/>
  <c r="B989" i="10" a="1"/>
  <c r="B989" i="10" s="1"/>
  <c r="B990" i="10" a="1"/>
  <c r="B990" i="10"/>
  <c r="B991" i="10" a="1"/>
  <c r="B991" i="10" s="1"/>
  <c r="B992" i="10" a="1"/>
  <c r="B992" i="10"/>
  <c r="B993" i="10" a="1"/>
  <c r="B993" i="10" s="1"/>
  <c r="B994" i="10" a="1"/>
  <c r="B994" i="10"/>
  <c r="B995" i="10" a="1"/>
  <c r="B995" i="10" s="1"/>
  <c r="B996" i="10" a="1"/>
  <c r="B996" i="10"/>
  <c r="B997" i="10" a="1"/>
  <c r="B997" i="10" s="1"/>
  <c r="B998" i="10" a="1"/>
  <c r="B998" i="10"/>
  <c r="B999" i="10" a="1"/>
  <c r="B999" i="10" s="1"/>
  <c r="B1000" i="10" a="1"/>
  <c r="B1000" i="10"/>
  <c r="B1001" i="10" a="1"/>
  <c r="B1001" i="10" s="1"/>
  <c r="B1002" i="10" a="1"/>
  <c r="B1002" i="10"/>
  <c r="B1003" i="10" a="1"/>
  <c r="B1003" i="10" s="1"/>
  <c r="B1004" i="10" a="1"/>
  <c r="B1004" i="10"/>
  <c r="B3" i="10"/>
  <c r="A2" i="10"/>
  <c r="A2" i="9"/>
  <c r="B3" i="9"/>
  <c r="H995" i="8"/>
  <c r="H996" i="8"/>
  <c r="H997" i="8"/>
  <c r="H998" i="8"/>
  <c r="H999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" i="4"/>
  <c r="H10" i="4"/>
  <c r="H11" i="4"/>
  <c r="H12" i="4"/>
  <c r="H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H289" i="4"/>
  <c r="I289" i="4"/>
  <c r="H290" i="4"/>
  <c r="I290" i="4"/>
  <c r="H291" i="4"/>
  <c r="I291" i="4"/>
  <c r="H292" i="4"/>
  <c r="I292" i="4"/>
  <c r="H293" i="4"/>
  <c r="I293" i="4"/>
  <c r="H294" i="4"/>
  <c r="I294" i="4"/>
  <c r="H295" i="4"/>
  <c r="I295" i="4"/>
  <c r="H296" i="4"/>
  <c r="I296" i="4"/>
  <c r="H297" i="4"/>
  <c r="I297" i="4"/>
  <c r="H298" i="4"/>
  <c r="I298" i="4"/>
  <c r="H299" i="4"/>
  <c r="I299" i="4"/>
  <c r="H300" i="4"/>
  <c r="I300" i="4"/>
  <c r="H301" i="4"/>
  <c r="I301" i="4"/>
  <c r="H302" i="4"/>
  <c r="I302" i="4"/>
  <c r="H303" i="4"/>
  <c r="I303" i="4"/>
  <c r="H304" i="4"/>
  <c r="I304" i="4"/>
  <c r="H305" i="4"/>
  <c r="I305" i="4"/>
  <c r="H306" i="4"/>
  <c r="I306" i="4"/>
  <c r="H307" i="4"/>
  <c r="I307" i="4"/>
  <c r="H308" i="4"/>
  <c r="I308" i="4"/>
  <c r="H309" i="4"/>
  <c r="I309" i="4"/>
  <c r="H310" i="4"/>
  <c r="I310" i="4"/>
  <c r="H311" i="4"/>
  <c r="I311" i="4"/>
  <c r="H312" i="4"/>
  <c r="I312" i="4"/>
  <c r="H313" i="4"/>
  <c r="I313" i="4"/>
  <c r="H314" i="4"/>
  <c r="I314" i="4"/>
  <c r="H315" i="4"/>
  <c r="I315" i="4"/>
  <c r="H316" i="4"/>
  <c r="I316" i="4"/>
  <c r="H317" i="4"/>
  <c r="I317" i="4"/>
  <c r="H318" i="4"/>
  <c r="I318" i="4"/>
  <c r="H319" i="4"/>
  <c r="I319" i="4"/>
  <c r="H320" i="4"/>
  <c r="I320" i="4"/>
  <c r="H321" i="4"/>
  <c r="I321" i="4"/>
  <c r="H322" i="4"/>
  <c r="I322" i="4"/>
  <c r="H323" i="4"/>
  <c r="I323" i="4"/>
  <c r="H324" i="4"/>
  <c r="I324" i="4"/>
  <c r="H325" i="4"/>
  <c r="I325" i="4"/>
  <c r="H326" i="4"/>
  <c r="I326" i="4"/>
  <c r="H327" i="4"/>
  <c r="I327" i="4"/>
  <c r="H328" i="4"/>
  <c r="I328" i="4"/>
  <c r="H329" i="4"/>
  <c r="I329" i="4"/>
  <c r="H330" i="4"/>
  <c r="I330" i="4"/>
  <c r="H331" i="4"/>
  <c r="I331" i="4"/>
  <c r="H332" i="4"/>
  <c r="I332" i="4"/>
  <c r="H333" i="4"/>
  <c r="I333" i="4"/>
  <c r="H334" i="4"/>
  <c r="I334" i="4"/>
  <c r="H335" i="4"/>
  <c r="I335" i="4"/>
  <c r="H336" i="4"/>
  <c r="I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B2" i="3"/>
  <c r="C3" i="3"/>
  <c r="N32" i="2" a="1"/>
  <c r="J29" i="2"/>
  <c r="K11" i="2" a="1"/>
  <c r="N24" i="2" a="1"/>
  <c r="C32" i="2"/>
  <c r="G31" i="2"/>
  <c r="L20" i="2"/>
  <c r="J33" i="2"/>
  <c r="O20" i="2" a="1"/>
  <c r="N19" i="2" a="1"/>
  <c r="F3" i="2" a="1"/>
  <c r="G8" i="2"/>
  <c r="K19" i="2" a="1"/>
  <c r="H7" i="2"/>
  <c r="K4" i="2" a="1"/>
  <c r="P17" i="2" a="1"/>
  <c r="C2" i="2"/>
  <c r="N21" i="2" a="1"/>
  <c r="K2" i="2" a="1"/>
  <c r="M2" i="2"/>
  <c r="G16" i="2"/>
  <c r="H3" i="2"/>
  <c r="C19" i="2"/>
  <c r="O12" i="2" a="1"/>
  <c r="C16" i="2"/>
  <c r="I3" i="2"/>
  <c r="L18" i="2"/>
  <c r="L15" i="2"/>
  <c r="F26" i="2" a="1"/>
  <c r="L4" i="2"/>
  <c r="P31" i="2" a="1"/>
  <c r="H37" i="2"/>
  <c r="E28" i="2"/>
  <c r="C5" i="2"/>
  <c r="I10" i="2"/>
  <c r="N2" i="2" a="1"/>
  <c r="J30" i="2"/>
  <c r="L35" i="2"/>
  <c r="D37" i="2"/>
  <c r="J31" i="2"/>
  <c r="N37" i="2" a="1"/>
  <c r="P29" i="2" a="1"/>
  <c r="G11" i="2"/>
  <c r="C23" i="2"/>
  <c r="I31" i="2"/>
  <c r="I13" i="2"/>
  <c r="F27" i="2" a="1"/>
  <c r="E24" i="2"/>
  <c r="F4" i="2" a="1"/>
  <c r="I26" i="2"/>
  <c r="G15" i="2"/>
  <c r="D16" i="2"/>
  <c r="O21" i="2" a="1"/>
  <c r="C10" i="2"/>
  <c r="J37" i="2"/>
  <c r="H11" i="2"/>
  <c r="F11" i="2" a="1"/>
  <c r="P13" i="2" a="1"/>
  <c r="O25" i="2" a="1"/>
  <c r="P24" i="2" a="1"/>
  <c r="M16" i="2"/>
  <c r="I34" i="2"/>
  <c r="P27" i="2" a="1"/>
  <c r="O27" i="2" a="1"/>
  <c r="C24" i="2"/>
  <c r="K7" i="2" a="1"/>
  <c r="I17" i="2"/>
  <c r="L3" i="2"/>
  <c r="E9" i="2"/>
  <c r="D24" i="2"/>
  <c r="O37" i="2" a="1"/>
  <c r="L27" i="2"/>
  <c r="H25" i="2"/>
  <c r="I5" i="2"/>
  <c r="L19" i="2"/>
  <c r="E31" i="2"/>
  <c r="M26" i="2"/>
  <c r="O15" i="2" a="1"/>
  <c r="C20" i="2"/>
  <c r="E30" i="2"/>
  <c r="F32" i="2" a="1"/>
  <c r="O4" i="2" a="1"/>
  <c r="D4" i="2"/>
  <c r="G29" i="2"/>
  <c r="D36" i="2"/>
  <c r="K14" i="2" a="1"/>
  <c r="C33" i="2"/>
  <c r="C7" i="2"/>
  <c r="M31" i="2"/>
  <c r="A7" i="12" a="1"/>
  <c r="L9" i="2"/>
  <c r="H35" i="2"/>
  <c r="N31" i="2" a="1"/>
  <c r="H9" i="2"/>
  <c r="F16" i="2" a="1"/>
  <c r="N16" i="2" a="1"/>
  <c r="P14" i="2" a="1"/>
  <c r="L26" i="2"/>
  <c r="L13" i="2"/>
  <c r="G5" i="2"/>
  <c r="C4" i="2"/>
  <c r="L32" i="2"/>
  <c r="D25" i="2"/>
  <c r="G37" i="2"/>
  <c r="I28" i="2"/>
  <c r="H27" i="2"/>
  <c r="M7" i="2"/>
  <c r="O28" i="2" a="1"/>
  <c r="N26" i="2" a="1"/>
  <c r="D30" i="2"/>
  <c r="H20" i="2"/>
  <c r="M3" i="2"/>
  <c r="M5" i="2"/>
  <c r="F35" i="2" a="1"/>
  <c r="D11" i="2"/>
  <c r="C27" i="2"/>
  <c r="K35" i="2" a="1"/>
  <c r="N6" i="2" a="1"/>
  <c r="J34" i="2"/>
  <c r="O36" i="2" a="1"/>
  <c r="F36" i="2" a="1"/>
  <c r="O29" i="2" a="1"/>
  <c r="O18" i="2" a="1"/>
  <c r="P2" i="2" a="1"/>
  <c r="H16" i="2"/>
  <c r="I12" i="2"/>
  <c r="I22" i="2"/>
  <c r="D21" i="2"/>
  <c r="E21" i="2"/>
  <c r="L23" i="2"/>
  <c r="C3" i="2"/>
  <c r="N30" i="2" a="1"/>
  <c r="N20" i="2" a="1"/>
  <c r="I25" i="2"/>
  <c r="N14" i="2" a="1"/>
  <c r="L10" i="2"/>
  <c r="J19" i="2"/>
  <c r="P5" i="2" a="1"/>
  <c r="L30" i="2"/>
  <c r="N18" i="2" a="1"/>
  <c r="E23" i="2"/>
  <c r="I21" i="2"/>
  <c r="J9" i="2"/>
  <c r="E35" i="2"/>
  <c r="F21" i="2" a="1"/>
  <c r="K32" i="2" a="1"/>
  <c r="M28" i="2"/>
  <c r="P22" i="2" a="1"/>
  <c r="E20" i="2"/>
  <c r="E17" i="2"/>
  <c r="K23" i="2" a="1"/>
  <c r="M22" i="2"/>
  <c r="H4" i="2"/>
  <c r="K25" i="2" a="1"/>
  <c r="P33" i="2" a="1"/>
  <c r="H36" i="2"/>
  <c r="G9" i="2"/>
  <c r="M33" i="2"/>
  <c r="K15" i="2" a="1"/>
  <c r="F10" i="2" a="1"/>
  <c r="L25" i="2"/>
  <c r="C22" i="2"/>
  <c r="E22" i="2"/>
  <c r="D26" i="2"/>
  <c r="K6" i="2" a="1"/>
  <c r="M35" i="2"/>
  <c r="J7" i="2"/>
  <c r="H10" i="2"/>
  <c r="I16" i="2"/>
  <c r="I27" i="2"/>
  <c r="I35" i="2"/>
  <c r="K13" i="2" a="1"/>
  <c r="G17" i="2"/>
  <c r="O13" i="2" a="1"/>
  <c r="L22" i="2"/>
  <c r="F29" i="2" a="1"/>
  <c r="C17" i="2"/>
  <c r="J13" i="2"/>
  <c r="D28" i="2"/>
  <c r="F30" i="2" a="1"/>
  <c r="F2" i="2" a="1"/>
  <c r="O33" i="2" a="1"/>
  <c r="K27" i="2" a="1"/>
  <c r="D15" i="2"/>
  <c r="H15" i="2"/>
  <c r="J15" i="2"/>
  <c r="L33" i="2"/>
  <c r="N5" i="2" a="1"/>
  <c r="K12" i="2" a="1"/>
  <c r="E13" i="2"/>
  <c r="F31" i="2" a="1"/>
  <c r="J10" i="2"/>
  <c r="G4" i="2"/>
  <c r="F7" i="2" a="1"/>
  <c r="C9" i="2"/>
  <c r="J14" i="2"/>
  <c r="D32" i="2"/>
  <c r="J3" i="2"/>
  <c r="J35" i="2"/>
  <c r="H14" i="2"/>
  <c r="B7" i="3" a="1"/>
  <c r="D23" i="2"/>
  <c r="M20" i="2"/>
  <c r="N34" i="2" a="1"/>
  <c r="H34" i="2"/>
  <c r="G27" i="2"/>
  <c r="O14" i="2" a="1"/>
  <c r="J27" i="2"/>
  <c r="N28" i="2" a="1"/>
  <c r="K20" i="2" a="1"/>
  <c r="M12" i="2"/>
  <c r="D2" i="2"/>
  <c r="G19" i="2"/>
  <c r="D29" i="2"/>
  <c r="O16" i="2" a="1"/>
  <c r="I29" i="2"/>
  <c r="C37" i="2"/>
  <c r="O24" i="2" a="1"/>
  <c r="N33" i="2" a="1"/>
  <c r="I33" i="2"/>
  <c r="P11" i="2" a="1"/>
  <c r="J25" i="2"/>
  <c r="P37" i="2" a="1"/>
  <c r="K17" i="2" a="1"/>
  <c r="J20" i="2"/>
  <c r="N29" i="2" a="1"/>
  <c r="G7" i="2"/>
  <c r="I30" i="2"/>
  <c r="G21" i="2"/>
  <c r="K26" i="2" a="1"/>
  <c r="G28" i="2"/>
  <c r="E25" i="2"/>
  <c r="H22" i="2"/>
  <c r="M19" i="2"/>
  <c r="F28" i="2" a="1"/>
  <c r="D33" i="2"/>
  <c r="G32" i="2"/>
  <c r="C12" i="2"/>
  <c r="D20" i="2"/>
  <c r="C11" i="2"/>
  <c r="N10" i="2" a="1"/>
  <c r="P36" i="2" a="1"/>
  <c r="N36" i="2" a="1"/>
  <c r="O35" i="2" a="1"/>
  <c r="K9" i="2" a="1"/>
  <c r="P25" i="2" a="1"/>
  <c r="H6" i="2"/>
  <c r="K30" i="2" a="1"/>
  <c r="I9" i="2"/>
  <c r="L28" i="2"/>
  <c r="M6" i="2"/>
  <c r="M8" i="2"/>
  <c r="L6" i="2"/>
  <c r="A7" i="21" a="1"/>
  <c r="I32" i="2"/>
  <c r="N17" i="2" a="1"/>
  <c r="O23" i="2" a="1"/>
  <c r="F5" i="2" a="1"/>
  <c r="E26" i="2"/>
  <c r="G36" i="2"/>
  <c r="K18" i="2" a="1"/>
  <c r="I37" i="2"/>
  <c r="N35" i="2" a="1"/>
  <c r="L8" i="2"/>
  <c r="J6" i="2"/>
  <c r="F23" i="2" a="1"/>
  <c r="I36" i="2"/>
  <c r="M37" i="2"/>
  <c r="P18" i="2" a="1"/>
  <c r="I6" i="2"/>
  <c r="C25" i="2"/>
  <c r="G34" i="2"/>
  <c r="H5" i="2"/>
  <c r="N27" i="2" a="1"/>
  <c r="E36" i="2"/>
  <c r="K10" i="2" a="1"/>
  <c r="G22" i="2"/>
  <c r="D3" i="2"/>
  <c r="O34" i="2" a="1"/>
  <c r="H8" i="2"/>
  <c r="M34" i="2"/>
  <c r="H26" i="2"/>
  <c r="O8" i="2" a="1"/>
  <c r="F19" i="2" a="1"/>
  <c r="E19" i="2"/>
  <c r="O5" i="2" a="1"/>
  <c r="P32" i="2" a="1"/>
  <c r="E14" i="2"/>
  <c r="H19" i="2"/>
  <c r="C36" i="2"/>
  <c r="O22" i="2" a="1"/>
  <c r="D35" i="2"/>
  <c r="F9" i="2" a="1"/>
  <c r="C29" i="2"/>
  <c r="O17" i="2" a="1"/>
  <c r="H33" i="2"/>
  <c r="K34" i="2" a="1"/>
  <c r="C26" i="2"/>
  <c r="N4" i="2" a="1"/>
  <c r="N22" i="2" a="1"/>
  <c r="C34" i="2"/>
  <c r="P19" i="2" a="1"/>
  <c r="H23" i="2"/>
  <c r="P9" i="2" a="1"/>
  <c r="O32" i="2" a="1"/>
  <c r="M4" i="2"/>
  <c r="M14" i="2"/>
  <c r="F37" i="2" a="1"/>
  <c r="L7" i="2"/>
  <c r="C35" i="2"/>
  <c r="J5" i="2"/>
  <c r="D12" i="2"/>
  <c r="D18" i="2"/>
  <c r="J18" i="2"/>
  <c r="M18" i="2"/>
  <c r="D8" i="2"/>
  <c r="M15" i="2"/>
  <c r="E33" i="2"/>
  <c r="O3" i="2" a="1"/>
  <c r="D10" i="2"/>
  <c r="H29" i="2"/>
  <c r="K33" i="2" a="1"/>
  <c r="M27" i="2"/>
  <c r="P4" i="2" a="1"/>
  <c r="G6" i="2"/>
  <c r="C6" i="2"/>
  <c r="F13" i="2" a="1"/>
  <c r="A7" i="9" a="1"/>
  <c r="L12" i="2"/>
  <c r="E27" i="2"/>
  <c r="K31" i="2" a="1"/>
  <c r="I4" i="2"/>
  <c r="O9" i="2" a="1"/>
  <c r="G30" i="2"/>
  <c r="N9" i="2" a="1"/>
  <c r="E16" i="2"/>
  <c r="G18" i="2"/>
  <c r="F12" i="2" a="1"/>
  <c r="E29" i="2"/>
  <c r="I24" i="2"/>
  <c r="G13" i="2"/>
  <c r="K24" i="2" a="1"/>
  <c r="C28" i="2"/>
  <c r="J17" i="2"/>
  <c r="O26" i="2" a="1"/>
  <c r="D5" i="2"/>
  <c r="E12" i="2"/>
  <c r="F22" i="2" a="1"/>
  <c r="N8" i="2" a="1"/>
  <c r="O2" i="2" a="1"/>
  <c r="K8" i="2" a="1"/>
  <c r="E6" i="2"/>
  <c r="I18" i="2"/>
  <c r="F18" i="2" a="1"/>
  <c r="H24" i="2"/>
  <c r="P28" i="2" a="1"/>
  <c r="P20" i="2" a="1"/>
  <c r="L21" i="2"/>
  <c r="E37" i="2"/>
  <c r="J11" i="2"/>
  <c r="E15" i="2"/>
  <c r="H21" i="2"/>
  <c r="I11" i="2"/>
  <c r="D22" i="2"/>
  <c r="O6" i="2" a="1"/>
  <c r="E8" i="2"/>
  <c r="D17" i="2"/>
  <c r="C18" i="2"/>
  <c r="K3" i="2" a="1"/>
  <c r="L31" i="2"/>
  <c r="J4" i="2"/>
  <c r="E2" i="2"/>
  <c r="I20" i="2"/>
  <c r="H18" i="2"/>
  <c r="D31" i="2"/>
  <c r="H17" i="2"/>
  <c r="N7" i="2" a="1"/>
  <c r="O10" i="2" a="1"/>
  <c r="I23" i="2"/>
  <c r="D7" i="2"/>
  <c r="G20" i="2"/>
  <c r="P26" i="2" a="1"/>
  <c r="L14" i="2"/>
  <c r="P7" i="2" a="1"/>
  <c r="J12" i="2"/>
  <c r="D9" i="2"/>
  <c r="K5" i="2" a="1"/>
  <c r="J23" i="2"/>
  <c r="G26" i="2"/>
  <c r="M24" i="2"/>
  <c r="C21" i="2"/>
  <c r="N23" i="2" a="1"/>
  <c r="I7" i="2"/>
  <c r="E10" i="2"/>
  <c r="N25" i="2" a="1"/>
  <c r="F24" i="2" a="1"/>
  <c r="P21" i="2" a="1"/>
  <c r="M36" i="2"/>
  <c r="P35" i="2" a="1"/>
  <c r="J8" i="2"/>
  <c r="F20" i="2" a="1"/>
  <c r="G12" i="2"/>
  <c r="I8" i="2"/>
  <c r="M25" i="2"/>
  <c r="F33" i="2" a="1"/>
  <c r="N13" i="2" a="1"/>
  <c r="K21" i="2" a="1"/>
  <c r="H28" i="2"/>
  <c r="P23" i="2" a="1"/>
  <c r="J28" i="2"/>
  <c r="M30" i="2"/>
  <c r="P8" i="2" a="1"/>
  <c r="C13" i="2"/>
  <c r="H13" i="2"/>
  <c r="E3" i="2"/>
  <c r="D27" i="2"/>
  <c r="J22" i="2"/>
  <c r="L37" i="2"/>
  <c r="M21" i="2"/>
  <c r="K36" i="2" a="1"/>
  <c r="K29" i="2" a="1"/>
  <c r="M9" i="2"/>
  <c r="L5" i="2"/>
  <c r="I15" i="2"/>
  <c r="D6" i="2"/>
  <c r="K37" i="2" a="1"/>
  <c r="F34" i="2" a="1"/>
  <c r="P15" i="2" a="1"/>
  <c r="K16" i="2" a="1"/>
  <c r="J16" i="2"/>
  <c r="L11" i="2"/>
  <c r="G35" i="2"/>
  <c r="O19" i="2" a="1"/>
  <c r="L34" i="2"/>
  <c r="A7" i="18" a="1"/>
  <c r="E4" i="2"/>
  <c r="F6" i="2" a="1"/>
  <c r="D34" i="2"/>
  <c r="G14" i="2"/>
  <c r="D14" i="2"/>
  <c r="F25" i="2" a="1"/>
  <c r="P16" i="2" a="1"/>
  <c r="O31" i="2" a="1"/>
  <c r="O7" i="2" a="1"/>
  <c r="G25" i="2"/>
  <c r="N15" i="2" a="1"/>
  <c r="N3" i="2" a="1"/>
  <c r="M17" i="2"/>
  <c r="L16" i="2"/>
  <c r="G24" i="2"/>
  <c r="C8" i="2"/>
  <c r="K28" i="2" a="1"/>
  <c r="A7" i="24" a="1"/>
  <c r="E18" i="2"/>
  <c r="I19" i="2"/>
  <c r="L36" i="2"/>
  <c r="P34" i="2" a="1"/>
  <c r="M32" i="2"/>
  <c r="J32" i="2"/>
  <c r="F14" i="2" a="1"/>
  <c r="H12" i="2"/>
  <c r="D13" i="2"/>
  <c r="E7" i="2"/>
  <c r="G3" i="2"/>
  <c r="M29" i="2"/>
  <c r="P10" i="2" a="1"/>
  <c r="H31" i="2"/>
  <c r="G33" i="2"/>
  <c r="P6" i="2" a="1"/>
  <c r="O11" i="2" a="1"/>
  <c r="N11" i="2" a="1"/>
  <c r="F17" i="2" a="1"/>
  <c r="E5" i="2"/>
  <c r="I14" i="2"/>
  <c r="C31" i="2"/>
  <c r="A7" i="15" a="1"/>
  <c r="F15" i="2" a="1"/>
  <c r="K22" i="2" a="1"/>
  <c r="F8" i="2" a="1"/>
  <c r="H30" i="2"/>
  <c r="L2" i="2"/>
  <c r="M13" i="2"/>
  <c r="E32" i="2"/>
  <c r="E34" i="2"/>
  <c r="J24" i="2"/>
  <c r="C14" i="2"/>
  <c r="G10" i="2"/>
  <c r="E11" i="2"/>
  <c r="H32" i="2"/>
  <c r="P30" i="2" a="1"/>
  <c r="J36" i="2"/>
  <c r="O30" i="2" a="1"/>
  <c r="M23" i="2"/>
  <c r="M11" i="2"/>
  <c r="J21" i="2"/>
  <c r="G23" i="2"/>
  <c r="J26" i="2"/>
  <c r="L29" i="2"/>
  <c r="M10" i="2"/>
  <c r="L17" i="2"/>
  <c r="C15" i="2"/>
  <c r="P12" i="2" a="1"/>
  <c r="D19" i="2"/>
  <c r="L24" i="2"/>
  <c r="C30" i="2"/>
  <c r="N12" i="2" a="1"/>
  <c r="P3" i="2" a="1"/>
  <c r="A16" i="19" l="1" a="1"/>
  <c r="A16" i="19" s="1"/>
  <c r="B16" i="19" s="1" a="1"/>
  <c r="B16" i="19" s="1"/>
  <c r="A15" i="19" a="1"/>
  <c r="A15" i="19" s="1"/>
  <c r="B15" i="19" s="1" a="1"/>
  <c r="B15" i="19" s="1"/>
  <c r="A14" i="19" a="1"/>
  <c r="A14" i="19" s="1"/>
  <c r="B14" i="19" s="1" a="1"/>
  <c r="B14" i="19" s="1"/>
  <c r="A11" i="19" a="1"/>
  <c r="A11" i="19" s="1"/>
  <c r="B11" i="19" s="1" a="1"/>
  <c r="B11" i="19" s="1"/>
  <c r="A12" i="19" a="1"/>
  <c r="A12" i="19" s="1"/>
  <c r="B12" i="19" s="1" a="1"/>
  <c r="B12" i="19" s="1"/>
  <c r="B21" i="2"/>
  <c r="B22" i="2"/>
  <c r="B30" i="2"/>
  <c r="B23" i="2"/>
  <c r="B31" i="2"/>
  <c r="B24" i="2"/>
  <c r="B29" i="2"/>
  <c r="B25" i="2"/>
  <c r="B26" i="2"/>
  <c r="B19" i="2"/>
  <c r="B27" i="2"/>
  <c r="B20" i="2"/>
  <c r="B28" i="2"/>
  <c r="F14" i="2"/>
  <c r="F12" i="2"/>
  <c r="F7" i="2"/>
  <c r="K12" i="2"/>
  <c r="F9" i="2"/>
  <c r="F17" i="2"/>
  <c r="K14" i="2"/>
  <c r="K11" i="2"/>
  <c r="K16" i="2"/>
  <c r="F15" i="2"/>
  <c r="K10" i="2"/>
  <c r="K9" i="2"/>
  <c r="F10" i="2"/>
  <c r="F13" i="2"/>
  <c r="F18" i="2"/>
  <c r="K15" i="2"/>
  <c r="K8" i="2"/>
  <c r="K7" i="2"/>
  <c r="F16" i="2"/>
  <c r="F8" i="2"/>
  <c r="F11" i="2"/>
  <c r="K17" i="2"/>
  <c r="K18" i="2"/>
  <c r="K13" i="2"/>
  <c r="N14" i="2"/>
  <c r="O18" i="2"/>
  <c r="O7" i="2"/>
  <c r="P9" i="2"/>
  <c r="P36" i="2"/>
  <c r="N33" i="2"/>
  <c r="N12" i="2"/>
  <c r="O14" i="2"/>
  <c r="O15" i="2"/>
  <c r="P17" i="2"/>
  <c r="N37" i="2"/>
  <c r="K35" i="2"/>
  <c r="K34" i="2"/>
  <c r="P26" i="2"/>
  <c r="P24" i="2"/>
  <c r="O36" i="2"/>
  <c r="O32" i="2"/>
  <c r="O28" i="2"/>
  <c r="O26" i="2"/>
  <c r="O24" i="2"/>
  <c r="O20" i="2"/>
  <c r="N10" i="2"/>
  <c r="N9" i="2"/>
  <c r="O12" i="2"/>
  <c r="O13" i="2"/>
  <c r="P14" i="2"/>
  <c r="P15" i="2"/>
  <c r="P37" i="2"/>
  <c r="P30" i="2"/>
  <c r="P29" i="2"/>
  <c r="P28" i="2"/>
  <c r="N27" i="2"/>
  <c r="N26" i="2"/>
  <c r="N25" i="2"/>
  <c r="K24" i="2"/>
  <c r="K23" i="2"/>
  <c r="P21" i="2"/>
  <c r="N15" i="2"/>
  <c r="O17" i="2"/>
  <c r="P10" i="2"/>
  <c r="N35" i="2"/>
  <c r="N34" i="2"/>
  <c r="K32" i="2"/>
  <c r="K31" i="2"/>
  <c r="K30" i="2"/>
  <c r="N22" i="2"/>
  <c r="K19" i="2"/>
  <c r="N13" i="2"/>
  <c r="P18" i="2"/>
  <c r="P7" i="2"/>
  <c r="K36" i="2"/>
  <c r="P25" i="2"/>
  <c r="N23" i="2"/>
  <c r="K20" i="2"/>
  <c r="O34" i="2"/>
  <c r="O30" i="2"/>
  <c r="O22" i="2"/>
  <c r="N18" i="2"/>
  <c r="N17" i="2"/>
  <c r="N7" i="2"/>
  <c r="O10" i="2"/>
  <c r="O9" i="2"/>
  <c r="P12" i="2"/>
  <c r="P13" i="2"/>
  <c r="P34" i="2"/>
  <c r="P33" i="2"/>
  <c r="P32" i="2"/>
  <c r="N31" i="2"/>
  <c r="N30" i="2"/>
  <c r="N29" i="2"/>
  <c r="K28" i="2"/>
  <c r="K27" i="2"/>
  <c r="K26" i="2"/>
  <c r="P22" i="2"/>
  <c r="N19" i="2"/>
  <c r="O37" i="2"/>
  <c r="O35" i="2"/>
  <c r="O33" i="2"/>
  <c r="O31" i="2"/>
  <c r="O29" i="2"/>
  <c r="O27" i="2"/>
  <c r="O25" i="2"/>
  <c r="O23" i="2"/>
  <c r="O21" i="2"/>
  <c r="O19" i="2"/>
  <c r="K22" i="2"/>
  <c r="N21" i="2"/>
  <c r="P20" i="2"/>
  <c r="N16" i="2"/>
  <c r="N8" i="2"/>
  <c r="N11" i="2"/>
  <c r="O16" i="2"/>
  <c r="O8" i="2"/>
  <c r="O11" i="2"/>
  <c r="P16" i="2"/>
  <c r="P8" i="2"/>
  <c r="P11" i="2"/>
  <c r="K37" i="2"/>
  <c r="N36" i="2"/>
  <c r="P35" i="2"/>
  <c r="K33" i="2"/>
  <c r="N32" i="2"/>
  <c r="P31" i="2"/>
  <c r="K29" i="2"/>
  <c r="N28" i="2"/>
  <c r="P27" i="2"/>
  <c r="K25" i="2"/>
  <c r="N24" i="2"/>
  <c r="P23" i="2"/>
  <c r="K21" i="2"/>
  <c r="N20" i="2"/>
  <c r="P19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A9" i="3" a="1"/>
  <c r="A9" i="3" s="1"/>
  <c r="B9" i="28" s="1" a="1"/>
  <c r="B9" i="28" s="1"/>
  <c r="A8" i="3" a="1"/>
  <c r="A8" i="3" s="1"/>
  <c r="B8" i="28" s="1" a="1"/>
  <c r="B8" i="28" s="1"/>
  <c r="A10" i="3" a="1"/>
  <c r="A10" i="3" s="1"/>
  <c r="B10" i="28" s="1" a="1"/>
  <c r="B10" i="28" s="1"/>
  <c r="A10" i="13" a="1"/>
  <c r="A10" i="13" s="1"/>
  <c r="B10" i="13" s="1" a="1"/>
  <c r="B10" i="13" s="1"/>
  <c r="A10" i="25" a="1"/>
  <c r="A10" i="25" s="1"/>
  <c r="B10" i="25" s="1" a="1"/>
  <c r="B10" i="25" s="1"/>
  <c r="A10" i="10" a="1"/>
  <c r="A10" i="10" s="1"/>
  <c r="B10" i="10" s="1" a="1"/>
  <c r="B10" i="10" s="1"/>
  <c r="A10" i="22" a="1"/>
  <c r="A10" i="22" s="1"/>
  <c r="B10" i="22" s="1" a="1"/>
  <c r="B10" i="22" s="1"/>
  <c r="A10" i="16" a="1"/>
  <c r="A10" i="16" s="1"/>
  <c r="B10" i="16" s="1" a="1"/>
  <c r="B10" i="16" s="1"/>
  <c r="A10" i="19" a="1"/>
  <c r="A10" i="19" s="1"/>
  <c r="B10" i="19" s="1" a="1"/>
  <c r="B10" i="19" s="1"/>
  <c r="P2" i="2"/>
  <c r="P5" i="2"/>
  <c r="P6" i="2"/>
  <c r="P3" i="2"/>
  <c r="P4" i="2"/>
  <c r="O2" i="2"/>
  <c r="O3" i="2"/>
  <c r="O5" i="2"/>
  <c r="O4" i="2"/>
  <c r="O6" i="2"/>
  <c r="N6" i="2"/>
  <c r="N4" i="2"/>
  <c r="N3" i="2"/>
  <c r="N5" i="2"/>
  <c r="N2" i="2"/>
  <c r="K2" i="2"/>
  <c r="K3" i="2"/>
  <c r="K5" i="2"/>
  <c r="K6" i="2"/>
  <c r="K4" i="2"/>
  <c r="F2" i="2"/>
  <c r="F3" i="2"/>
  <c r="F5" i="2"/>
  <c r="F4" i="2"/>
  <c r="F6" i="2"/>
  <c r="A1" i="2"/>
  <c r="A9" i="13" a="1"/>
  <c r="A9" i="13" s="1"/>
  <c r="A9" i="25" a="1"/>
  <c r="A9" i="25" s="1"/>
  <c r="B9" i="25" s="1" a="1"/>
  <c r="B9" i="25" s="1"/>
  <c r="A9" i="22" a="1"/>
  <c r="A9" i="22" s="1"/>
  <c r="B9" i="22" s="1" a="1"/>
  <c r="B9" i="22" s="1"/>
  <c r="A9" i="19" a="1"/>
  <c r="A9" i="19" s="1"/>
  <c r="B9" i="19" s="1" a="1"/>
  <c r="B9" i="19" s="1"/>
  <c r="A8" i="25" a="1"/>
  <c r="A8" i="25" s="1"/>
  <c r="B8" i="25" s="1" a="1"/>
  <c r="B8" i="25" s="1"/>
  <c r="A8" i="22" a="1"/>
  <c r="A8" i="22" s="1"/>
  <c r="B8" i="22" s="1" a="1"/>
  <c r="B8" i="22" s="1"/>
  <c r="A8" i="19" a="1"/>
  <c r="A8" i="19" s="1"/>
  <c r="B8" i="19" s="1" a="1"/>
  <c r="B8" i="19" s="1"/>
  <c r="B2" i="14"/>
  <c r="A7" i="24"/>
  <c r="A2" i="25"/>
  <c r="A7" i="21"/>
  <c r="A2" i="22"/>
  <c r="A7" i="9"/>
  <c r="B2" i="20"/>
  <c r="A2" i="19"/>
  <c r="A7" i="18"/>
  <c r="A7" i="19" s="1" a="1"/>
  <c r="A7" i="19" s="1"/>
  <c r="A2" i="8" a="1"/>
  <c r="A2" i="8" s="1"/>
  <c r="A7" i="15"/>
  <c r="A7" i="12"/>
  <c r="A7" i="13" s="1" a="1"/>
  <c r="A7" i="13" s="1"/>
  <c r="A12" i="16" a="1"/>
  <c r="A12" i="16" s="1"/>
  <c r="B12" i="16" s="1" a="1"/>
  <c r="B12" i="16" s="1"/>
  <c r="A9" i="16" a="1"/>
  <c r="A9" i="16" s="1"/>
  <c r="B9" i="16" s="1" a="1"/>
  <c r="B9" i="16" s="1"/>
  <c r="B2" i="17"/>
  <c r="A9" i="10" a="1"/>
  <c r="A9" i="10" s="1"/>
  <c r="A8" i="10" a="1"/>
  <c r="A8" i="10" s="1"/>
  <c r="A8" i="13" a="1"/>
  <c r="A8" i="13" s="1"/>
  <c r="A8" i="16" a="1"/>
  <c r="A8" i="16" s="1"/>
  <c r="B8" i="16" s="1" a="1"/>
  <c r="B8" i="16" s="1"/>
  <c r="B7" i="3"/>
  <c r="B9" i="2"/>
  <c r="B13" i="2"/>
  <c r="B17" i="2"/>
  <c r="B12" i="2"/>
  <c r="B10" i="2"/>
  <c r="B14" i="2"/>
  <c r="B18" i="2"/>
  <c r="B16" i="2"/>
  <c r="B7" i="2"/>
  <c r="B11" i="2"/>
  <c r="B15" i="2"/>
  <c r="B8" i="2"/>
  <c r="H25" i="8" l="1"/>
  <c r="H34" i="8"/>
  <c r="H35" i="8"/>
  <c r="H26" i="8"/>
  <c r="H37" i="8"/>
  <c r="H21" i="8"/>
  <c r="H23" i="8"/>
  <c r="H29" i="8"/>
  <c r="H36" i="8"/>
  <c r="H33" i="8"/>
  <c r="H22" i="8"/>
  <c r="H30" i="8"/>
  <c r="A5" i="3" a="1"/>
  <c r="A5" i="3" s="1"/>
  <c r="A7" i="3" a="1"/>
  <c r="A7" i="3" s="1"/>
  <c r="H24" i="8"/>
  <c r="H31" i="8"/>
  <c r="H28" i="8"/>
  <c r="H19" i="8"/>
  <c r="H27" i="8"/>
  <c r="H20" i="8"/>
  <c r="H32" i="8"/>
  <c r="B7" i="19" a="1"/>
  <c r="B7" i="19" s="1"/>
  <c r="A5" i="19" s="1" a="1"/>
  <c r="A5" i="19" s="1"/>
  <c r="E2" i="19" s="1"/>
  <c r="D5" i="20" s="1" a="1"/>
  <c r="D5" i="20" s="1"/>
  <c r="A7" i="25" a="1"/>
  <c r="A7" i="25" s="1"/>
  <c r="B7" i="25" s="1" a="1"/>
  <c r="A7" i="22" a="1"/>
  <c r="A7" i="22" s="1"/>
  <c r="B7" i="22" s="1" a="1"/>
  <c r="A7" i="16" a="1"/>
  <c r="A7" i="16" s="1"/>
  <c r="B7" i="16" s="1" a="1"/>
  <c r="G2" i="8" a="1"/>
  <c r="G2" i="8" s="1"/>
  <c r="C2" i="8" a="1"/>
  <c r="B13" i="16" a="1"/>
  <c r="B13" i="16" s="1"/>
  <c r="B6" i="2"/>
  <c r="H8" i="8"/>
  <c r="F2" i="8" a="1"/>
  <c r="H17" i="8"/>
  <c r="H7" i="8"/>
  <c r="A7" i="10" a="1"/>
  <c r="A7" i="10" s="1"/>
  <c r="B7" i="10" s="1" a="1"/>
  <c r="B7" i="10" s="1"/>
  <c r="H16" i="8"/>
  <c r="H12" i="8"/>
  <c r="H13" i="8"/>
  <c r="H15" i="8"/>
  <c r="B8" i="10" a="1"/>
  <c r="B8" i="10" s="1"/>
  <c r="H11" i="8"/>
  <c r="H14" i="8"/>
  <c r="H9" i="8"/>
  <c r="H10" i="8"/>
  <c r="H6" i="8"/>
  <c r="H5" i="8"/>
  <c r="H18" i="8"/>
  <c r="D2" i="8" a="1"/>
  <c r="D2" i="8" s="1"/>
  <c r="B5" i="2"/>
  <c r="B4" i="2"/>
  <c r="B3" i="2"/>
  <c r="B2" i="2"/>
  <c r="B4" i="6" l="1" a="1"/>
  <c r="B4" i="6" s="1"/>
  <c r="B7" i="28" a="1"/>
  <c r="B7" i="28" s="1"/>
  <c r="A7" i="28" s="1" a="1"/>
  <c r="A7" i="28" s="1"/>
  <c r="H4" i="8"/>
  <c r="B7" i="25"/>
  <c r="A5" i="25" s="1" a="1"/>
  <c r="A5" i="25" s="1"/>
  <c r="E2" i="25" s="1"/>
  <c r="D5" i="26" s="1" a="1"/>
  <c r="D5" i="26" s="1"/>
  <c r="G5" i="26" s="1" a="1"/>
  <c r="G5" i="26" s="1"/>
  <c r="B7" i="22"/>
  <c r="A5" i="22" s="1" a="1"/>
  <c r="A5" i="22" s="1"/>
  <c r="E2" i="22" s="1"/>
  <c r="D5" i="23" s="1" a="1"/>
  <c r="D5" i="23" s="1"/>
  <c r="G5" i="20" a="1"/>
  <c r="G5" i="20" s="1"/>
  <c r="C5" i="20" a="1"/>
  <c r="H2" i="8"/>
  <c r="C2" i="8"/>
  <c r="E2" i="8" a="1"/>
  <c r="H3" i="8"/>
  <c r="F2" i="8"/>
  <c r="B7" i="16"/>
  <c r="A5" i="16" s="1" a="1"/>
  <c r="A5" i="16" s="1"/>
  <c r="E2" i="16" s="1"/>
  <c r="D5" i="17" s="1" a="1"/>
  <c r="D5" i="17" s="1"/>
  <c r="B9" i="10" a="1"/>
  <c r="B9" i="10" s="1"/>
  <c r="B9" i="13" a="1"/>
  <c r="B9" i="13" s="1"/>
  <c r="B7" i="13" a="1"/>
  <c r="B8" i="13" a="1"/>
  <c r="B8" i="13" s="1"/>
  <c r="K28" i="7" a="1"/>
  <c r="C15" i="7" a="1"/>
  <c r="C28" i="7" a="1"/>
  <c r="F5" i="20" a="1"/>
  <c r="K15" i="7" a="1"/>
  <c r="C5" i="20" l="1"/>
  <c r="H20" i="20"/>
  <c r="H19" i="20"/>
  <c r="H18" i="20"/>
  <c r="H17" i="20"/>
  <c r="A1" i="4" a="1"/>
  <c r="A1" i="4" s="1"/>
  <c r="B1" i="4" s="1" a="1"/>
  <c r="B1" i="4" s="1"/>
  <c r="K15" i="7"/>
  <c r="C15" i="7"/>
  <c r="K28" i="7"/>
  <c r="C5" i="26" a="1"/>
  <c r="C5" i="23" a="1"/>
  <c r="C5" i="23" s="1"/>
  <c r="G5" i="23" a="1"/>
  <c r="G5" i="23" s="1"/>
  <c r="F5" i="20"/>
  <c r="C28" i="7"/>
  <c r="E2" i="8"/>
  <c r="C5" i="17" a="1"/>
  <c r="C5" i="17" s="1"/>
  <c r="G5" i="17" a="1"/>
  <c r="G5" i="17" s="1"/>
  <c r="A5" i="10" a="1"/>
  <c r="A5" i="10" s="1"/>
  <c r="E2" i="10" s="1"/>
  <c r="D5" i="11" s="1" a="1"/>
  <c r="D5" i="11" s="1"/>
  <c r="G5" i="11" s="1" a="1"/>
  <c r="G5" i="11" s="1"/>
  <c r="B7" i="13"/>
  <c r="A5" i="13" s="1" a="1"/>
  <c r="A5" i="13" s="1"/>
  <c r="E2" i="13" s="1"/>
  <c r="D5" i="14" s="1" a="1"/>
  <c r="D5" i="14" s="1"/>
  <c r="F5" i="23" a="1"/>
  <c r="C2" i="7" a="1"/>
  <c r="K2" i="7" a="1"/>
  <c r="F5" i="17" a="1"/>
  <c r="E2" i="4" a="1"/>
  <c r="E2" i="4" l="1"/>
  <c r="C5" i="26"/>
  <c r="C2" i="7"/>
  <c r="K2" i="7"/>
  <c r="F5" i="23"/>
  <c r="F5" i="17"/>
  <c r="C5" i="14" a="1"/>
  <c r="C5" i="14" s="1"/>
  <c r="G5" i="14" a="1"/>
  <c r="G5" i="14" s="1"/>
  <c r="C5" i="11" a="1"/>
  <c r="C5" i="11" s="1"/>
  <c r="F5" i="14" a="1"/>
  <c r="F5" i="11" a="1"/>
  <c r="F5" i="26" a="1"/>
  <c r="D2" i="28" l="1"/>
  <c r="B5" i="28" s="1" a="1"/>
  <c r="B5" i="28" s="1"/>
  <c r="F2" i="28" s="1"/>
  <c r="C2" i="18"/>
  <c r="A5" i="18" s="1" a="1"/>
  <c r="A5" i="18" s="1"/>
  <c r="E2" i="18" s="1" a="1"/>
  <c r="E2" i="18" s="1"/>
  <c r="C2" i="15"/>
  <c r="A5" i="15" s="1" a="1"/>
  <c r="A5" i="15" s="1"/>
  <c r="E2" i="15" s="1" a="1"/>
  <c r="E2" i="15" s="1"/>
  <c r="C2" i="25"/>
  <c r="C2" i="22"/>
  <c r="D2" i="3"/>
  <c r="C2" i="19"/>
  <c r="C2" i="16"/>
  <c r="C2" i="12"/>
  <c r="A5" i="12" s="1" a="1"/>
  <c r="A5" i="12" s="1"/>
  <c r="E2" i="12" s="1" a="1"/>
  <c r="E2" i="12" s="1"/>
  <c r="C2" i="10"/>
  <c r="C2" i="9"/>
  <c r="A5" i="9" s="1" a="1"/>
  <c r="A5" i="9" s="1"/>
  <c r="E2" i="9" s="1" a="1"/>
  <c r="E2" i="9" s="1"/>
  <c r="C2" i="21"/>
  <c r="A5" i="21" s="1" a="1"/>
  <c r="A5" i="21" s="1"/>
  <c r="E2" i="21" s="1" a="1"/>
  <c r="E2" i="21" s="1"/>
  <c r="C2" i="13"/>
  <c r="C2" i="24"/>
  <c r="A5" i="24" s="1" a="1"/>
  <c r="A5" i="24" s="1"/>
  <c r="E2" i="24" s="1" a="1"/>
  <c r="E2" i="24" s="1"/>
  <c r="F5" i="26"/>
  <c r="F5" i="14"/>
  <c r="F5" i="11"/>
  <c r="F2" i="3" a="1"/>
  <c r="F2" i="3" s="1"/>
  <c r="E5" i="4" l="1" a="1"/>
  <c r="E5" i="4" s="1"/>
  <c r="D5" i="4" a="1"/>
  <c r="D5" i="4" l="1"/>
  <c r="I11" i="4"/>
  <c r="I13" i="4"/>
  <c r="I12" i="4"/>
  <c r="I10" i="4"/>
  <c r="I9" i="4"/>
  <c r="H5" i="4" a="1"/>
  <c r="H5" i="4" s="1"/>
  <c r="G5" i="4" a="1"/>
  <c r="G5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<sst xmlns="http://schemas.openxmlformats.org/spreadsheetml/2006/main" count="3361" uniqueCount="185">
  <si>
    <t>eventkey</t>
  </si>
  <si>
    <t>role</t>
  </si>
  <si>
    <t>scouterInitials</t>
  </si>
  <si>
    <t>matchNum</t>
  </si>
  <si>
    <t>teamNum</t>
  </si>
  <si>
    <t>startPos</t>
  </si>
  <si>
    <t>mobility</t>
  </si>
  <si>
    <t>climbStartTime</t>
  </si>
  <si>
    <t>pickupMethod</t>
  </si>
  <si>
    <t>climbStatus</t>
  </si>
  <si>
    <t>stoppedAndRestarted</t>
  </si>
  <si>
    <t>died</t>
  </si>
  <si>
    <t>tipped</t>
  </si>
  <si>
    <t>redCard</t>
  </si>
  <si>
    <t>yellowCard</t>
  </si>
  <si>
    <t>broke</t>
  </si>
  <si>
    <t>autoFailure</t>
  </si>
  <si>
    <t>gotStuck</t>
  </si>
  <si>
    <t>didn'tFieldRobot</t>
  </si>
  <si>
    <t>otherInfo</t>
  </si>
  <si>
    <t>scoredInAuto</t>
  </si>
  <si>
    <t>scoredInTeleop</t>
  </si>
  <si>
    <t>totalScored</t>
  </si>
  <si>
    <t>avgCycleTime</t>
  </si>
  <si>
    <t>canScoreInSpeaker</t>
  </si>
  <si>
    <t>canScoreInAmp</t>
  </si>
  <si>
    <t>canScoreInTrap</t>
  </si>
  <si>
    <t>2023pncmp</t>
  </si>
  <si>
    <t>b1</t>
  </si>
  <si>
    <t>FU</t>
  </si>
  <si>
    <t>no</t>
  </si>
  <si>
    <t>none</t>
  </si>
  <si>
    <t>no attempt</t>
  </si>
  <si>
    <t>NaN</t>
  </si>
  <si>
    <t>auto</t>
  </si>
  <si>
    <t>teleOp</t>
  </si>
  <si>
    <t>2024Yakimacmp</t>
  </si>
  <si>
    <t>r2</t>
  </si>
  <si>
    <t>BB</t>
  </si>
  <si>
    <t>yes</t>
  </si>
  <si>
    <t>ground only</t>
  </si>
  <si>
    <t>climb success</t>
  </si>
  <si>
    <t>dropped</t>
  </si>
  <si>
    <t>speaker</t>
  </si>
  <si>
    <t>b2</t>
  </si>
  <si>
    <t>SG</t>
  </si>
  <si>
    <t>start2</t>
  </si>
  <si>
    <t>r1</t>
  </si>
  <si>
    <t>ZM</t>
  </si>
  <si>
    <t>start1</t>
  </si>
  <si>
    <t>climb failed</t>
  </si>
  <si>
    <t>amp</t>
  </si>
  <si>
    <t>DA</t>
  </si>
  <si>
    <t>start3</t>
  </si>
  <si>
    <t>ground and source</t>
  </si>
  <si>
    <t>r3</t>
  </si>
  <si>
    <t>IP</t>
  </si>
  <si>
    <t>source only</t>
  </si>
  <si>
    <t>HB</t>
  </si>
  <si>
    <t>The last shot missed.</t>
  </si>
  <si>
    <t>Got 2 penalties.</t>
  </si>
  <si>
    <t>GP</t>
  </si>
  <si>
    <t>LETS GO AEMBOT</t>
  </si>
  <si>
    <t>b3</t>
  </si>
  <si>
    <t>AB</t>
  </si>
  <si>
    <t>No intake</t>
  </si>
  <si>
    <t>start4</t>
  </si>
  <si>
    <t>Didn't do too much compared to other bots on the field at the time...</t>
  </si>
  <si>
    <t xml:space="preserve">Cool hook design </t>
  </si>
  <si>
    <t>Janky driving</t>
  </si>
  <si>
    <t>frequently missed speaker shots</t>
  </si>
  <si>
    <t>Can aggressively grab notes (i.e. squishing them)</t>
  </si>
  <si>
    <t>Not efficient intake</t>
  </si>
  <si>
    <t>Might be good 3rd robot for alliance (Lwood said to write this)â€¦?</t>
  </si>
  <si>
    <t>They struggled to pick up and score one note for the majority of the match</t>
  </si>
  <si>
    <t>One tech foul, a lot of speaker shots</t>
  </si>
  <si>
    <t>did not pick up any note in auto, that was a misclick</t>
  </si>
  <si>
    <t>Slower than others</t>
  </si>
  <si>
    <t>JL</t>
  </si>
  <si>
    <t>AW</t>
  </si>
  <si>
    <t>third note in auto was dropped, not put in amp</t>
  </si>
  <si>
    <t>trap</t>
  </si>
  <si>
    <t>No Swerve</t>
  </si>
  <si>
    <t xml:space="preserve">One of their wheels stopped working and kept going In circles for a solid 10 seconds and worked js as fine after </t>
  </si>
  <si>
    <t>Took awhile to get going</t>
  </si>
  <si>
    <t>They got a note stuck on them, so they just played defense the entire game.</t>
  </si>
  <si>
    <t>Needs to pick up against wall</t>
  </si>
  <si>
    <t>Tippy</t>
  </si>
  <si>
    <t>Stopped for a bit and started again</t>
  </si>
  <si>
    <t>Tried to defend for a bit, but got 2 tech fouls</t>
  </si>
  <si>
    <t>It passed notes.</t>
  </si>
  <si>
    <t>Did not pick up note during auto (miss click)</t>
  </si>
  <si>
    <t>Tank drive. Source pickup amp only, ground speaker only</t>
  </si>
  <si>
    <t xml:space="preserve">Slow intake, got stuck in climber, kept stopping randomly </t>
  </si>
  <si>
    <t xml:space="preserve">If I clicked amp I meant speaker </t>
  </si>
  <si>
    <t>Crashed into wall and then became immobile, 2 penalties</t>
  </si>
  <si>
    <t xml:space="preserve">Pretty harsh defense </t>
  </si>
  <si>
    <t>Spun around for a while during teleop.</t>
  </si>
  <si>
    <t>Slow, no intake</t>
  </si>
  <si>
    <t xml:space="preserve">Stopped for 12 seconds ish and after that their intake didnâ€™t work so they had to push the notes toward the speakers for the rest of match </t>
  </si>
  <si>
    <t>Might be high score</t>
  </si>
  <si>
    <t>The robot was incredibly sluggish the entire match.</t>
  </si>
  <si>
    <t>Had a note stuck in their intake towards the end of the match</t>
  </si>
  <si>
    <t xml:space="preserve">Speaker shots were never accurate </t>
  </si>
  <si>
    <t>Note got stuck on robot.</t>
  </si>
  <si>
    <t xml:space="preserve">Fed a lot of notes to opponent when trying to pickup, also moved very slowly at the end </t>
  </si>
  <si>
    <t>Amp oriented bot</t>
  </si>
  <si>
    <t>Penalty for moving 2 notes</t>
  </si>
  <si>
    <t>Got hit a lot by other bots</t>
  </si>
  <si>
    <t>Light was flashing but never moved at all. Got a lot of penalties because it was blocking source.</t>
  </si>
  <si>
    <t>Purely defense, didnâ€™t pick up a single note</t>
  </si>
  <si>
    <t>Match was pretty dry in terms of appeal, and a note was broken</t>
  </si>
  <si>
    <t xml:space="preserve">Literally did nothing other than block other robot </t>
  </si>
  <si>
    <t>Looked like shooter broke half way through And they just started blocking other teams, no scoring</t>
  </si>
  <si>
    <t>Amazing source intake method.</t>
  </si>
  <si>
    <t>Purely defense</t>
  </si>
  <si>
    <t xml:space="preserve">Red alliance was missing a bot </t>
  </si>
  <si>
    <t>Most note fails were because it got smacked by a bot when shooting</t>
  </si>
  <si>
    <t>Did some defense near mid-end game</t>
  </si>
  <si>
    <t>The bot got bullied by 4131</t>
  </si>
  <si>
    <t>Stopped and restarted thrice</t>
  </si>
  <si>
    <t>Hit hard against something. Note got stuck where it ainâ€™t supposed to</t>
  </si>
  <si>
    <t>Didnâ€™t really do anything, penalty</t>
  </si>
  <si>
    <t>Human source gave up on giving note, bot did some defense (mainly roamed)</t>
  </si>
  <si>
    <t>Bot did nothing pretty much</t>
  </si>
  <si>
    <t>Did nothing, died at end</t>
  </si>
  <si>
    <t>Took very long time to get note from source.</t>
  </si>
  <si>
    <t>Aw</t>
  </si>
  <si>
    <t>Their intake didnâ€™t work so they were focused on the Defendet</t>
  </si>
  <si>
    <t>Had two notes for a bit.</t>
  </si>
  <si>
    <t>Often shoots way short</t>
  </si>
  <si>
    <t xml:space="preserve">Played defense the whole time. </t>
  </si>
  <si>
    <t xml:space="preserve">Ngl I think I fell asleep midway </t>
  </si>
  <si>
    <t>didnt shoot note into speaker for a long time, likely some sort of breakage</t>
  </si>
  <si>
    <t>Note got stuck in robot</t>
  </si>
  <si>
    <t xml:space="preserve">Stopped twice for short period of time </t>
  </si>
  <si>
    <t>Failed to intake well and proceeded to play defense poorly.</t>
  </si>
  <si>
    <t>played defense second half of match</t>
  </si>
  <si>
    <t>Plaid Defense.</t>
  </si>
  <si>
    <t>Number of Matches Played</t>
  </si>
  <si>
    <t>Average Cycle Time</t>
  </si>
  <si>
    <t>Cycle Time Inconsistancy</t>
  </si>
  <si>
    <t>Notes Per Match</t>
  </si>
  <si>
    <t>Scoring Capabilities</t>
  </si>
  <si>
    <t>Pickup Capabilities</t>
  </si>
  <si>
    <t>Auto Cycles</t>
  </si>
  <si>
    <t>Teleop Cycles</t>
  </si>
  <si>
    <t>Average Note Inconsistancy</t>
  </si>
  <si>
    <t>Climb Capability</t>
  </si>
  <si>
    <t>Average Climbing Time</t>
  </si>
  <si>
    <t>Climb Time Inconsistancy</t>
  </si>
  <si>
    <t>Climb Successes</t>
  </si>
  <si>
    <t>Climb Fails</t>
  </si>
  <si>
    <t>Breaks</t>
  </si>
  <si>
    <t>Avg notes per match</t>
  </si>
  <si>
    <t>Avg Note Inconsistancy</t>
  </si>
  <si>
    <t>Cycle Time STDEV</t>
  </si>
  <si>
    <t>Where Score</t>
  </si>
  <si>
    <t>Auto Map</t>
  </si>
  <si>
    <t>Average Score</t>
  </si>
  <si>
    <t>Score Inconsistancy</t>
  </si>
  <si>
    <t>Climb time</t>
  </si>
  <si>
    <t>Climb Time STDEV</t>
  </si>
  <si>
    <t>Climb Consistancy</t>
  </si>
  <si>
    <t>Where Started in Which Match</t>
  </si>
  <si>
    <t>Number of Amp Scores?</t>
  </si>
  <si>
    <t>Number of Speakers Scores?</t>
  </si>
  <si>
    <t>Team Number</t>
  </si>
  <si>
    <t>GameNumber</t>
  </si>
  <si>
    <t>Length</t>
  </si>
  <si>
    <t>Selected Row</t>
  </si>
  <si>
    <t>Raw Data</t>
  </si>
  <si>
    <t>Path ID</t>
  </si>
  <si>
    <t>Time</t>
  </si>
  <si>
    <t>Location</t>
  </si>
  <si>
    <t>Team</t>
  </si>
  <si>
    <t>Average Notes</t>
  </si>
  <si>
    <t>Cycle Time</t>
  </si>
  <si>
    <t>Climb Time</t>
  </si>
  <si>
    <t>Broken/Died Tally</t>
  </si>
  <si>
    <t>Climb Success Ratio Unsimplified</t>
  </si>
  <si>
    <t>Robot Number</t>
  </si>
  <si>
    <t>Sort Column</t>
  </si>
  <si>
    <t>Path Number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</si>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</sst>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9999"/>
        <bgColor indexed="64"/>
      </patternFill>
    </fill>
    <fill>
      <patternFill patternType="solid">
        <fgColor rgb="FF9999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1" fontId="0" fillId="0" borderId="0" xfId="0" applyNumberFormat="1"/>
    <xf numFmtId="0" fontId="0" fillId="0" borderId="0" xfId="0" quotePrefix="1"/>
    <xf numFmtId="0" fontId="0" fillId="2" borderId="0" xfId="0" applyFill="1"/>
    <xf numFmtId="0" fontId="0" fillId="3" borderId="0" xfId="0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99FF"/>
      <color rgb="FFFF9999"/>
      <color rgb="FFFFFF99"/>
      <color rgb="FFFFAAAA"/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'Auto Path Backend 3'!$H$5:$H$6</c:f>
              <c:numCache>
                <c:formatCode>General</c:formatCode>
                <c:ptCount val="2"/>
                <c:pt idx="0">
                  <c:v>0</c:v>
                </c:pt>
              </c:numCache>
            </c:numRef>
          </c:xVal>
          <c:yVal>
            <c:numRef>
              <c:f>'Auto Path Backend 3'!$G$5:$G$6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69-4892-8EAC-53A9B6920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37967"/>
        <c:axId val="1362083503"/>
      </c:scatterChart>
      <c:valAx>
        <c:axId val="119203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2083503"/>
        <c:crosses val="autoZero"/>
        <c:crossBetween val="midCat"/>
      </c:valAx>
      <c:valAx>
        <c:axId val="136208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03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'Prematch Backend 2C'!$G$5:$G$1000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xVal>
          <c:yVal>
            <c:numRef>
              <c:f>'Prematch Backend 2C'!$F$5:$F$1000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A9-4679-90A3-92D03CC8B7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57027744"/>
        <c:axId val="1004840016"/>
      </c:scatterChart>
      <c:valAx>
        <c:axId val="657027744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40016"/>
        <c:crosses val="autoZero"/>
        <c:crossBetween val="midCat"/>
      </c:valAx>
      <c:valAx>
        <c:axId val="100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77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'Prematch Backend 3C'!$G$5:$G$1000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xVal>
          <c:yVal>
            <c:numRef>
              <c:f>'Prematch Backend 3C'!$F$5:$F$1000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A16-828A-AF5D15EA756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57027744"/>
        <c:axId val="1004840016"/>
      </c:scatterChart>
      <c:valAx>
        <c:axId val="657027744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40016"/>
        <c:crosses val="autoZero"/>
        <c:crossBetween val="midCat"/>
      </c:valAx>
      <c:valAx>
        <c:axId val="100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77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'Prematch Backend 4C'!$G$5:$G$1000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xVal>
          <c:yVal>
            <c:numRef>
              <c:f>'Prematch Backend 4C'!$F$5:$F$1000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08-4A93-94CE-2784467397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57027744"/>
        <c:axId val="1004840016"/>
      </c:scatterChart>
      <c:valAx>
        <c:axId val="657027744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40016"/>
        <c:crosses val="autoZero"/>
        <c:crossBetween val="midCat"/>
      </c:valAx>
      <c:valAx>
        <c:axId val="100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77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'Prematch Backend 5C'!$G$5:$G$1000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xVal>
          <c:yVal>
            <c:numRef>
              <c:f>'Prematch Backend 5C'!$F$5:$F$1000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9-4275-8CF1-054EF924004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57027744"/>
        <c:axId val="1004840016"/>
      </c:scatterChart>
      <c:valAx>
        <c:axId val="657027744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40016"/>
        <c:crosses val="autoZero"/>
        <c:crossBetween val="midCat"/>
      </c:valAx>
      <c:valAx>
        <c:axId val="100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77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'Prematch Backend 6C'!$G$5:$G$1000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xVal>
          <c:yVal>
            <c:numRef>
              <c:f>'Prematch Backend 6C'!$F$5:$F$1000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5D-48A7-B80C-CC3F423780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57027744"/>
        <c:axId val="1004840016"/>
      </c:scatterChart>
      <c:valAx>
        <c:axId val="657027744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40016"/>
        <c:crosses val="autoZero"/>
        <c:crossBetween val="midCat"/>
      </c:valAx>
      <c:valAx>
        <c:axId val="100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77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017935258092739E-2"/>
          <c:y val="0.16245370370370371"/>
          <c:w val="0.9219821648263814"/>
          <c:h val="0.7236020562137653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'Prematch Backend 7C'!$G$5:$G$1000</c:f>
              <c:numCache>
                <c:formatCode>0</c:formatCode>
                <c:ptCount val="996"/>
                <c:pt idx="0">
                  <c:v>0</c:v>
                </c:pt>
              </c:numCache>
            </c:numRef>
          </c:xVal>
          <c:yVal>
            <c:numRef>
              <c:f>'Prematch Backend 7C'!$F$5:$F$1000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C9-4609-ACC6-44399EA7FA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57027744"/>
        <c:axId val="1004840016"/>
      </c:scatterChart>
      <c:valAx>
        <c:axId val="657027744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40016"/>
        <c:crosses val="autoZero"/>
        <c:crossBetween val="midCat"/>
      </c:valAx>
      <c:valAx>
        <c:axId val="100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77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'Prematch Backend 2C'!$G$5:$G$1000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xVal>
          <c:yVal>
            <c:numRef>
              <c:f>'Prematch Backend 2C'!$F$5:$F$1000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47-40DA-B4E8-D3926E0CE5B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57027744"/>
        <c:axId val="1004840016"/>
      </c:scatterChart>
      <c:valAx>
        <c:axId val="657027744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40016"/>
        <c:crosses val="autoZero"/>
        <c:crossBetween val="midCat"/>
        <c:majorUnit val="1"/>
      </c:valAx>
      <c:valAx>
        <c:axId val="100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77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'Prematch Backend 3C'!$G$5:$G$1000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xVal>
          <c:yVal>
            <c:numRef>
              <c:f>'Prematch Backend 3C'!$F$5:$F$1000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86-4284-91DF-A43A01B3A2B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57027744"/>
        <c:axId val="1004840016"/>
      </c:scatterChart>
      <c:valAx>
        <c:axId val="657027744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40016"/>
        <c:crosses val="autoZero"/>
        <c:crossBetween val="midCat"/>
      </c:valAx>
      <c:valAx>
        <c:axId val="100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77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'Prematch Backend 4C'!$G$5:$G$1000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xVal>
          <c:yVal>
            <c:numRef>
              <c:f>'Prematch Backend 4C'!$F$5:$F$1000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FD-455F-9F4D-FAC14C751DF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57027744"/>
        <c:axId val="1004840016"/>
      </c:scatterChart>
      <c:valAx>
        <c:axId val="657027744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40016"/>
        <c:crosses val="autoZero"/>
        <c:crossBetween val="midCat"/>
      </c:valAx>
      <c:valAx>
        <c:axId val="100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77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numRef>
              <c:f>'Prematch Backend 5C'!$G$5:$G$1000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xVal>
          <c:yVal>
            <c:numRef>
              <c:f>'Prematch Backend 5C'!$F$5:$F$1000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C4-4438-8F98-80366504482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57027744"/>
        <c:axId val="1004840016"/>
      </c:scatterChart>
      <c:valAx>
        <c:axId val="657027744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40016"/>
        <c:crosses val="autoZero"/>
        <c:crossBetween val="midCat"/>
      </c:valAx>
      <c:valAx>
        <c:axId val="100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77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'Prematch Backend 6C'!$G$5:$G$1000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xVal>
          <c:yVal>
            <c:numRef>
              <c:f>'Prematch Backend 6C'!$F$5:$F$1000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46-401F-BCED-EF97EE4D9D8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57027744"/>
        <c:axId val="1004840016"/>
      </c:scatterChart>
      <c:valAx>
        <c:axId val="657027744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40016"/>
        <c:crosses val="autoZero"/>
        <c:crossBetween val="midCat"/>
      </c:valAx>
      <c:valAx>
        <c:axId val="100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77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'Prematch Backend 7C'!$G$5:$G$1000</c:f>
              <c:numCache>
                <c:formatCode>0</c:formatCode>
                <c:ptCount val="996"/>
                <c:pt idx="0">
                  <c:v>0</c:v>
                </c:pt>
              </c:numCache>
            </c:numRef>
          </c:xVal>
          <c:yVal>
            <c:numRef>
              <c:f>'Prematch Backend 7C'!$F$5:$F$1000</c:f>
              <c:numCache>
                <c:formatCode>General</c:formatCode>
                <c:ptCount val="996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4D-40A7-A0CD-5AC7E158C5B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57027744"/>
        <c:axId val="1004840016"/>
      </c:scatterChart>
      <c:valAx>
        <c:axId val="657027744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40016"/>
        <c:crosses val="autoZero"/>
        <c:crossBetween val="midCat"/>
      </c:valAx>
      <c:valAx>
        <c:axId val="10048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277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'Full Data'!$E$3</c:f>
              <c:strCache>
                <c:ptCount val="1"/>
                <c:pt idx="0">
                  <c:v>Cycle Time Inconsistancy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'Full Data'!$D$5:$D$31</c:f>
              <c:numCache>
                <c:formatCode>General</c:formatCode>
                <c:ptCount val="27"/>
              </c:numCache>
            </c:numRef>
          </c:xVal>
          <c:yVal>
            <c:numRef>
              <c:f>'Full Data'!$E$5:$E$31</c:f>
              <c:numCache>
                <c:formatCode>General</c:formatCode>
                <c:ptCount val="2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D1-4F99-84AB-D46DC0189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865415"/>
        <c:axId val="1079448071"/>
      </c:scatterChart>
      <c:valAx>
        <c:axId val="1062865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448071"/>
        <c:crosses val="autoZero"/>
        <c:crossBetween val="midCat"/>
      </c:valAx>
      <c:valAx>
        <c:axId val="1079448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865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cycle time / notes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'Full Data'!$D$5:$D$31</c:f>
              <c:numCache>
                <c:formatCode>General</c:formatCode>
                <c:ptCount val="27"/>
              </c:numCache>
            </c:numRef>
          </c:xVal>
          <c:yVal>
            <c:numRef>
              <c:f>'Full Data'!$F$5:$F$31</c:f>
              <c:numCache>
                <c:formatCode>General</c:formatCode>
                <c:ptCount val="2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92-4FB5-A8E1-5C4F2D8AB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36423"/>
        <c:axId val="75846151"/>
      </c:scatterChart>
      <c:valAx>
        <c:axId val="75836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46151"/>
        <c:crosses val="autoZero"/>
        <c:crossBetween val="midCat"/>
      </c:valAx>
      <c:valAx>
        <c:axId val="75846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36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'Auto Path Backend 3'!$H$5:$H$6</c:f>
              <c:numCache>
                <c:formatCode>General</c:formatCode>
                <c:ptCount val="2"/>
                <c:pt idx="0">
                  <c:v>0</c:v>
                </c:pt>
              </c:numCache>
            </c:numRef>
          </c:xVal>
          <c:yVal>
            <c:numRef>
              <c:f>'Auto Path Backend 3'!$G$5:$G$6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D5-4494-AD4C-672517567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37967"/>
        <c:axId val="1362083503"/>
      </c:scatterChart>
      <c:valAx>
        <c:axId val="1192037967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Location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2083503"/>
        <c:crosses val="autoZero"/>
        <c:crossBetween val="midCat"/>
        <c:majorUnit val="1"/>
      </c:valAx>
      <c:valAx>
        <c:axId val="1362083503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03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50800</xdr:rowOff>
        </xdr:from>
        <xdr:to>
          <xdr:col>1</xdr:col>
          <xdr:colOff>673100</xdr:colOff>
          <xdr:row>0</xdr:row>
          <xdr:rowOff>393700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50800</xdr:rowOff>
        </xdr:from>
        <xdr:to>
          <xdr:col>1</xdr:col>
          <xdr:colOff>673100</xdr:colOff>
          <xdr:row>1</xdr:row>
          <xdr:rowOff>393700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676275</xdr:colOff>
      <xdr:row>6</xdr:row>
      <xdr:rowOff>109537</xdr:rowOff>
    </xdr:from>
    <xdr:to>
      <xdr:col>15</xdr:col>
      <xdr:colOff>123825</xdr:colOff>
      <xdr:row>20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2</xdr:row>
      <xdr:rowOff>104775</xdr:rowOff>
    </xdr:from>
    <xdr:to>
      <xdr:col>16</xdr:col>
      <xdr:colOff>485775</xdr:colOff>
      <xdr:row>16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2</xdr:row>
      <xdr:rowOff>104775</xdr:rowOff>
    </xdr:from>
    <xdr:to>
      <xdr:col>16</xdr:col>
      <xdr:colOff>485775</xdr:colOff>
      <xdr:row>16</xdr:row>
      <xdr:rowOff>180975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2</xdr:row>
      <xdr:rowOff>104775</xdr:rowOff>
    </xdr:from>
    <xdr:to>
      <xdr:col>16</xdr:col>
      <xdr:colOff>485775</xdr:colOff>
      <xdr:row>16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2</xdr:row>
      <xdr:rowOff>104775</xdr:rowOff>
    </xdr:from>
    <xdr:to>
      <xdr:col>16</xdr:col>
      <xdr:colOff>485775</xdr:colOff>
      <xdr:row>16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2</xdr:row>
      <xdr:rowOff>104775</xdr:rowOff>
    </xdr:from>
    <xdr:to>
      <xdr:col>16</xdr:col>
      <xdr:colOff>485775</xdr:colOff>
      <xdr:row>16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8</xdr:row>
      <xdr:rowOff>38100</xdr:rowOff>
    </xdr:from>
    <xdr:to>
      <xdr:col>16</xdr:col>
      <xdr:colOff>542925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2986</xdr:colOff>
      <xdr:row>3</xdr:row>
      <xdr:rowOff>1</xdr:rowOff>
    </xdr:from>
    <xdr:to>
      <xdr:col>5</xdr:col>
      <xdr:colOff>729052</xdr:colOff>
      <xdr:row>12</xdr:row>
      <xdr:rowOff>188111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</xdr:colOff>
      <xdr:row>16</xdr:row>
      <xdr:rowOff>1</xdr:rowOff>
    </xdr:from>
    <xdr:to>
      <xdr:col>6</xdr:col>
      <xdr:colOff>1</xdr:colOff>
      <xdr:row>26</xdr:row>
      <xdr:rowOff>6854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1813</xdr:colOff>
      <xdr:row>29</xdr:row>
      <xdr:rowOff>0</xdr:rowOff>
    </xdr:from>
    <xdr:to>
      <xdr:col>6</xdr:col>
      <xdr:colOff>0</xdr:colOff>
      <xdr:row>39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</xdr:colOff>
      <xdr:row>3</xdr:row>
      <xdr:rowOff>0</xdr:rowOff>
    </xdr:from>
    <xdr:to>
      <xdr:col>14</xdr:col>
      <xdr:colOff>1</xdr:colOff>
      <xdr:row>12</xdr:row>
      <xdr:rowOff>166933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9820</xdr:colOff>
      <xdr:row>16</xdr:row>
      <xdr:rowOff>9818</xdr:rowOff>
    </xdr:from>
    <xdr:to>
      <xdr:col>14</xdr:col>
      <xdr:colOff>9820</xdr:colOff>
      <xdr:row>25</xdr:row>
      <xdr:rowOff>176752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29</xdr:row>
      <xdr:rowOff>0</xdr:rowOff>
    </xdr:from>
    <xdr:to>
      <xdr:col>14</xdr:col>
      <xdr:colOff>11476</xdr:colOff>
      <xdr:row>39</xdr:row>
      <xdr:rowOff>22952</xdr:rowOff>
    </xdr:to>
    <xdr:graphicFrame macro="">
      <xdr:nvGraphicFramePr>
        <xdr:cNvPr id="9" name="Chart 6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35</xdr:row>
      <xdr:rowOff>76200</xdr:rowOff>
    </xdr:from>
    <xdr:to>
      <xdr:col>12</xdr:col>
      <xdr:colOff>238125</xdr:colOff>
      <xdr:row>49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38</xdr:row>
      <xdr:rowOff>123825</xdr:rowOff>
    </xdr:from>
    <xdr:to>
      <xdr:col>13</xdr:col>
      <xdr:colOff>0</xdr:colOff>
      <xdr:row>53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  <a:ext uri="{147F2762-F138-4A5C-976F-8EAC2B608ADB}">
              <a16:predDERef xmlns:a16="http://schemas.microsoft.com/office/drawing/2014/main" pred="{AD8B90BD-4A8D-4474-0712-B59770389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7</xdr:col>
      <xdr:colOff>304800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72AC9-CA48-4EFB-9A1D-C753C6A55C17}">
  <sheetPr codeName="Sheet1"/>
  <dimension ref="A1:AE36"/>
  <sheetViews>
    <sheetView tabSelected="1" workbookViewId="0">
      <pane ySplit="2" topLeftCell="A3" activePane="bottomLeft" state="frozen"/>
      <selection pane="bottomLeft" activeCell="L17" sqref="L17"/>
    </sheetView>
  </sheetViews>
  <sheetFormatPr baseColWidth="10" defaultColWidth="8.83203125" defaultRowHeight="15" x14ac:dyDescent="0.2"/>
  <cols>
    <col min="1" max="1" width="14.5" bestFit="1" customWidth="1"/>
    <col min="2" max="2" width="3" bestFit="1" customWidth="1"/>
    <col min="3" max="3" width="3.1640625" bestFit="1" customWidth="1"/>
    <col min="4" max="4" width="3" bestFit="1" customWidth="1"/>
    <col min="5" max="5" width="7.33203125" customWidth="1"/>
    <col min="6" max="6" width="5.83203125" hidden="1" customWidth="1"/>
    <col min="7" max="7" width="14.6640625" hidden="1" customWidth="1"/>
    <col min="8" max="8" width="8" bestFit="1" customWidth="1"/>
    <col min="9" max="9" width="10.33203125" bestFit="1" customWidth="1"/>
    <col min="10" max="10" width="11.83203125" bestFit="1" customWidth="1"/>
    <col min="11" max="11" width="5.83203125" bestFit="1" customWidth="1"/>
    <col min="12" max="12" width="38.5" customWidth="1"/>
    <col min="13" max="19" width="5.83203125" hidden="1" customWidth="1"/>
    <col min="20" max="20" width="86.33203125" customWidth="1"/>
    <col min="21" max="21" width="22.5" customWidth="1"/>
    <col min="22" max="22" width="53.1640625" customWidth="1"/>
    <col min="23" max="23" width="10.83203125" customWidth="1"/>
    <col min="24" max="24" width="13" customWidth="1"/>
    <col min="25" max="25" width="18.1640625" customWidth="1"/>
    <col min="26" max="26" width="6.33203125" customWidth="1"/>
    <col min="27" max="27" width="51.6640625" customWidth="1"/>
    <col min="28" max="28" width="60.6640625" customWidth="1"/>
    <col min="29" max="29" width="4.83203125" bestFit="1" customWidth="1"/>
    <col min="30" max="30" width="2" bestFit="1" customWidth="1"/>
    <col min="31" max="31" width="6.5" bestFit="1" customWidth="1"/>
    <col min="32" max="32" width="7.33203125" bestFit="1" customWidth="1"/>
    <col min="33" max="33" width="7" bestFit="1" customWidth="1"/>
    <col min="34" max="34" width="6" bestFit="1" customWidth="1"/>
    <col min="35" max="35" width="7.33203125" bestFit="1" customWidth="1"/>
    <col min="36" max="36" width="6" bestFit="1" customWidth="1"/>
    <col min="37" max="37" width="7" bestFit="1" customWidth="1"/>
    <col min="38" max="38" width="7.83203125" bestFit="1" customWidth="1"/>
    <col min="39" max="39" width="8" bestFit="1" customWidth="1"/>
    <col min="40" max="40" width="7" bestFit="1" customWidth="1"/>
    <col min="41" max="41" width="7.33203125" bestFit="1" customWidth="1"/>
    <col min="42" max="42" width="7" bestFit="1" customWidth="1"/>
    <col min="43" max="43" width="6" bestFit="1" customWidth="1"/>
    <col min="44" max="44" width="7" bestFit="1" customWidth="1"/>
    <col min="45" max="45" width="6" bestFit="1" customWidth="1"/>
    <col min="46" max="46" width="7.33203125" bestFit="1" customWidth="1"/>
    <col min="47" max="48" width="6" bestFit="1" customWidth="1"/>
    <col min="49" max="49" width="7.33203125" bestFit="1" customWidth="1"/>
    <col min="50" max="50" width="7" bestFit="1" customWidth="1"/>
    <col min="51" max="51" width="6" bestFit="1" customWidth="1"/>
    <col min="52" max="52" width="7.33203125" bestFit="1" customWidth="1"/>
    <col min="53" max="53" width="7" bestFit="1" customWidth="1"/>
    <col min="54" max="54" width="6" bestFit="1" customWidth="1"/>
    <col min="55" max="55" width="7.33203125" bestFit="1" customWidth="1"/>
    <col min="56" max="56" width="8" bestFit="1" customWidth="1"/>
    <col min="57" max="57" width="6" bestFit="1" customWidth="1"/>
    <col min="58" max="58" width="7.33203125" bestFit="1" customWidth="1"/>
    <col min="59" max="59" width="8" bestFit="1" customWidth="1"/>
    <col min="60" max="60" width="7" bestFit="1" customWidth="1"/>
    <col min="61" max="61" width="8" bestFit="1" customWidth="1"/>
    <col min="62" max="62" width="6" bestFit="1" customWidth="1"/>
    <col min="63" max="63" width="7.33203125" bestFit="1" customWidth="1"/>
    <col min="64" max="64" width="8" bestFit="1" customWidth="1"/>
    <col min="65" max="65" width="6" bestFit="1" customWidth="1"/>
    <col min="66" max="66" width="8" bestFit="1" customWidth="1"/>
    <col min="67" max="67" width="5" bestFit="1" customWidth="1"/>
    <col min="68" max="68" width="6" bestFit="1" customWidth="1"/>
    <col min="69" max="69" width="7.83203125" bestFit="1" customWidth="1"/>
    <col min="70" max="70" width="8" bestFit="1" customWidth="1"/>
    <col min="71" max="71" width="6" bestFit="1" customWidth="1"/>
    <col min="72" max="72" width="7.33203125" bestFit="1" customWidth="1"/>
    <col min="73" max="73" width="8" bestFit="1" customWidth="1"/>
    <col min="74" max="74" width="6" bestFit="1" customWidth="1"/>
    <col min="75" max="75" width="7.33203125" bestFit="1" customWidth="1"/>
    <col min="76" max="76" width="8" bestFit="1" customWidth="1"/>
    <col min="77" max="77" width="5" bestFit="1" customWidth="1"/>
    <col min="78" max="78" width="7.33203125" bestFit="1" customWidth="1"/>
    <col min="79" max="79" width="8" bestFit="1" customWidth="1"/>
    <col min="80" max="80" width="6" bestFit="1" customWidth="1"/>
    <col min="81" max="81" width="7.83203125" bestFit="1" customWidth="1"/>
    <col min="82" max="82" width="8" bestFit="1" customWidth="1"/>
    <col min="83" max="83" width="6" bestFit="1" customWidth="1"/>
    <col min="84" max="84" width="8" bestFit="1" customWidth="1"/>
    <col min="85" max="85" width="6" bestFit="1" customWidth="1"/>
    <col min="86" max="86" width="7.33203125" bestFit="1" customWidth="1"/>
    <col min="87" max="87" width="8" bestFit="1" customWidth="1"/>
    <col min="88" max="88" width="6" bestFit="1" customWidth="1"/>
    <col min="89" max="89" width="7.33203125" bestFit="1" customWidth="1"/>
    <col min="90" max="90" width="8" bestFit="1" customWidth="1"/>
    <col min="91" max="91" width="6" bestFit="1" customWidth="1"/>
    <col min="92" max="92" width="4.33203125" bestFit="1" customWidth="1"/>
    <col min="93" max="93" width="8" bestFit="1" customWidth="1"/>
    <col min="94" max="94" width="6" bestFit="1" customWidth="1"/>
    <col min="95" max="95" width="7.33203125" bestFit="1" customWidth="1"/>
    <col min="96" max="96" width="8" bestFit="1" customWidth="1"/>
    <col min="97" max="97" width="6" bestFit="1" customWidth="1"/>
    <col min="98" max="98" width="7.33203125" bestFit="1" customWidth="1"/>
    <col min="99" max="99" width="8" bestFit="1" customWidth="1"/>
    <col min="100" max="100" width="6" bestFit="1" customWidth="1"/>
    <col min="101" max="101" width="7.33203125" bestFit="1" customWidth="1"/>
    <col min="102" max="102" width="8" bestFit="1" customWidth="1"/>
    <col min="103" max="103" width="6" bestFit="1" customWidth="1"/>
    <col min="104" max="104" width="4.5" bestFit="1" customWidth="1"/>
    <col min="105" max="105" width="8" bestFit="1" customWidth="1"/>
    <col min="106" max="106" width="6" bestFit="1" customWidth="1"/>
    <col min="107" max="107" width="7.83203125" bestFit="1" customWidth="1"/>
    <col min="108" max="108" width="8" bestFit="1" customWidth="1"/>
    <col min="109" max="109" width="6" bestFit="1" customWidth="1"/>
    <col min="110" max="110" width="7.33203125" bestFit="1" customWidth="1"/>
    <col min="111" max="111" width="8" bestFit="1" customWidth="1"/>
    <col min="112" max="112" width="6" bestFit="1" customWidth="1"/>
    <col min="113" max="113" width="7.33203125" bestFit="1" customWidth="1"/>
    <col min="114" max="114" width="8" bestFit="1" customWidth="1"/>
    <col min="115" max="115" width="6" bestFit="1" customWidth="1"/>
    <col min="116" max="116" width="7.33203125" bestFit="1" customWidth="1"/>
    <col min="117" max="117" width="8" bestFit="1" customWidth="1"/>
    <col min="118" max="118" width="6" bestFit="1" customWidth="1"/>
    <col min="119" max="119" width="4.5" bestFit="1" customWidth="1"/>
    <col min="120" max="120" width="8" bestFit="1" customWidth="1"/>
    <col min="121" max="121" width="6" bestFit="1" customWidth="1"/>
    <col min="122" max="122" width="7.33203125" bestFit="1" customWidth="1"/>
    <col min="123" max="123" width="8" bestFit="1" customWidth="1"/>
    <col min="124" max="124" width="6" bestFit="1" customWidth="1"/>
    <col min="125" max="125" width="7.83203125" bestFit="1" customWidth="1"/>
    <col min="126" max="126" width="8" bestFit="1" customWidth="1"/>
    <col min="127" max="127" width="6" bestFit="1" customWidth="1"/>
    <col min="128" max="128" width="4.33203125" bestFit="1" customWidth="1"/>
    <col min="129" max="129" width="6" bestFit="1" customWidth="1"/>
    <col min="130" max="130" width="5" bestFit="1" customWidth="1"/>
    <col min="131" max="131" width="7" bestFit="1" customWidth="1"/>
    <col min="132" max="132" width="5" bestFit="1" customWidth="1"/>
    <col min="133" max="133" width="7.33203125" bestFit="1" customWidth="1"/>
    <col min="134" max="134" width="7" bestFit="1" customWidth="1"/>
    <col min="135" max="135" width="6" bestFit="1" customWidth="1"/>
    <col min="136" max="136" width="7.33203125" bestFit="1" customWidth="1"/>
    <col min="137" max="137" width="7" bestFit="1" customWidth="1"/>
    <col min="138" max="138" width="6" bestFit="1" customWidth="1"/>
    <col min="139" max="139" width="7.33203125" bestFit="1" customWidth="1"/>
    <col min="140" max="140" width="7" bestFit="1" customWidth="1"/>
    <col min="141" max="141" width="5" bestFit="1" customWidth="1"/>
    <col min="142" max="142" width="7.33203125" bestFit="1" customWidth="1"/>
    <col min="143" max="143" width="7" bestFit="1" customWidth="1"/>
    <col min="144" max="144" width="6" bestFit="1" customWidth="1"/>
    <col min="145" max="145" width="7.33203125" bestFit="1" customWidth="1"/>
    <col min="146" max="146" width="7" bestFit="1" customWidth="1"/>
    <col min="147" max="147" width="6" bestFit="1" customWidth="1"/>
    <col min="148" max="148" width="7.33203125" bestFit="1" customWidth="1"/>
    <col min="149" max="149" width="7" bestFit="1" customWidth="1"/>
    <col min="150" max="150" width="5" bestFit="1" customWidth="1"/>
    <col min="151" max="151" width="7.33203125" bestFit="1" customWidth="1"/>
    <col min="152" max="152" width="6" bestFit="1" customWidth="1"/>
    <col min="153" max="153" width="5" bestFit="1" customWidth="1"/>
    <col min="154" max="154" width="7.33203125" bestFit="1" customWidth="1"/>
    <col min="155" max="155" width="7" bestFit="1" customWidth="1"/>
    <col min="156" max="156" width="6" bestFit="1" customWidth="1"/>
    <col min="157" max="157" width="7.33203125" bestFit="1" customWidth="1"/>
    <col min="158" max="158" width="7" bestFit="1" customWidth="1"/>
    <col min="159" max="159" width="6" bestFit="1" customWidth="1"/>
    <col min="160" max="160" width="7.33203125" bestFit="1" customWidth="1"/>
    <col min="161" max="161" width="7" bestFit="1" customWidth="1"/>
    <col min="162" max="162" width="6" bestFit="1" customWidth="1"/>
    <col min="163" max="163" width="7.33203125" bestFit="1" customWidth="1"/>
    <col min="164" max="164" width="7" bestFit="1" customWidth="1"/>
    <col min="165" max="165" width="6" bestFit="1" customWidth="1"/>
    <col min="166" max="166" width="7.33203125" bestFit="1" customWidth="1"/>
    <col min="167" max="167" width="7" bestFit="1" customWidth="1"/>
    <col min="168" max="168" width="6" bestFit="1" customWidth="1"/>
    <col min="169" max="169" width="7.33203125" bestFit="1" customWidth="1"/>
    <col min="170" max="171" width="6" bestFit="1" customWidth="1"/>
    <col min="172" max="172" width="7.33203125" bestFit="1" customWidth="1"/>
    <col min="173" max="173" width="7" bestFit="1" customWidth="1"/>
    <col min="174" max="174" width="6" bestFit="1" customWidth="1"/>
    <col min="175" max="175" width="7.33203125" bestFit="1" customWidth="1"/>
    <col min="176" max="176" width="7" bestFit="1" customWidth="1"/>
    <col min="177" max="177" width="6" bestFit="1" customWidth="1"/>
    <col min="178" max="178" width="7.33203125" bestFit="1" customWidth="1"/>
    <col min="179" max="180" width="6" bestFit="1" customWidth="1"/>
    <col min="181" max="181" width="7.33203125" bestFit="1" customWidth="1"/>
    <col min="182" max="182" width="7" bestFit="1" customWidth="1"/>
    <col min="183" max="183" width="6" bestFit="1" customWidth="1"/>
    <col min="184" max="184" width="7.33203125" bestFit="1" customWidth="1"/>
    <col min="185" max="185" width="7" bestFit="1" customWidth="1"/>
    <col min="186" max="186" width="6" bestFit="1" customWidth="1"/>
    <col min="187" max="187" width="7.33203125" bestFit="1" customWidth="1"/>
    <col min="188" max="188" width="7" bestFit="1" customWidth="1"/>
    <col min="189" max="189" width="6" bestFit="1" customWidth="1"/>
    <col min="190" max="190" width="7.33203125" bestFit="1" customWidth="1"/>
    <col min="191" max="191" width="7" bestFit="1" customWidth="1"/>
    <col min="192" max="192" width="5" bestFit="1" customWidth="1"/>
    <col min="193" max="193" width="7.33203125" bestFit="1" customWidth="1"/>
    <col min="194" max="194" width="7" bestFit="1" customWidth="1"/>
    <col min="195" max="195" width="6" bestFit="1" customWidth="1"/>
    <col min="196" max="196" width="7.33203125" bestFit="1" customWidth="1"/>
    <col min="197" max="197" width="7" bestFit="1" customWidth="1"/>
    <col min="198" max="198" width="6" bestFit="1" customWidth="1"/>
    <col min="199" max="199" width="7.33203125" bestFit="1" customWidth="1"/>
    <col min="200" max="200" width="7" bestFit="1" customWidth="1"/>
    <col min="201" max="201" width="6" bestFit="1" customWidth="1"/>
    <col min="202" max="202" width="7.33203125" bestFit="1" customWidth="1"/>
    <col min="203" max="203" width="7" bestFit="1" customWidth="1"/>
    <col min="204" max="204" width="6" bestFit="1" customWidth="1"/>
    <col min="205" max="205" width="7.33203125" bestFit="1" customWidth="1"/>
    <col min="206" max="206" width="7" bestFit="1" customWidth="1"/>
    <col min="207" max="207" width="6" bestFit="1" customWidth="1"/>
    <col min="208" max="208" width="7.33203125" bestFit="1" customWidth="1"/>
    <col min="209" max="209" width="7" bestFit="1" customWidth="1"/>
    <col min="210" max="210" width="6" bestFit="1" customWidth="1"/>
    <col min="211" max="211" width="7.33203125" bestFit="1" customWidth="1"/>
    <col min="212" max="212" width="7" bestFit="1" customWidth="1"/>
    <col min="213" max="213" width="6" bestFit="1" customWidth="1"/>
    <col min="214" max="214" width="7.33203125" bestFit="1" customWidth="1"/>
    <col min="215" max="215" width="7" bestFit="1" customWidth="1"/>
    <col min="216" max="216" width="6" bestFit="1" customWidth="1"/>
    <col min="217" max="217" width="7.33203125" bestFit="1" customWidth="1"/>
    <col min="218" max="218" width="7" bestFit="1" customWidth="1"/>
    <col min="219" max="219" width="6" bestFit="1" customWidth="1"/>
    <col min="220" max="220" width="7.33203125" bestFit="1" customWidth="1"/>
    <col min="221" max="221" width="7" bestFit="1" customWidth="1"/>
    <col min="222" max="222" width="6" bestFit="1" customWidth="1"/>
    <col min="223" max="223" width="7.33203125" bestFit="1" customWidth="1"/>
    <col min="224" max="224" width="7" bestFit="1" customWidth="1"/>
    <col min="225" max="225" width="5" bestFit="1" customWidth="1"/>
    <col min="226" max="226" width="7.33203125" bestFit="1" customWidth="1"/>
    <col min="227" max="227" width="7" bestFit="1" customWidth="1"/>
    <col min="228" max="228" width="6" bestFit="1" customWidth="1"/>
    <col min="229" max="229" width="7.33203125" bestFit="1" customWidth="1"/>
    <col min="230" max="230" width="7" bestFit="1" customWidth="1"/>
    <col min="231" max="231" width="6" bestFit="1" customWidth="1"/>
    <col min="232" max="232" width="7.33203125" bestFit="1" customWidth="1"/>
    <col min="233" max="233" width="7" bestFit="1" customWidth="1"/>
    <col min="234" max="234" width="6" bestFit="1" customWidth="1"/>
  </cols>
  <sheetData>
    <row r="1" spans="1:31" s="1" customFormat="1" ht="63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</row>
    <row r="2" spans="1:31" s="1" customFormat="1" hidden="1" x14ac:dyDescent="0.2"/>
    <row r="3" spans="1:31" s="7" customFormat="1" ht="4.25" customHeight="1" x14ac:dyDescent="0.2">
      <c r="A3" s="7" t="s">
        <v>27</v>
      </c>
      <c r="B3" s="7" t="s">
        <v>28</v>
      </c>
      <c r="C3" s="7" t="s">
        <v>29</v>
      </c>
      <c r="D3" s="7">
        <v>0</v>
      </c>
      <c r="E3" s="7">
        <v>0</v>
      </c>
      <c r="G3" s="7" t="s">
        <v>30</v>
      </c>
      <c r="H3" s="7">
        <v>0</v>
      </c>
      <c r="I3" s="7" t="s">
        <v>31</v>
      </c>
      <c r="J3" s="7" t="s">
        <v>32</v>
      </c>
      <c r="K3" s="7" t="b">
        <v>0</v>
      </c>
      <c r="L3" s="7" t="b">
        <v>0</v>
      </c>
      <c r="M3" s="7" t="b">
        <v>0</v>
      </c>
      <c r="N3" s="7" t="b">
        <v>0</v>
      </c>
      <c r="O3" s="7" t="b">
        <v>0</v>
      </c>
      <c r="P3" s="7" t="b">
        <v>0</v>
      </c>
      <c r="Q3" s="7" t="b">
        <v>0</v>
      </c>
      <c r="R3" s="7" t="b">
        <v>0</v>
      </c>
      <c r="S3" s="7" t="b">
        <v>0</v>
      </c>
      <c r="U3" s="7">
        <v>0</v>
      </c>
      <c r="V3" s="7">
        <v>0</v>
      </c>
      <c r="W3" s="7">
        <v>0</v>
      </c>
      <c r="X3" s="7" t="s">
        <v>33</v>
      </c>
      <c r="Y3" s="7" t="b">
        <v>0</v>
      </c>
      <c r="Z3" s="7" t="b">
        <v>0</v>
      </c>
      <c r="AA3" s="7" t="b">
        <v>0</v>
      </c>
      <c r="AB3" s="7">
        <v>0</v>
      </c>
      <c r="AC3" s="7" t="s">
        <v>34</v>
      </c>
      <c r="AE3" s="7" t="s">
        <v>35</v>
      </c>
    </row>
    <row r="30" spans="1:1" x14ac:dyDescent="0.2">
      <c r="A30" t="s">
        <v>184</v>
      </c>
    </row>
    <row r="36" ht="16" customHeight="1" x14ac:dyDescent="0.2"/>
  </sheetData>
  <sortState xmlns:xlrd2="http://schemas.microsoft.com/office/spreadsheetml/2017/richdata2" ref="A3:DZ306">
    <sortCondition ref="D2:D306"/>
    <sortCondition ref="B2:B306" customList="b1,b2,b3,r1,r2,r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Module5.ImportText">
                <anchor moveWithCells="1" sizeWithCells="1">
                  <from>
                    <xdr:col>0</xdr:col>
                    <xdr:colOff>38100</xdr:colOff>
                    <xdr:row>0</xdr:row>
                    <xdr:rowOff>50800</xdr:rowOff>
                  </from>
                  <to>
                    <xdr:col>1</xdr:col>
                    <xdr:colOff>673100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74F39-CB8C-43AA-9F6B-AC5CB69706C0}">
  <dimension ref="A1:DZ204"/>
  <sheetViews>
    <sheetView topLeftCell="A178" workbookViewId="0"/>
  </sheetViews>
  <sheetFormatPr baseColWidth="10" defaultColWidth="8.83203125" defaultRowHeight="15" x14ac:dyDescent="0.2"/>
  <cols>
    <col min="1" max="1" width="6" bestFit="1" customWidth="1"/>
    <col min="2" max="2" width="2.6640625" bestFit="1" customWidth="1"/>
    <col min="3" max="3" width="3.5" bestFit="1" customWidth="1"/>
    <col min="4" max="4" width="3" bestFit="1" customWidth="1"/>
    <col min="5" max="5" width="5" bestFit="1" customWidth="1"/>
    <col min="6" max="6" width="5.83203125" bestFit="1" customWidth="1"/>
    <col min="7" max="7" width="3.6640625" bestFit="1" customWidth="1"/>
    <col min="8" max="8" width="2" bestFit="1" customWidth="1"/>
    <col min="9" max="9" width="5.1640625" bestFit="1" customWidth="1"/>
    <col min="10" max="10" width="10.1640625" bestFit="1" customWidth="1"/>
    <col min="11" max="19" width="5.83203125" bestFit="1" customWidth="1"/>
    <col min="20" max="20" width="12.5" bestFit="1" customWidth="1"/>
    <col min="21" max="23" width="2" bestFit="1" customWidth="1"/>
    <col min="24" max="24" width="9" bestFit="1" customWidth="1"/>
    <col min="25" max="25" width="5.5" bestFit="1" customWidth="1"/>
    <col min="26" max="27" width="5.83203125" bestFit="1" customWidth="1"/>
    <col min="28" max="28" width="2" bestFit="1" customWidth="1"/>
    <col min="29" max="29" width="4.83203125" bestFit="1" customWidth="1"/>
    <col min="30" max="30" width="2" bestFit="1" customWidth="1"/>
    <col min="31" max="31" width="7.33203125" bestFit="1" customWidth="1"/>
    <col min="32" max="33" width="6" bestFit="1" customWidth="1"/>
    <col min="34" max="34" width="2" bestFit="1" customWidth="1"/>
    <col min="35" max="35" width="7.33203125" bestFit="1" customWidth="1"/>
    <col min="36" max="36" width="7" bestFit="1" customWidth="1"/>
    <col min="37" max="37" width="6" bestFit="1" customWidth="1"/>
    <col min="38" max="38" width="2" bestFit="1" customWidth="1"/>
    <col min="39" max="39" width="7.33203125" bestFit="1" customWidth="1"/>
    <col min="40" max="40" width="7" bestFit="1" customWidth="1"/>
    <col min="41" max="41" width="6" bestFit="1" customWidth="1"/>
    <col min="42" max="42" width="7" bestFit="1" customWidth="1"/>
    <col min="43" max="43" width="6.5" bestFit="1" customWidth="1"/>
    <col min="44" max="44" width="7.83203125" bestFit="1" customWidth="1"/>
    <col min="45" max="45" width="7" bestFit="1" customWidth="1"/>
    <col min="46" max="46" width="6" bestFit="1" customWidth="1"/>
    <col min="47" max="47" width="7.83203125" bestFit="1" customWidth="1"/>
    <col min="48" max="48" width="7" bestFit="1" customWidth="1"/>
    <col min="49" max="49" width="6" bestFit="1" customWidth="1"/>
    <col min="50" max="50" width="7.33203125" bestFit="1" customWidth="1"/>
    <col min="51" max="51" width="7" bestFit="1" customWidth="1"/>
    <col min="52" max="52" width="6" bestFit="1" customWidth="1"/>
    <col min="53" max="53" width="7.33203125" bestFit="1" customWidth="1"/>
    <col min="54" max="54" width="7" bestFit="1" customWidth="1"/>
    <col min="55" max="55" width="6" bestFit="1" customWidth="1"/>
    <col min="56" max="56" width="7.33203125" bestFit="1" customWidth="1"/>
    <col min="57" max="57" width="7" bestFit="1" customWidth="1"/>
    <col min="58" max="58" width="6" bestFit="1" customWidth="1"/>
    <col min="59" max="59" width="7.33203125" bestFit="1" customWidth="1"/>
    <col min="60" max="60" width="5" bestFit="1" customWidth="1"/>
    <col min="61" max="61" width="6" bestFit="1" customWidth="1"/>
    <col min="62" max="62" width="7.83203125" bestFit="1" customWidth="1"/>
    <col min="63" max="63" width="8" bestFit="1" customWidth="1"/>
    <col min="64" max="64" width="7" bestFit="1" customWidth="1"/>
    <col min="65" max="65" width="7.33203125" bestFit="1" customWidth="1"/>
    <col min="66" max="66" width="8" bestFit="1" customWidth="1"/>
    <col min="67" max="67" width="7" bestFit="1" customWidth="1"/>
    <col min="68" max="68" width="8" bestFit="1" customWidth="1"/>
    <col min="69" max="69" width="6" bestFit="1" customWidth="1"/>
    <col min="70" max="70" width="4.5" bestFit="1" customWidth="1"/>
    <col min="71" max="71" width="8" bestFit="1" customWidth="1"/>
    <col min="72" max="72" width="6" bestFit="1" customWidth="1"/>
    <col min="73" max="73" width="4.5" bestFit="1" customWidth="1"/>
    <col min="74" max="74" width="8" bestFit="1" customWidth="1"/>
    <col min="75" max="75" width="6" bestFit="1" customWidth="1"/>
    <col min="76" max="76" width="7.33203125" bestFit="1" customWidth="1"/>
    <col min="77" max="77" width="8" bestFit="1" customWidth="1"/>
    <col min="78" max="78" width="6" bestFit="1" customWidth="1"/>
    <col min="79" max="79" width="7.83203125" bestFit="1" customWidth="1"/>
    <col min="80" max="80" width="8" bestFit="1" customWidth="1"/>
    <col min="81" max="82" width="6" bestFit="1" customWidth="1"/>
    <col min="83" max="83" width="7.33203125" bestFit="1" customWidth="1"/>
    <col min="84" max="84" width="8" bestFit="1" customWidth="1"/>
    <col min="85" max="85" width="6" bestFit="1" customWidth="1"/>
    <col min="86" max="86" width="7.33203125" bestFit="1" customWidth="1"/>
    <col min="87" max="87" width="8" bestFit="1" customWidth="1"/>
    <col min="88" max="88" width="6" bestFit="1" customWidth="1"/>
    <col min="89" max="89" width="7.33203125" bestFit="1" customWidth="1"/>
    <col min="90" max="90" width="8" bestFit="1" customWidth="1"/>
    <col min="91" max="91" width="6" bestFit="1" customWidth="1"/>
    <col min="92" max="92" width="4.33203125" bestFit="1" customWidth="1"/>
    <col min="93" max="93" width="8" bestFit="1" customWidth="1"/>
    <col min="94" max="94" width="6" bestFit="1" customWidth="1"/>
    <col min="95" max="95" width="7.33203125" bestFit="1" customWidth="1"/>
    <col min="96" max="96" width="8" bestFit="1" customWidth="1"/>
    <col min="97" max="97" width="6" bestFit="1" customWidth="1"/>
    <col min="98" max="98" width="7.33203125" bestFit="1" customWidth="1"/>
    <col min="99" max="99" width="8" bestFit="1" customWidth="1"/>
    <col min="100" max="100" width="6" bestFit="1" customWidth="1"/>
    <col min="101" max="101" width="7.33203125" bestFit="1" customWidth="1"/>
    <col min="102" max="102" width="8" bestFit="1" customWidth="1"/>
    <col min="103" max="103" width="6" bestFit="1" customWidth="1"/>
    <col min="104" max="104" width="4.5" bestFit="1" customWidth="1"/>
    <col min="105" max="105" width="8" bestFit="1" customWidth="1"/>
    <col min="106" max="106" width="6" bestFit="1" customWidth="1"/>
    <col min="107" max="107" width="7.83203125" bestFit="1" customWidth="1"/>
    <col min="108" max="108" width="8" bestFit="1" customWidth="1"/>
    <col min="109" max="109" width="6" bestFit="1" customWidth="1"/>
    <col min="110" max="110" width="7.33203125" bestFit="1" customWidth="1"/>
    <col min="111" max="111" width="8" bestFit="1" customWidth="1"/>
    <col min="112" max="112" width="6" bestFit="1" customWidth="1"/>
    <col min="113" max="113" width="7.33203125" bestFit="1" customWidth="1"/>
    <col min="114" max="114" width="8" bestFit="1" customWidth="1"/>
    <col min="115" max="115" width="6" bestFit="1" customWidth="1"/>
    <col min="116" max="116" width="7.33203125" bestFit="1" customWidth="1"/>
    <col min="117" max="117" width="8" bestFit="1" customWidth="1"/>
    <col min="118" max="118" width="6" bestFit="1" customWidth="1"/>
    <col min="119" max="119" width="4.5" bestFit="1" customWidth="1"/>
    <col min="120" max="120" width="8" bestFit="1" customWidth="1"/>
    <col min="121" max="121" width="6" bestFit="1" customWidth="1"/>
    <col min="122" max="122" width="7.33203125" bestFit="1" customWidth="1"/>
    <col min="123" max="123" width="8" bestFit="1" customWidth="1"/>
    <col min="124" max="124" width="6" bestFit="1" customWidth="1"/>
    <col min="125" max="125" width="7.83203125" bestFit="1" customWidth="1"/>
    <col min="126" max="126" width="8" bestFit="1" customWidth="1"/>
    <col min="127" max="127" width="6" bestFit="1" customWidth="1"/>
    <col min="128" max="128" width="4.33203125" bestFit="1" customWidth="1"/>
    <col min="129" max="129" width="6" bestFit="1" customWidth="1"/>
    <col min="130" max="130" width="5" bestFit="1" customWidth="1"/>
    <col min="131" max="131" width="7" bestFit="1" customWidth="1"/>
    <col min="132" max="132" width="5" bestFit="1" customWidth="1"/>
    <col min="133" max="133" width="7.33203125" bestFit="1" customWidth="1"/>
    <col min="134" max="134" width="7" bestFit="1" customWidth="1"/>
    <col min="135" max="135" width="6" bestFit="1" customWidth="1"/>
    <col min="136" max="136" width="7.33203125" bestFit="1" customWidth="1"/>
    <col min="137" max="137" width="7" bestFit="1" customWidth="1"/>
    <col min="138" max="138" width="6" bestFit="1" customWidth="1"/>
    <col min="139" max="139" width="7.33203125" bestFit="1" customWidth="1"/>
    <col min="140" max="140" width="7" bestFit="1" customWidth="1"/>
    <col min="141" max="141" width="5" bestFit="1" customWidth="1"/>
    <col min="142" max="142" width="7.33203125" bestFit="1" customWidth="1"/>
    <col min="143" max="143" width="7" bestFit="1" customWidth="1"/>
    <col min="144" max="144" width="6" bestFit="1" customWidth="1"/>
    <col min="145" max="145" width="7.33203125" bestFit="1" customWidth="1"/>
    <col min="146" max="146" width="7" bestFit="1" customWidth="1"/>
    <col min="147" max="147" width="6" bestFit="1" customWidth="1"/>
    <col min="148" max="148" width="7.33203125" bestFit="1" customWidth="1"/>
    <col min="149" max="149" width="7" bestFit="1" customWidth="1"/>
    <col min="150" max="150" width="5" bestFit="1" customWidth="1"/>
    <col min="151" max="151" width="7.33203125" bestFit="1" customWidth="1"/>
    <col min="152" max="152" width="6" bestFit="1" customWidth="1"/>
    <col min="153" max="153" width="5" bestFit="1" customWidth="1"/>
    <col min="154" max="154" width="7.33203125" bestFit="1" customWidth="1"/>
    <col min="155" max="155" width="7" bestFit="1" customWidth="1"/>
    <col min="156" max="156" width="6" bestFit="1" customWidth="1"/>
    <col min="157" max="157" width="7.33203125" bestFit="1" customWidth="1"/>
    <col min="158" max="158" width="7" bestFit="1" customWidth="1"/>
    <col min="159" max="159" width="6" bestFit="1" customWidth="1"/>
    <col min="160" max="160" width="7.33203125" bestFit="1" customWidth="1"/>
    <col min="161" max="161" width="7" bestFit="1" customWidth="1"/>
    <col min="162" max="162" width="6" bestFit="1" customWidth="1"/>
    <col min="163" max="163" width="7.33203125" bestFit="1" customWidth="1"/>
    <col min="164" max="164" width="7" bestFit="1" customWidth="1"/>
    <col min="165" max="165" width="6" bestFit="1" customWidth="1"/>
    <col min="166" max="166" width="7.33203125" bestFit="1" customWidth="1"/>
    <col min="167" max="167" width="7" bestFit="1" customWidth="1"/>
    <col min="168" max="168" width="6" bestFit="1" customWidth="1"/>
    <col min="169" max="169" width="7.33203125" bestFit="1" customWidth="1"/>
    <col min="170" max="171" width="6" bestFit="1" customWidth="1"/>
    <col min="172" max="172" width="7.33203125" bestFit="1" customWidth="1"/>
    <col min="173" max="173" width="7" bestFit="1" customWidth="1"/>
    <col min="174" max="174" width="6" bestFit="1" customWidth="1"/>
    <col min="175" max="175" width="7.33203125" bestFit="1" customWidth="1"/>
    <col min="176" max="176" width="7" bestFit="1" customWidth="1"/>
    <col min="177" max="177" width="6" bestFit="1" customWidth="1"/>
    <col min="178" max="178" width="7.33203125" bestFit="1" customWidth="1"/>
    <col min="179" max="180" width="6" bestFit="1" customWidth="1"/>
    <col min="181" max="181" width="7.33203125" bestFit="1" customWidth="1"/>
    <col min="182" max="182" width="7" bestFit="1" customWidth="1"/>
    <col min="183" max="183" width="6" bestFit="1" customWidth="1"/>
    <col min="184" max="184" width="7.33203125" bestFit="1" customWidth="1"/>
    <col min="185" max="185" width="7" bestFit="1" customWidth="1"/>
    <col min="186" max="186" width="6" bestFit="1" customWidth="1"/>
    <col min="187" max="187" width="7.33203125" bestFit="1" customWidth="1"/>
    <col min="188" max="188" width="7" bestFit="1" customWidth="1"/>
    <col min="189" max="189" width="6" bestFit="1" customWidth="1"/>
    <col min="190" max="190" width="7.33203125" bestFit="1" customWidth="1"/>
    <col min="191" max="191" width="7" bestFit="1" customWidth="1"/>
    <col min="192" max="192" width="5" bestFit="1" customWidth="1"/>
    <col min="193" max="193" width="7.33203125" bestFit="1" customWidth="1"/>
    <col min="194" max="194" width="7" bestFit="1" customWidth="1"/>
    <col min="195" max="195" width="6" bestFit="1" customWidth="1"/>
    <col min="196" max="196" width="7.33203125" bestFit="1" customWidth="1"/>
    <col min="197" max="197" width="7" bestFit="1" customWidth="1"/>
    <col min="198" max="198" width="6" bestFit="1" customWidth="1"/>
    <col min="199" max="199" width="7.33203125" bestFit="1" customWidth="1"/>
    <col min="200" max="200" width="7" bestFit="1" customWidth="1"/>
    <col min="201" max="201" width="6" bestFit="1" customWidth="1"/>
    <col min="202" max="202" width="7.33203125" bestFit="1" customWidth="1"/>
    <col min="203" max="203" width="7" bestFit="1" customWidth="1"/>
    <col min="204" max="204" width="6" bestFit="1" customWidth="1"/>
    <col min="205" max="205" width="7.33203125" bestFit="1" customWidth="1"/>
    <col min="206" max="206" width="7" bestFit="1" customWidth="1"/>
    <col min="207" max="207" width="6" bestFit="1" customWidth="1"/>
    <col min="208" max="208" width="7.33203125" bestFit="1" customWidth="1"/>
    <col min="209" max="209" width="7" bestFit="1" customWidth="1"/>
    <col min="210" max="210" width="6" bestFit="1" customWidth="1"/>
    <col min="211" max="211" width="7.33203125" bestFit="1" customWidth="1"/>
    <col min="212" max="212" width="7" bestFit="1" customWidth="1"/>
    <col min="213" max="213" width="6" bestFit="1" customWidth="1"/>
    <col min="214" max="214" width="7.33203125" bestFit="1" customWidth="1"/>
    <col min="215" max="215" width="7" bestFit="1" customWidth="1"/>
    <col min="216" max="216" width="6" bestFit="1" customWidth="1"/>
    <col min="217" max="217" width="7.33203125" bestFit="1" customWidth="1"/>
    <col min="218" max="218" width="7" bestFit="1" customWidth="1"/>
    <col min="219" max="219" width="6" bestFit="1" customWidth="1"/>
    <col min="220" max="220" width="7.33203125" bestFit="1" customWidth="1"/>
    <col min="221" max="221" width="7" bestFit="1" customWidth="1"/>
    <col min="222" max="222" width="6" bestFit="1" customWidth="1"/>
    <col min="223" max="223" width="7.33203125" bestFit="1" customWidth="1"/>
    <col min="224" max="224" width="7" bestFit="1" customWidth="1"/>
    <col min="225" max="225" width="5" bestFit="1" customWidth="1"/>
    <col min="226" max="226" width="7.33203125" bestFit="1" customWidth="1"/>
    <col min="227" max="227" width="7" bestFit="1" customWidth="1"/>
    <col min="228" max="228" width="6" bestFit="1" customWidth="1"/>
    <col min="229" max="229" width="7.33203125" bestFit="1" customWidth="1"/>
    <col min="230" max="230" width="7" bestFit="1" customWidth="1"/>
    <col min="231" max="231" width="6" bestFit="1" customWidth="1"/>
    <col min="232" max="232" width="7.33203125" bestFit="1" customWidth="1"/>
    <col min="233" max="233" width="7" bestFit="1" customWidth="1"/>
    <col min="234" max="234" width="6" bestFit="1" customWidth="1"/>
  </cols>
  <sheetData>
    <row r="1" spans="1:66" s="1" customFormat="1" ht="63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</row>
    <row r="2" spans="1:66" s="1" customFormat="1" hidden="1" x14ac:dyDescent="0.2"/>
    <row r="3" spans="1:66" s="7" customFormat="1" ht="4.25" customHeight="1" x14ac:dyDescent="0.2">
      <c r="A3" s="7" t="s">
        <v>27</v>
      </c>
      <c r="B3" s="7" t="s">
        <v>28</v>
      </c>
      <c r="C3" s="7" t="s">
        <v>29</v>
      </c>
      <c r="D3" s="7">
        <v>0</v>
      </c>
      <c r="E3" s="7">
        <v>0</v>
      </c>
      <c r="G3" s="7" t="s">
        <v>30</v>
      </c>
      <c r="H3" s="7">
        <v>0</v>
      </c>
      <c r="I3" s="7" t="s">
        <v>31</v>
      </c>
      <c r="J3" s="7" t="s">
        <v>32</v>
      </c>
      <c r="K3" s="7" t="b">
        <v>0</v>
      </c>
      <c r="L3" s="7" t="b">
        <v>0</v>
      </c>
      <c r="M3" s="7" t="b">
        <v>0</v>
      </c>
      <c r="N3" s="7" t="b">
        <v>0</v>
      </c>
      <c r="O3" s="7" t="b">
        <v>0</v>
      </c>
      <c r="P3" s="7" t="b">
        <v>0</v>
      </c>
      <c r="Q3" s="7" t="b">
        <v>0</v>
      </c>
      <c r="R3" s="7" t="b">
        <v>0</v>
      </c>
      <c r="S3" s="7" t="b">
        <v>0</v>
      </c>
      <c r="U3" s="7">
        <v>0</v>
      </c>
      <c r="V3" s="7">
        <v>0</v>
      </c>
      <c r="W3" s="7">
        <v>0</v>
      </c>
      <c r="X3" s="7" t="s">
        <v>33</v>
      </c>
      <c r="Y3" s="7" t="b">
        <v>0</v>
      </c>
      <c r="Z3" s="7" t="b">
        <v>0</v>
      </c>
      <c r="AA3" s="7" t="b">
        <v>0</v>
      </c>
      <c r="AB3" s="7">
        <v>0</v>
      </c>
      <c r="AC3" s="7" t="s">
        <v>34</v>
      </c>
      <c r="AE3" s="7" t="s">
        <v>35</v>
      </c>
    </row>
    <row r="5" spans="1:66" x14ac:dyDescent="0.2">
      <c r="A5" t="s">
        <v>36</v>
      </c>
      <c r="B5" t="s">
        <v>37</v>
      </c>
      <c r="C5" t="s">
        <v>38</v>
      </c>
      <c r="D5">
        <v>1</v>
      </c>
      <c r="E5">
        <v>4513</v>
      </c>
      <c r="G5" t="s">
        <v>39</v>
      </c>
      <c r="H5">
        <v>146.904</v>
      </c>
      <c r="I5" t="s">
        <v>40</v>
      </c>
      <c r="J5" t="s">
        <v>41</v>
      </c>
      <c r="K5" t="b">
        <v>0</v>
      </c>
      <c r="L5" t="b">
        <v>0</v>
      </c>
      <c r="M5" t="b">
        <v>0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0</v>
      </c>
      <c r="U5">
        <v>0</v>
      </c>
      <c r="V5">
        <v>6</v>
      </c>
      <c r="W5">
        <v>6</v>
      </c>
      <c r="X5">
        <v>5.3058333333333296</v>
      </c>
      <c r="Y5" t="b">
        <v>1</v>
      </c>
      <c r="Z5" t="b">
        <v>0</v>
      </c>
      <c r="AA5" t="b">
        <v>0</v>
      </c>
      <c r="AB5">
        <v>0</v>
      </c>
      <c r="AC5" t="s">
        <v>34</v>
      </c>
      <c r="AE5" t="s">
        <v>35</v>
      </c>
      <c r="AF5" t="s">
        <v>42</v>
      </c>
      <c r="AG5">
        <v>0</v>
      </c>
      <c r="AH5">
        <v>68.643000000000001</v>
      </c>
      <c r="AI5" t="s">
        <v>43</v>
      </c>
      <c r="AJ5">
        <v>33.24</v>
      </c>
      <c r="AK5">
        <v>4.1040000000000001</v>
      </c>
      <c r="AL5" t="s">
        <v>43</v>
      </c>
      <c r="AM5">
        <v>44.131</v>
      </c>
      <c r="AN5">
        <v>5.4240000000000004</v>
      </c>
      <c r="AO5" t="s">
        <v>43</v>
      </c>
      <c r="AP5">
        <v>63.183</v>
      </c>
      <c r="AQ5">
        <v>1.3</v>
      </c>
      <c r="AR5" t="s">
        <v>43</v>
      </c>
      <c r="AS5">
        <v>73.212999999999994</v>
      </c>
      <c r="AT5">
        <v>12.577</v>
      </c>
      <c r="AU5" t="s">
        <v>43</v>
      </c>
      <c r="AV5">
        <v>95.295000000000002</v>
      </c>
      <c r="AW5">
        <v>1.9530000000000001</v>
      </c>
      <c r="AX5" t="s">
        <v>43</v>
      </c>
      <c r="AY5">
        <v>114.744</v>
      </c>
      <c r="AZ5">
        <v>6.4770000000000003</v>
      </c>
    </row>
    <row r="6" spans="1:66" x14ac:dyDescent="0.2">
      <c r="A6" t="s">
        <v>36</v>
      </c>
      <c r="B6" t="s">
        <v>44</v>
      </c>
      <c r="C6" t="s">
        <v>45</v>
      </c>
      <c r="D6">
        <v>1</v>
      </c>
      <c r="E6">
        <v>6076</v>
      </c>
      <c r="F6" t="s">
        <v>46</v>
      </c>
      <c r="G6" t="s">
        <v>30</v>
      </c>
      <c r="H6">
        <v>0</v>
      </c>
      <c r="I6" t="s">
        <v>31</v>
      </c>
      <c r="J6" t="s">
        <v>32</v>
      </c>
      <c r="K6" t="b">
        <v>0</v>
      </c>
      <c r="L6" t="b">
        <v>0</v>
      </c>
      <c r="M6" t="b">
        <v>0</v>
      </c>
      <c r="N6" t="b">
        <v>0</v>
      </c>
      <c r="O6" t="b">
        <v>0</v>
      </c>
      <c r="P6" t="b">
        <v>0</v>
      </c>
      <c r="Q6" t="b">
        <v>0</v>
      </c>
      <c r="R6" t="b">
        <v>0</v>
      </c>
      <c r="S6" t="b">
        <v>1</v>
      </c>
      <c r="U6">
        <v>3</v>
      </c>
      <c r="V6">
        <v>4</v>
      </c>
      <c r="W6">
        <v>7</v>
      </c>
      <c r="X6">
        <v>0.61214285714285699</v>
      </c>
      <c r="Y6" t="b">
        <v>1</v>
      </c>
      <c r="Z6" t="b">
        <v>1</v>
      </c>
      <c r="AA6" t="b">
        <v>0</v>
      </c>
      <c r="AB6">
        <v>0</v>
      </c>
      <c r="AC6" t="s">
        <v>34</v>
      </c>
      <c r="AE6" t="s">
        <v>35</v>
      </c>
    </row>
    <row r="7" spans="1:66" x14ac:dyDescent="0.2">
      <c r="A7" t="s">
        <v>36</v>
      </c>
      <c r="B7" t="s">
        <v>47</v>
      </c>
      <c r="C7" t="s">
        <v>48</v>
      </c>
      <c r="D7">
        <v>1</v>
      </c>
      <c r="E7">
        <v>4061</v>
      </c>
      <c r="F7" t="s">
        <v>49</v>
      </c>
      <c r="G7" t="s">
        <v>30</v>
      </c>
      <c r="H7">
        <v>151.66399999999999</v>
      </c>
      <c r="I7" t="s">
        <v>40</v>
      </c>
      <c r="J7" t="s">
        <v>50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  <c r="Q7" t="b">
        <v>0</v>
      </c>
      <c r="R7" t="b">
        <v>0</v>
      </c>
      <c r="S7" t="b">
        <v>0</v>
      </c>
      <c r="U7">
        <v>1</v>
      </c>
      <c r="V7">
        <v>2</v>
      </c>
      <c r="W7">
        <v>3</v>
      </c>
      <c r="X7">
        <v>51.023333333333298</v>
      </c>
      <c r="Y7" t="b">
        <v>1</v>
      </c>
      <c r="Z7" t="b">
        <v>1</v>
      </c>
      <c r="AA7" t="b">
        <v>0</v>
      </c>
      <c r="AB7">
        <v>0</v>
      </c>
      <c r="AC7" t="s">
        <v>34</v>
      </c>
      <c r="AD7">
        <v>0</v>
      </c>
      <c r="AE7" t="s">
        <v>43</v>
      </c>
      <c r="AF7">
        <v>0</v>
      </c>
      <c r="AG7">
        <v>139.66900000000001</v>
      </c>
      <c r="AI7" t="s">
        <v>35</v>
      </c>
      <c r="AJ7" t="s">
        <v>51</v>
      </c>
      <c r="AK7">
        <v>36.436999999999998</v>
      </c>
      <c r="AL7">
        <v>2.5979999999999999</v>
      </c>
      <c r="AM7" t="s">
        <v>42</v>
      </c>
      <c r="AN7">
        <v>55.451000000000001</v>
      </c>
      <c r="AO7">
        <v>10.036</v>
      </c>
      <c r="AP7" t="s">
        <v>51</v>
      </c>
      <c r="AQ7">
        <v>74.92</v>
      </c>
      <c r="AR7">
        <v>10.803000000000001</v>
      </c>
      <c r="AS7" t="s">
        <v>42</v>
      </c>
      <c r="AT7">
        <v>130.95500000000001</v>
      </c>
      <c r="AU7">
        <v>10.250999999999999</v>
      </c>
    </row>
    <row r="8" spans="1:66" x14ac:dyDescent="0.2">
      <c r="A8" t="s">
        <v>36</v>
      </c>
      <c r="B8" t="s">
        <v>28</v>
      </c>
      <c r="C8" t="s">
        <v>52</v>
      </c>
      <c r="D8">
        <v>1</v>
      </c>
      <c r="E8">
        <v>5468</v>
      </c>
      <c r="F8" t="s">
        <v>53</v>
      </c>
      <c r="G8" t="s">
        <v>39</v>
      </c>
      <c r="H8">
        <v>153.24199999999999</v>
      </c>
      <c r="I8" t="s">
        <v>54</v>
      </c>
      <c r="J8" t="s">
        <v>41</v>
      </c>
      <c r="K8" t="b">
        <v>0</v>
      </c>
      <c r="L8" t="b">
        <v>0</v>
      </c>
      <c r="M8" t="b">
        <v>0</v>
      </c>
      <c r="N8" t="b">
        <v>0</v>
      </c>
      <c r="O8" t="b">
        <v>0</v>
      </c>
      <c r="P8" t="b">
        <v>0</v>
      </c>
      <c r="Q8" t="b">
        <v>0</v>
      </c>
      <c r="R8" t="b">
        <v>0</v>
      </c>
      <c r="S8" t="b">
        <v>0</v>
      </c>
      <c r="U8">
        <v>2</v>
      </c>
      <c r="V8">
        <v>6</v>
      </c>
      <c r="W8">
        <v>8</v>
      </c>
      <c r="X8">
        <v>32.065750000000001</v>
      </c>
      <c r="Y8" t="b">
        <v>1</v>
      </c>
      <c r="Z8" t="b">
        <v>0</v>
      </c>
      <c r="AA8" t="b">
        <v>0</v>
      </c>
      <c r="AB8">
        <v>0</v>
      </c>
      <c r="AC8" t="s">
        <v>34</v>
      </c>
      <c r="AD8">
        <v>0</v>
      </c>
      <c r="AE8" t="s">
        <v>43</v>
      </c>
      <c r="AF8">
        <v>0</v>
      </c>
      <c r="AG8">
        <v>223.01</v>
      </c>
      <c r="AH8">
        <v>-3</v>
      </c>
      <c r="AI8" t="s">
        <v>43</v>
      </c>
      <c r="AJ8">
        <v>5.9189999999999996</v>
      </c>
      <c r="AK8">
        <v>1.72</v>
      </c>
      <c r="AM8" t="s">
        <v>35</v>
      </c>
      <c r="AN8" t="s">
        <v>42</v>
      </c>
      <c r="AO8">
        <v>27.021999999999998</v>
      </c>
      <c r="AP8">
        <v>5.6310000000000002</v>
      </c>
      <c r="AQ8" t="s">
        <v>43</v>
      </c>
      <c r="AR8">
        <v>34.073999999999998</v>
      </c>
      <c r="AS8">
        <v>4.9450000000000003</v>
      </c>
      <c r="AT8" t="s">
        <v>43</v>
      </c>
      <c r="AU8">
        <v>46.232999999999997</v>
      </c>
      <c r="AV8">
        <v>0.372</v>
      </c>
      <c r="AW8" t="s">
        <v>43</v>
      </c>
      <c r="AX8">
        <v>66.305999999999997</v>
      </c>
      <c r="AY8">
        <v>0.34899999999999998</v>
      </c>
      <c r="AZ8" t="s">
        <v>43</v>
      </c>
      <c r="BA8">
        <v>72.838999999999999</v>
      </c>
      <c r="BB8">
        <v>0.69899999999999995</v>
      </c>
      <c r="BC8" t="s">
        <v>42</v>
      </c>
      <c r="BD8">
        <v>88.971000000000004</v>
      </c>
      <c r="BE8">
        <v>3.9340000000000002</v>
      </c>
      <c r="BF8" t="s">
        <v>43</v>
      </c>
      <c r="BG8">
        <v>94.789000000000001</v>
      </c>
      <c r="BH8">
        <v>16.998999999999999</v>
      </c>
      <c r="BI8" t="s">
        <v>43</v>
      </c>
      <c r="BJ8">
        <v>115.84099999999999</v>
      </c>
      <c r="BK8">
        <v>8.4320000000000004</v>
      </c>
      <c r="BL8" t="s">
        <v>42</v>
      </c>
      <c r="BM8">
        <v>139.54</v>
      </c>
      <c r="BN8">
        <v>6.2</v>
      </c>
    </row>
    <row r="9" spans="1:66" x14ac:dyDescent="0.2">
      <c r="A9" t="s">
        <v>36</v>
      </c>
      <c r="B9" t="s">
        <v>55</v>
      </c>
      <c r="C9" t="s">
        <v>56</v>
      </c>
      <c r="D9">
        <v>1</v>
      </c>
      <c r="E9">
        <v>3712</v>
      </c>
      <c r="F9" t="s">
        <v>53</v>
      </c>
      <c r="G9" t="s">
        <v>30</v>
      </c>
      <c r="H9">
        <v>146.18199999999999</v>
      </c>
      <c r="I9" t="s">
        <v>57</v>
      </c>
      <c r="J9" t="s">
        <v>41</v>
      </c>
      <c r="K9" t="b">
        <v>0</v>
      </c>
      <c r="L9" t="b">
        <v>0</v>
      </c>
      <c r="M9" t="b">
        <v>0</v>
      </c>
      <c r="N9" t="b">
        <v>0</v>
      </c>
      <c r="O9" t="b">
        <v>0</v>
      </c>
      <c r="P9" t="b">
        <v>0</v>
      </c>
      <c r="Q9" t="b">
        <v>0</v>
      </c>
      <c r="R9" t="b">
        <v>0</v>
      </c>
      <c r="S9" t="b">
        <v>0</v>
      </c>
      <c r="U9">
        <v>1</v>
      </c>
      <c r="V9">
        <v>1</v>
      </c>
      <c r="W9">
        <v>2</v>
      </c>
      <c r="X9">
        <v>144.589</v>
      </c>
      <c r="Y9" t="b">
        <v>1</v>
      </c>
      <c r="Z9" t="b">
        <v>0</v>
      </c>
      <c r="AA9" t="b">
        <v>0</v>
      </c>
      <c r="AB9">
        <v>0</v>
      </c>
      <c r="AC9" t="s">
        <v>34</v>
      </c>
      <c r="AD9">
        <v>0</v>
      </c>
      <c r="AE9" t="s">
        <v>43</v>
      </c>
      <c r="AF9">
        <v>0</v>
      </c>
      <c r="AG9">
        <v>279.72500000000002</v>
      </c>
      <c r="AI9" t="s">
        <v>35</v>
      </c>
      <c r="AJ9" t="s">
        <v>42</v>
      </c>
      <c r="AK9">
        <v>34.067</v>
      </c>
      <c r="AL9">
        <v>17.085000000000001</v>
      </c>
      <c r="AM9" t="s">
        <v>42</v>
      </c>
      <c r="AN9">
        <v>51.738999999999997</v>
      </c>
      <c r="AO9">
        <v>13.48</v>
      </c>
      <c r="AP9" t="s">
        <v>42</v>
      </c>
      <c r="AQ9">
        <v>66.897999999999996</v>
      </c>
      <c r="AR9">
        <v>17.475000000000001</v>
      </c>
      <c r="AS9" t="s">
        <v>43</v>
      </c>
      <c r="AT9">
        <v>100.797</v>
      </c>
      <c r="AU9">
        <v>9.4529999999999994</v>
      </c>
    </row>
    <row r="10" spans="1:66" x14ac:dyDescent="0.2">
      <c r="A10" t="s">
        <v>36</v>
      </c>
      <c r="B10" t="s">
        <v>55</v>
      </c>
      <c r="C10" t="s">
        <v>58</v>
      </c>
      <c r="D10">
        <v>2</v>
      </c>
      <c r="E10">
        <v>8532</v>
      </c>
      <c r="F10" t="s">
        <v>49</v>
      </c>
      <c r="G10" t="s">
        <v>39</v>
      </c>
      <c r="H10">
        <v>0</v>
      </c>
      <c r="I10" t="s">
        <v>40</v>
      </c>
      <c r="J10" t="s">
        <v>32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  <c r="S10" t="b">
        <v>0</v>
      </c>
      <c r="T10" t="s">
        <v>59</v>
      </c>
      <c r="U10">
        <v>0</v>
      </c>
      <c r="V10">
        <v>6</v>
      </c>
      <c r="W10">
        <v>6</v>
      </c>
      <c r="X10">
        <v>4.0164999999999997</v>
      </c>
      <c r="Y10" t="b">
        <v>1</v>
      </c>
      <c r="Z10" t="b">
        <v>0</v>
      </c>
      <c r="AA10" t="b">
        <v>0</v>
      </c>
      <c r="AB10">
        <v>0</v>
      </c>
      <c r="AC10" t="s">
        <v>34</v>
      </c>
      <c r="AD10">
        <v>0</v>
      </c>
      <c r="AE10" t="s">
        <v>42</v>
      </c>
      <c r="AF10">
        <v>0</v>
      </c>
      <c r="AG10">
        <v>77.847999999999999</v>
      </c>
      <c r="AI10" t="s">
        <v>35</v>
      </c>
      <c r="AJ10" t="s">
        <v>42</v>
      </c>
      <c r="AK10">
        <v>29.649000000000001</v>
      </c>
      <c r="AL10">
        <v>6.48</v>
      </c>
      <c r="AM10" t="s">
        <v>43</v>
      </c>
      <c r="AN10">
        <v>41.238999999999997</v>
      </c>
      <c r="AO10">
        <v>4.1289999999999996</v>
      </c>
      <c r="AP10" t="s">
        <v>43</v>
      </c>
      <c r="AQ10">
        <v>66.706999999999994</v>
      </c>
      <c r="AR10">
        <v>1.083</v>
      </c>
      <c r="AS10" t="s">
        <v>43</v>
      </c>
      <c r="AT10">
        <v>82.465999999999994</v>
      </c>
      <c r="AU10">
        <v>6.7990000000000004</v>
      </c>
      <c r="AV10" t="s">
        <v>42</v>
      </c>
      <c r="AW10">
        <v>98.165000000000006</v>
      </c>
      <c r="AX10">
        <v>16.506</v>
      </c>
      <c r="AY10" t="s">
        <v>43</v>
      </c>
      <c r="AZ10">
        <v>118.029</v>
      </c>
      <c r="BA10">
        <v>4.2</v>
      </c>
      <c r="BB10" t="s">
        <v>43</v>
      </c>
      <c r="BC10">
        <v>134.27199999999999</v>
      </c>
      <c r="BD10">
        <v>5.0839999999999996</v>
      </c>
      <c r="BE10" t="s">
        <v>42</v>
      </c>
      <c r="BF10">
        <v>145.005</v>
      </c>
      <c r="BG10">
        <v>1.3180000000000001</v>
      </c>
      <c r="BH10" t="s">
        <v>43</v>
      </c>
      <c r="BI10">
        <v>152.36000000000001</v>
      </c>
      <c r="BJ10">
        <v>2.8039999999999998</v>
      </c>
    </row>
    <row r="11" spans="1:66" x14ac:dyDescent="0.2">
      <c r="A11" t="s">
        <v>36</v>
      </c>
      <c r="B11" t="s">
        <v>47</v>
      </c>
      <c r="C11" t="s">
        <v>48</v>
      </c>
      <c r="D11">
        <v>2</v>
      </c>
      <c r="E11">
        <v>9613</v>
      </c>
      <c r="F11" t="s">
        <v>53</v>
      </c>
      <c r="G11" t="s">
        <v>30</v>
      </c>
      <c r="H11">
        <v>141.642</v>
      </c>
      <c r="I11" t="s">
        <v>57</v>
      </c>
      <c r="J11" t="s">
        <v>41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  <c r="S11" t="b">
        <v>0</v>
      </c>
      <c r="U11">
        <v>0</v>
      </c>
      <c r="V11">
        <v>0</v>
      </c>
      <c r="W11">
        <v>0</v>
      </c>
      <c r="X11" t="s">
        <v>33</v>
      </c>
      <c r="Y11" t="b">
        <v>0</v>
      </c>
      <c r="Z11" t="b">
        <v>0</v>
      </c>
      <c r="AA11" t="b">
        <v>0</v>
      </c>
      <c r="AB11">
        <v>0</v>
      </c>
      <c r="AC11" t="s">
        <v>34</v>
      </c>
      <c r="AE11" t="s">
        <v>35</v>
      </c>
      <c r="AF11" t="s">
        <v>42</v>
      </c>
      <c r="AG11">
        <v>36.201000000000001</v>
      </c>
      <c r="AH11">
        <v>15.304</v>
      </c>
      <c r="AI11" t="s">
        <v>42</v>
      </c>
      <c r="AJ11">
        <v>62.237000000000002</v>
      </c>
      <c r="AK11">
        <v>20.768000000000001</v>
      </c>
    </row>
    <row r="12" spans="1:66" x14ac:dyDescent="0.2">
      <c r="A12" t="s">
        <v>36</v>
      </c>
      <c r="B12" t="s">
        <v>37</v>
      </c>
      <c r="C12" t="s">
        <v>38</v>
      </c>
      <c r="D12">
        <v>2</v>
      </c>
      <c r="E12">
        <v>2147</v>
      </c>
      <c r="F12" t="s">
        <v>46</v>
      </c>
      <c r="G12" t="s">
        <v>39</v>
      </c>
      <c r="H12">
        <v>140.476</v>
      </c>
      <c r="I12" t="s">
        <v>40</v>
      </c>
      <c r="J12" t="s">
        <v>41</v>
      </c>
      <c r="K12" t="b">
        <v>1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  <c r="S12" t="b">
        <v>0</v>
      </c>
      <c r="U12">
        <v>1</v>
      </c>
      <c r="V12">
        <v>4</v>
      </c>
      <c r="W12">
        <v>5</v>
      </c>
      <c r="X12">
        <v>2.3969999999999998</v>
      </c>
      <c r="Y12" t="b">
        <v>1</v>
      </c>
      <c r="Z12" t="b">
        <v>0</v>
      </c>
      <c r="AA12" t="b">
        <v>0</v>
      </c>
      <c r="AB12">
        <v>0</v>
      </c>
      <c r="AC12" t="s">
        <v>34</v>
      </c>
      <c r="AD12">
        <v>0</v>
      </c>
      <c r="AE12" t="s">
        <v>42</v>
      </c>
      <c r="AF12">
        <v>0</v>
      </c>
      <c r="AG12">
        <v>169.97499999999999</v>
      </c>
      <c r="AH12">
        <v>3</v>
      </c>
      <c r="AI12" t="s">
        <v>43</v>
      </c>
      <c r="AJ12">
        <v>8.9160000000000004</v>
      </c>
      <c r="AK12">
        <v>0.53500000000000003</v>
      </c>
      <c r="AM12" t="s">
        <v>35</v>
      </c>
      <c r="AN12" t="s">
        <v>42</v>
      </c>
      <c r="AO12">
        <v>23.731999999999999</v>
      </c>
      <c r="AP12">
        <v>31.300999999999998</v>
      </c>
      <c r="AQ12" t="s">
        <v>43</v>
      </c>
      <c r="AR12">
        <v>59.156999999999996</v>
      </c>
      <c r="AS12">
        <v>2.8879999999999999</v>
      </c>
      <c r="AT12" t="s">
        <v>43</v>
      </c>
      <c r="AU12">
        <v>68.825999999999993</v>
      </c>
      <c r="AV12">
        <v>2.0990000000000002</v>
      </c>
      <c r="AW12" t="s">
        <v>43</v>
      </c>
      <c r="AX12">
        <v>75.463999999999999</v>
      </c>
      <c r="AY12">
        <v>3.7490000000000001</v>
      </c>
      <c r="AZ12" t="s">
        <v>43</v>
      </c>
      <c r="BA12">
        <v>88.888000000000005</v>
      </c>
      <c r="BB12">
        <v>2.714</v>
      </c>
      <c r="BC12" t="s">
        <v>42</v>
      </c>
      <c r="BD12">
        <v>121.086</v>
      </c>
      <c r="BE12">
        <v>12.042999999999999</v>
      </c>
    </row>
    <row r="13" spans="1:66" x14ac:dyDescent="0.2">
      <c r="A13" t="s">
        <v>36</v>
      </c>
      <c r="B13" t="s">
        <v>44</v>
      </c>
      <c r="C13" t="s">
        <v>45</v>
      </c>
      <c r="D13">
        <v>2</v>
      </c>
      <c r="E13">
        <v>1318</v>
      </c>
      <c r="F13" t="s">
        <v>46</v>
      </c>
      <c r="G13" t="s">
        <v>39</v>
      </c>
      <c r="H13">
        <v>0</v>
      </c>
      <c r="I13" t="s">
        <v>40</v>
      </c>
      <c r="J13" t="s">
        <v>32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t="b">
        <v>0</v>
      </c>
      <c r="S13" t="b">
        <v>0</v>
      </c>
      <c r="T13" t="s">
        <v>60</v>
      </c>
      <c r="U13">
        <v>0</v>
      </c>
      <c r="V13">
        <v>10</v>
      </c>
      <c r="W13">
        <v>10</v>
      </c>
      <c r="X13">
        <v>5.1991999999999896</v>
      </c>
      <c r="Y13" t="b">
        <v>1</v>
      </c>
      <c r="Z13" t="b">
        <v>0</v>
      </c>
      <c r="AA13" t="b">
        <v>0</v>
      </c>
      <c r="AB13">
        <v>0</v>
      </c>
      <c r="AC13" t="s">
        <v>34</v>
      </c>
      <c r="AD13">
        <v>0</v>
      </c>
      <c r="AE13" t="s">
        <v>42</v>
      </c>
      <c r="AF13">
        <v>0</v>
      </c>
      <c r="AG13">
        <v>55.817</v>
      </c>
      <c r="AI13" t="s">
        <v>35</v>
      </c>
      <c r="AJ13" t="s">
        <v>43</v>
      </c>
      <c r="AK13">
        <v>23.065999999999999</v>
      </c>
      <c r="AL13">
        <v>3.76</v>
      </c>
      <c r="AM13" t="s">
        <v>43</v>
      </c>
      <c r="AN13">
        <v>29.853000000000002</v>
      </c>
      <c r="AO13">
        <v>2.347</v>
      </c>
      <c r="AP13" t="s">
        <v>43</v>
      </c>
      <c r="AQ13">
        <v>36.628</v>
      </c>
      <c r="AR13">
        <v>3.0939999999999999</v>
      </c>
      <c r="AS13" t="s">
        <v>43</v>
      </c>
      <c r="AT13">
        <v>44.249000000000002</v>
      </c>
      <c r="AU13">
        <v>2.9780000000000002</v>
      </c>
      <c r="AV13" t="s">
        <v>43</v>
      </c>
      <c r="AW13">
        <v>66.381</v>
      </c>
      <c r="AX13">
        <v>2.0630000000000002</v>
      </c>
      <c r="AY13" t="s">
        <v>43</v>
      </c>
      <c r="AZ13">
        <v>77.647999999999996</v>
      </c>
      <c r="BA13">
        <v>4.8079999999999998</v>
      </c>
      <c r="BB13" t="s">
        <v>43</v>
      </c>
      <c r="BC13">
        <v>91.525000000000006</v>
      </c>
      <c r="BD13">
        <v>6.9249999999999998</v>
      </c>
      <c r="BE13" t="s">
        <v>43</v>
      </c>
      <c r="BF13">
        <v>107.241</v>
      </c>
      <c r="BG13">
        <v>11.145</v>
      </c>
      <c r="BH13" t="s">
        <v>43</v>
      </c>
      <c r="BI13">
        <v>125.02500000000001</v>
      </c>
      <c r="BJ13">
        <v>7.43</v>
      </c>
      <c r="BK13" t="s">
        <v>43</v>
      </c>
      <c r="BL13">
        <v>146.10400000000001</v>
      </c>
      <c r="BM13">
        <v>7.4420000000000002</v>
      </c>
    </row>
    <row r="14" spans="1:66" x14ac:dyDescent="0.2">
      <c r="A14" t="s">
        <v>36</v>
      </c>
      <c r="B14" t="s">
        <v>28</v>
      </c>
      <c r="C14" t="s">
        <v>61</v>
      </c>
      <c r="D14">
        <v>1</v>
      </c>
      <c r="E14">
        <v>5468</v>
      </c>
      <c r="F14" t="s">
        <v>46</v>
      </c>
      <c r="G14" t="s">
        <v>39</v>
      </c>
      <c r="H14">
        <v>0</v>
      </c>
      <c r="I14" t="s">
        <v>40</v>
      </c>
      <c r="J14" t="s">
        <v>41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t="b">
        <v>0</v>
      </c>
      <c r="S14" t="b">
        <v>0</v>
      </c>
      <c r="U14">
        <v>2</v>
      </c>
      <c r="V14">
        <v>4</v>
      </c>
      <c r="W14">
        <v>6</v>
      </c>
      <c r="X14">
        <v>0.976833333333333</v>
      </c>
      <c r="Y14" t="b">
        <v>1</v>
      </c>
      <c r="Z14" t="b">
        <v>1</v>
      </c>
      <c r="AA14" t="b">
        <v>0</v>
      </c>
      <c r="AB14">
        <v>0</v>
      </c>
      <c r="AC14" t="s">
        <v>34</v>
      </c>
      <c r="AD14">
        <v>-2</v>
      </c>
      <c r="AE14" t="s">
        <v>43</v>
      </c>
      <c r="AF14">
        <v>1.103</v>
      </c>
      <c r="AG14">
        <v>2.7170000000000001</v>
      </c>
      <c r="AH14">
        <v>-3</v>
      </c>
      <c r="AI14" t="s">
        <v>51</v>
      </c>
      <c r="AJ14">
        <v>4.8689999999999998</v>
      </c>
      <c r="AK14">
        <v>0.64900000000000002</v>
      </c>
      <c r="AM14" t="s">
        <v>35</v>
      </c>
      <c r="AN14" t="s">
        <v>43</v>
      </c>
      <c r="AO14">
        <v>8.6</v>
      </c>
      <c r="AP14">
        <v>0.53800000000000003</v>
      </c>
      <c r="AQ14" t="s">
        <v>51</v>
      </c>
      <c r="AR14">
        <v>9.68</v>
      </c>
      <c r="AS14">
        <v>0.58199999999999996</v>
      </c>
      <c r="AT14" t="s">
        <v>42</v>
      </c>
      <c r="AU14">
        <v>10.603</v>
      </c>
      <c r="AV14">
        <v>0.501</v>
      </c>
      <c r="AW14" t="s">
        <v>43</v>
      </c>
      <c r="AX14">
        <v>11.553000000000001</v>
      </c>
      <c r="AY14">
        <v>0.90900000000000003</v>
      </c>
      <c r="AZ14" t="s">
        <v>43</v>
      </c>
      <c r="BA14">
        <v>12.903</v>
      </c>
      <c r="BB14">
        <v>0.46600000000000003</v>
      </c>
    </row>
    <row r="15" spans="1:66" x14ac:dyDescent="0.2">
      <c r="A15" t="s">
        <v>36</v>
      </c>
      <c r="B15" t="s">
        <v>47</v>
      </c>
      <c r="C15" t="s">
        <v>48</v>
      </c>
      <c r="D15">
        <v>3</v>
      </c>
      <c r="E15">
        <v>6831</v>
      </c>
      <c r="F15" t="s">
        <v>53</v>
      </c>
      <c r="G15" t="s">
        <v>30</v>
      </c>
      <c r="H15">
        <v>143.072</v>
      </c>
      <c r="I15" t="s">
        <v>40</v>
      </c>
      <c r="J15" t="s">
        <v>41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t="b">
        <v>0</v>
      </c>
      <c r="S15" t="b">
        <v>0</v>
      </c>
      <c r="U15">
        <v>0</v>
      </c>
      <c r="V15">
        <v>5</v>
      </c>
      <c r="W15">
        <v>5</v>
      </c>
      <c r="X15">
        <v>7.7117999999999904</v>
      </c>
      <c r="Y15" t="b">
        <v>1</v>
      </c>
      <c r="Z15" t="b">
        <v>0</v>
      </c>
      <c r="AA15" t="b">
        <v>0</v>
      </c>
      <c r="AB15">
        <v>0</v>
      </c>
      <c r="AC15" t="s">
        <v>34</v>
      </c>
      <c r="AD15">
        <v>0</v>
      </c>
      <c r="AE15" t="s">
        <v>42</v>
      </c>
      <c r="AF15">
        <v>0</v>
      </c>
      <c r="AG15">
        <v>235.45</v>
      </c>
      <c r="AI15" t="s">
        <v>35</v>
      </c>
      <c r="AJ15" t="s">
        <v>43</v>
      </c>
      <c r="AK15">
        <v>24.3</v>
      </c>
      <c r="AL15">
        <v>5.867</v>
      </c>
      <c r="AM15" t="s">
        <v>43</v>
      </c>
      <c r="AN15">
        <v>32.700000000000003</v>
      </c>
      <c r="AO15">
        <v>2.75</v>
      </c>
      <c r="AP15" t="s">
        <v>43</v>
      </c>
      <c r="AQ15">
        <v>38.381999999999998</v>
      </c>
      <c r="AR15">
        <v>6.069</v>
      </c>
      <c r="AS15" t="s">
        <v>43</v>
      </c>
      <c r="AT15">
        <v>66.021000000000001</v>
      </c>
      <c r="AU15">
        <v>9.4309999999999992</v>
      </c>
      <c r="AV15" t="s">
        <v>43</v>
      </c>
      <c r="AW15">
        <v>87.195999999999998</v>
      </c>
      <c r="AX15">
        <v>14.442</v>
      </c>
      <c r="AY15" t="s">
        <v>42</v>
      </c>
      <c r="AZ15">
        <v>117.289</v>
      </c>
      <c r="BA15">
        <v>9.0510000000000002</v>
      </c>
    </row>
    <row r="16" spans="1:66" x14ac:dyDescent="0.2">
      <c r="A16" t="s">
        <v>36</v>
      </c>
      <c r="B16" t="s">
        <v>37</v>
      </c>
      <c r="C16" t="s">
        <v>38</v>
      </c>
      <c r="D16">
        <v>3</v>
      </c>
      <c r="E16">
        <v>6443</v>
      </c>
      <c r="F16" t="s">
        <v>46</v>
      </c>
      <c r="G16" t="s">
        <v>39</v>
      </c>
      <c r="H16">
        <v>145.471</v>
      </c>
      <c r="I16" t="s">
        <v>40</v>
      </c>
      <c r="J16" t="s">
        <v>50</v>
      </c>
      <c r="K16" t="b">
        <v>0</v>
      </c>
      <c r="L16" t="b">
        <v>0</v>
      </c>
      <c r="M16" t="b">
        <v>0</v>
      </c>
      <c r="N16" t="b">
        <v>0</v>
      </c>
      <c r="O16" t="b">
        <v>0</v>
      </c>
      <c r="P16" t="b">
        <v>0</v>
      </c>
      <c r="Q16" t="b">
        <v>0</v>
      </c>
      <c r="R16" t="b">
        <v>0</v>
      </c>
      <c r="S16" t="b">
        <v>0</v>
      </c>
      <c r="T16" t="s">
        <v>62</v>
      </c>
      <c r="U16">
        <v>2</v>
      </c>
      <c r="V16">
        <v>6</v>
      </c>
      <c r="W16">
        <v>8</v>
      </c>
      <c r="X16">
        <v>34.724874999999997</v>
      </c>
      <c r="Y16" t="b">
        <v>1</v>
      </c>
      <c r="Z16" t="b">
        <v>0</v>
      </c>
      <c r="AA16" t="b">
        <v>0</v>
      </c>
      <c r="AB16">
        <v>0</v>
      </c>
      <c r="AC16" t="s">
        <v>34</v>
      </c>
      <c r="AD16">
        <v>0</v>
      </c>
      <c r="AE16" t="s">
        <v>43</v>
      </c>
      <c r="AF16">
        <v>0</v>
      </c>
      <c r="AG16">
        <v>240.14099999999999</v>
      </c>
      <c r="AH16">
        <v>3</v>
      </c>
      <c r="AI16" t="s">
        <v>43</v>
      </c>
      <c r="AJ16">
        <v>5.5389999999999997</v>
      </c>
      <c r="AK16">
        <v>0.63400000000000001</v>
      </c>
      <c r="AM16" t="s">
        <v>35</v>
      </c>
      <c r="AN16" t="s">
        <v>42</v>
      </c>
      <c r="AO16">
        <v>19.620999999999999</v>
      </c>
      <c r="AP16">
        <v>0.81699999999999995</v>
      </c>
      <c r="AQ16" t="s">
        <v>43</v>
      </c>
      <c r="AR16">
        <v>20.803000000000001</v>
      </c>
      <c r="AS16">
        <v>1.68</v>
      </c>
      <c r="AT16" t="s">
        <v>43</v>
      </c>
      <c r="AU16">
        <v>31.812999999999999</v>
      </c>
      <c r="AV16">
        <v>3.758</v>
      </c>
      <c r="AW16" t="s">
        <v>43</v>
      </c>
      <c r="AX16">
        <v>41.427</v>
      </c>
      <c r="AY16">
        <v>7.859</v>
      </c>
      <c r="AZ16" t="s">
        <v>42</v>
      </c>
      <c r="BA16">
        <v>59.475000000000001</v>
      </c>
      <c r="BB16">
        <v>5.7359999999999998</v>
      </c>
      <c r="BC16" t="s">
        <v>42</v>
      </c>
      <c r="BD16">
        <v>68.632999999999996</v>
      </c>
      <c r="BE16">
        <v>2.3340000000000001</v>
      </c>
      <c r="BF16" t="s">
        <v>43</v>
      </c>
      <c r="BG16">
        <v>74.534999999999997</v>
      </c>
      <c r="BH16">
        <v>1.454</v>
      </c>
      <c r="BI16" t="s">
        <v>43</v>
      </c>
      <c r="BJ16">
        <v>86.361999999999995</v>
      </c>
      <c r="BK16">
        <v>6.9370000000000003</v>
      </c>
      <c r="BL16" t="s">
        <v>43</v>
      </c>
      <c r="BM16">
        <v>100.49</v>
      </c>
      <c r="BN16">
        <v>15.336</v>
      </c>
    </row>
    <row r="17" spans="1:78" x14ac:dyDescent="0.2">
      <c r="A17" t="s">
        <v>36</v>
      </c>
      <c r="B17" t="s">
        <v>63</v>
      </c>
      <c r="C17" t="s">
        <v>64</v>
      </c>
      <c r="D17">
        <v>3</v>
      </c>
      <c r="E17">
        <v>2926</v>
      </c>
      <c r="F17" t="s">
        <v>49</v>
      </c>
      <c r="G17" t="s">
        <v>39</v>
      </c>
      <c r="H17">
        <v>0</v>
      </c>
      <c r="I17" t="s">
        <v>54</v>
      </c>
      <c r="J17" t="s">
        <v>32</v>
      </c>
      <c r="K17" t="b">
        <v>0</v>
      </c>
      <c r="L17" t="b">
        <v>0</v>
      </c>
      <c r="M17" t="b">
        <v>0</v>
      </c>
      <c r="N17" t="b">
        <v>0</v>
      </c>
      <c r="O17" t="b">
        <v>0</v>
      </c>
      <c r="P17" t="b">
        <v>0</v>
      </c>
      <c r="Q17" t="b">
        <v>0</v>
      </c>
      <c r="R17" t="b">
        <v>0</v>
      </c>
      <c r="S17" t="b">
        <v>0</v>
      </c>
      <c r="U17">
        <v>1</v>
      </c>
      <c r="V17">
        <v>6</v>
      </c>
      <c r="W17">
        <v>7</v>
      </c>
      <c r="X17">
        <v>5.6972857142857096</v>
      </c>
      <c r="Y17" t="b">
        <v>1</v>
      </c>
      <c r="Z17" t="b">
        <v>0</v>
      </c>
      <c r="AA17" t="b">
        <v>0</v>
      </c>
      <c r="AB17">
        <v>0</v>
      </c>
      <c r="AC17" t="s">
        <v>34</v>
      </c>
      <c r="AD17">
        <v>-1</v>
      </c>
      <c r="AE17" t="s">
        <v>43</v>
      </c>
      <c r="AF17">
        <v>27.709</v>
      </c>
      <c r="AG17">
        <v>2.7559999999999998</v>
      </c>
      <c r="AI17" t="s">
        <v>35</v>
      </c>
      <c r="AJ17" t="s">
        <v>43</v>
      </c>
      <c r="AK17">
        <v>35.353999999999999</v>
      </c>
      <c r="AL17">
        <v>5.9770000000000003</v>
      </c>
      <c r="AM17" t="s">
        <v>43</v>
      </c>
      <c r="AN17">
        <v>56.098999999999997</v>
      </c>
      <c r="AO17">
        <v>0.29399999999999998</v>
      </c>
      <c r="AP17" t="s">
        <v>43</v>
      </c>
      <c r="AQ17">
        <v>66.864999999999995</v>
      </c>
      <c r="AR17">
        <v>9.76</v>
      </c>
      <c r="AS17" t="s">
        <v>43</v>
      </c>
      <c r="AT17">
        <v>84.754999999999995</v>
      </c>
      <c r="AU17">
        <v>8.9700000000000006</v>
      </c>
      <c r="AV17" t="s">
        <v>43</v>
      </c>
      <c r="AW17">
        <v>112.005</v>
      </c>
      <c r="AX17">
        <v>4.8659999999999997</v>
      </c>
      <c r="AY17" t="s">
        <v>43</v>
      </c>
      <c r="AZ17">
        <v>126.352</v>
      </c>
      <c r="BA17">
        <v>7.258</v>
      </c>
    </row>
    <row r="18" spans="1:78" x14ac:dyDescent="0.2">
      <c r="A18" t="s">
        <v>36</v>
      </c>
      <c r="B18" t="s">
        <v>28</v>
      </c>
      <c r="C18" t="s">
        <v>52</v>
      </c>
      <c r="D18">
        <v>3</v>
      </c>
      <c r="E18">
        <v>4131</v>
      </c>
      <c r="F18" t="s">
        <v>49</v>
      </c>
      <c r="G18" t="s">
        <v>30</v>
      </c>
      <c r="H18">
        <v>154.92400000000001</v>
      </c>
      <c r="I18" t="s">
        <v>40</v>
      </c>
      <c r="J18" t="s">
        <v>41</v>
      </c>
      <c r="K18" t="b">
        <v>0</v>
      </c>
      <c r="L18" t="b">
        <v>0</v>
      </c>
      <c r="M18" t="b">
        <v>0</v>
      </c>
      <c r="N18" t="b">
        <v>0</v>
      </c>
      <c r="O18" t="b">
        <v>0</v>
      </c>
      <c r="P18" t="b">
        <v>0</v>
      </c>
      <c r="Q18" t="b">
        <v>0</v>
      </c>
      <c r="R18" t="b">
        <v>0</v>
      </c>
      <c r="S18" t="b">
        <v>0</v>
      </c>
      <c r="U18">
        <v>1</v>
      </c>
      <c r="V18">
        <v>7</v>
      </c>
      <c r="W18">
        <v>8</v>
      </c>
      <c r="X18">
        <v>12.969374999999999</v>
      </c>
      <c r="Y18" t="b">
        <v>1</v>
      </c>
      <c r="Z18" t="b">
        <v>1</v>
      </c>
      <c r="AA18" t="b">
        <v>0</v>
      </c>
      <c r="AB18">
        <v>0</v>
      </c>
      <c r="AC18" t="s">
        <v>34</v>
      </c>
      <c r="AD18">
        <v>0</v>
      </c>
      <c r="AE18" t="s">
        <v>43</v>
      </c>
      <c r="AF18">
        <v>0</v>
      </c>
      <c r="AG18">
        <v>96.695999999999998</v>
      </c>
      <c r="AI18" t="s">
        <v>35</v>
      </c>
      <c r="AJ18" t="s">
        <v>51</v>
      </c>
      <c r="AK18">
        <v>29.12</v>
      </c>
      <c r="AL18">
        <v>0.60199999999999998</v>
      </c>
      <c r="AM18" t="s">
        <v>43</v>
      </c>
      <c r="AN18">
        <v>42.97</v>
      </c>
      <c r="AO18">
        <v>0.253</v>
      </c>
      <c r="AP18" t="s">
        <v>42</v>
      </c>
      <c r="AQ18">
        <v>68.754999999999995</v>
      </c>
      <c r="AR18">
        <v>0.36599999999999999</v>
      </c>
      <c r="AS18" t="s">
        <v>43</v>
      </c>
      <c r="AT18">
        <v>74.885999999999996</v>
      </c>
      <c r="AU18">
        <v>5.0860000000000003</v>
      </c>
      <c r="AV18" t="s">
        <v>43</v>
      </c>
      <c r="AW18">
        <v>93.79</v>
      </c>
      <c r="AX18">
        <v>0.38400000000000001</v>
      </c>
      <c r="AY18" t="s">
        <v>43</v>
      </c>
      <c r="AZ18">
        <v>109.22199999999999</v>
      </c>
      <c r="BA18">
        <v>0.23300000000000001</v>
      </c>
      <c r="BB18" t="s">
        <v>43</v>
      </c>
      <c r="BC18">
        <v>128.374</v>
      </c>
      <c r="BD18">
        <v>0.19900000000000001</v>
      </c>
      <c r="BE18" t="s">
        <v>43</v>
      </c>
      <c r="BF18">
        <v>147.05799999999999</v>
      </c>
      <c r="BG18">
        <v>0.30199999999999999</v>
      </c>
    </row>
    <row r="19" spans="1:78" x14ac:dyDescent="0.2">
      <c r="A19" t="s">
        <v>36</v>
      </c>
      <c r="B19" t="s">
        <v>44</v>
      </c>
      <c r="C19" t="s">
        <v>45</v>
      </c>
      <c r="D19">
        <v>3</v>
      </c>
      <c r="E19">
        <v>9680</v>
      </c>
      <c r="F19" t="s">
        <v>46</v>
      </c>
      <c r="G19" t="s">
        <v>39</v>
      </c>
      <c r="H19">
        <v>0</v>
      </c>
      <c r="I19" t="s">
        <v>40</v>
      </c>
      <c r="J19" t="s">
        <v>32</v>
      </c>
      <c r="K19" t="b">
        <v>0</v>
      </c>
      <c r="L19" t="b">
        <v>0</v>
      </c>
      <c r="M19" t="b">
        <v>0</v>
      </c>
      <c r="N19" t="b">
        <v>0</v>
      </c>
      <c r="O19" t="b">
        <v>0</v>
      </c>
      <c r="P19" t="b">
        <v>0</v>
      </c>
      <c r="Q19" t="b">
        <v>0</v>
      </c>
      <c r="R19" t="b">
        <v>0</v>
      </c>
      <c r="S19" t="b">
        <v>0</v>
      </c>
      <c r="U19">
        <v>3</v>
      </c>
      <c r="V19">
        <v>0</v>
      </c>
      <c r="W19">
        <v>3</v>
      </c>
      <c r="X19">
        <v>48.668333333333301</v>
      </c>
      <c r="Y19" t="b">
        <v>1</v>
      </c>
      <c r="Z19" t="b">
        <v>0</v>
      </c>
      <c r="AA19" t="b">
        <v>0</v>
      </c>
      <c r="AB19">
        <v>0</v>
      </c>
      <c r="AC19" t="s">
        <v>34</v>
      </c>
      <c r="AD19">
        <v>0</v>
      </c>
      <c r="AE19" t="s">
        <v>43</v>
      </c>
      <c r="AF19">
        <v>0</v>
      </c>
      <c r="AG19">
        <v>134.505</v>
      </c>
      <c r="AH19">
        <v>-2</v>
      </c>
      <c r="AI19" t="s">
        <v>43</v>
      </c>
      <c r="AJ19">
        <v>6.0609999999999999</v>
      </c>
      <c r="AK19">
        <v>5.81</v>
      </c>
      <c r="AL19">
        <v>0</v>
      </c>
      <c r="AM19" t="s">
        <v>43</v>
      </c>
      <c r="AN19">
        <v>0</v>
      </c>
      <c r="AO19">
        <v>5.69</v>
      </c>
      <c r="AQ19" t="s">
        <v>35</v>
      </c>
      <c r="AR19" t="s">
        <v>42</v>
      </c>
      <c r="AS19">
        <v>16.731999999999999</v>
      </c>
      <c r="AT19">
        <v>47.676000000000002</v>
      </c>
      <c r="AU19" t="s">
        <v>42</v>
      </c>
      <c r="AV19">
        <v>153.58199999999999</v>
      </c>
      <c r="AW19">
        <v>0.48099999999999998</v>
      </c>
    </row>
    <row r="20" spans="1:78" x14ac:dyDescent="0.2">
      <c r="A20" t="s">
        <v>36</v>
      </c>
      <c r="B20" t="s">
        <v>55</v>
      </c>
      <c r="C20" t="s">
        <v>56</v>
      </c>
      <c r="D20">
        <v>1</v>
      </c>
      <c r="E20">
        <v>3712</v>
      </c>
      <c r="F20" t="s">
        <v>53</v>
      </c>
      <c r="G20" t="s">
        <v>30</v>
      </c>
      <c r="H20">
        <v>146.18199999999999</v>
      </c>
      <c r="I20" t="s">
        <v>57</v>
      </c>
      <c r="J20" t="s">
        <v>41</v>
      </c>
      <c r="K20" t="b">
        <v>0</v>
      </c>
      <c r="L20" t="b">
        <v>0</v>
      </c>
      <c r="M20" t="b">
        <v>0</v>
      </c>
      <c r="N20" t="b">
        <v>0</v>
      </c>
      <c r="O20" t="b">
        <v>0</v>
      </c>
      <c r="P20" t="b">
        <v>0</v>
      </c>
      <c r="Q20" t="b">
        <v>0</v>
      </c>
      <c r="R20" t="b">
        <v>0</v>
      </c>
      <c r="S20" t="b">
        <v>0</v>
      </c>
      <c r="U20">
        <v>1</v>
      </c>
      <c r="V20">
        <v>1</v>
      </c>
      <c r="W20">
        <v>2</v>
      </c>
      <c r="X20">
        <v>144.589</v>
      </c>
      <c r="Y20" t="b">
        <v>1</v>
      </c>
      <c r="Z20" t="b">
        <v>0</v>
      </c>
      <c r="AA20" t="b">
        <v>0</v>
      </c>
      <c r="AB20">
        <v>0</v>
      </c>
      <c r="AC20" t="s">
        <v>34</v>
      </c>
      <c r="AD20">
        <v>0</v>
      </c>
      <c r="AE20" t="s">
        <v>43</v>
      </c>
      <c r="AF20">
        <v>0</v>
      </c>
      <c r="AG20">
        <v>279.72500000000002</v>
      </c>
      <c r="AI20" t="s">
        <v>35</v>
      </c>
      <c r="AJ20" t="s">
        <v>42</v>
      </c>
      <c r="AK20">
        <v>34.067</v>
      </c>
      <c r="AL20">
        <v>17.085000000000001</v>
      </c>
      <c r="AM20" t="s">
        <v>42</v>
      </c>
      <c r="AN20">
        <v>51.738999999999997</v>
      </c>
      <c r="AO20">
        <v>13.48</v>
      </c>
      <c r="AP20" t="s">
        <v>42</v>
      </c>
      <c r="AQ20">
        <v>66.897999999999996</v>
      </c>
      <c r="AR20">
        <v>17.475000000000001</v>
      </c>
      <c r="AS20" t="s">
        <v>43</v>
      </c>
      <c r="AT20">
        <v>100.797</v>
      </c>
      <c r="AU20">
        <v>9.4529999999999994</v>
      </c>
    </row>
    <row r="21" spans="1:78" x14ac:dyDescent="0.2">
      <c r="A21" t="s">
        <v>36</v>
      </c>
      <c r="B21" t="s">
        <v>47</v>
      </c>
      <c r="C21" t="s">
        <v>48</v>
      </c>
      <c r="D21">
        <v>4</v>
      </c>
      <c r="E21">
        <v>2811</v>
      </c>
      <c r="F21" t="s">
        <v>49</v>
      </c>
      <c r="G21" t="s">
        <v>39</v>
      </c>
      <c r="H21">
        <v>144.69</v>
      </c>
      <c r="I21" t="s">
        <v>40</v>
      </c>
      <c r="J21" t="s">
        <v>50</v>
      </c>
      <c r="K21" t="b">
        <v>0</v>
      </c>
      <c r="L21" t="b">
        <v>0</v>
      </c>
      <c r="M21" t="b">
        <v>0</v>
      </c>
      <c r="N21" t="b">
        <v>0</v>
      </c>
      <c r="O21" t="b">
        <v>0</v>
      </c>
      <c r="P21" t="b">
        <v>0</v>
      </c>
      <c r="Q21" t="b">
        <v>0</v>
      </c>
      <c r="R21" t="b">
        <v>0</v>
      </c>
      <c r="S21" t="b">
        <v>0</v>
      </c>
      <c r="U21">
        <v>2</v>
      </c>
      <c r="V21">
        <v>12</v>
      </c>
      <c r="W21">
        <v>14</v>
      </c>
      <c r="X21">
        <v>17.519285714285701</v>
      </c>
      <c r="Y21" t="b">
        <v>1</v>
      </c>
      <c r="Z21" t="b">
        <v>1</v>
      </c>
      <c r="AA21" t="b">
        <v>0</v>
      </c>
      <c r="AB21">
        <v>0</v>
      </c>
      <c r="AC21" t="s">
        <v>34</v>
      </c>
      <c r="AD21">
        <v>0</v>
      </c>
      <c r="AE21" t="s">
        <v>43</v>
      </c>
      <c r="AF21">
        <v>0</v>
      </c>
      <c r="AG21">
        <v>181.292</v>
      </c>
      <c r="AH21">
        <v>1</v>
      </c>
      <c r="AI21" t="s">
        <v>43</v>
      </c>
      <c r="AJ21">
        <v>6.9009999999999998</v>
      </c>
      <c r="AK21">
        <v>3.0840000000000001</v>
      </c>
      <c r="AM21" t="s">
        <v>35</v>
      </c>
      <c r="AN21" t="s">
        <v>51</v>
      </c>
      <c r="AO21">
        <v>22.417000000000002</v>
      </c>
      <c r="AP21">
        <v>5.016</v>
      </c>
      <c r="AQ21" t="s">
        <v>51</v>
      </c>
      <c r="AR21">
        <v>30.699000000000002</v>
      </c>
      <c r="AS21">
        <v>3.8519999999999999</v>
      </c>
      <c r="AT21" t="s">
        <v>51</v>
      </c>
      <c r="AU21">
        <v>37.56</v>
      </c>
      <c r="AV21">
        <v>3.64</v>
      </c>
      <c r="AW21" t="s">
        <v>43</v>
      </c>
      <c r="AX21">
        <v>43.56</v>
      </c>
      <c r="AY21">
        <v>2.2570000000000001</v>
      </c>
      <c r="AZ21" t="s">
        <v>43</v>
      </c>
      <c r="BA21">
        <v>54.301000000000002</v>
      </c>
      <c r="BB21">
        <v>3.6019999999999999</v>
      </c>
      <c r="BC21" t="s">
        <v>43</v>
      </c>
      <c r="BD21">
        <v>62.969000000000001</v>
      </c>
      <c r="BE21">
        <v>4.9329999999999998</v>
      </c>
      <c r="BF21" t="s">
        <v>42</v>
      </c>
      <c r="BG21">
        <v>72.302999999999997</v>
      </c>
      <c r="BH21">
        <v>5.5679999999999996</v>
      </c>
      <c r="BI21" t="s">
        <v>43</v>
      </c>
      <c r="BJ21">
        <v>80.37</v>
      </c>
      <c r="BK21">
        <v>2.899</v>
      </c>
      <c r="BL21" t="s">
        <v>51</v>
      </c>
      <c r="BM21">
        <v>87.552999999999997</v>
      </c>
      <c r="BN21">
        <v>8.6679999999999993</v>
      </c>
      <c r="BO21" t="s">
        <v>43</v>
      </c>
      <c r="BP21">
        <v>100.82</v>
      </c>
      <c r="BQ21">
        <v>8.0009999999999994</v>
      </c>
      <c r="BR21" t="s">
        <v>43</v>
      </c>
      <c r="BS21">
        <v>110.946</v>
      </c>
      <c r="BT21">
        <v>6.7590000000000003</v>
      </c>
      <c r="BU21" t="s">
        <v>43</v>
      </c>
      <c r="BV21">
        <v>122.29</v>
      </c>
      <c r="BW21">
        <v>0.45</v>
      </c>
      <c r="BX21" t="s">
        <v>43</v>
      </c>
      <c r="BY21">
        <v>128.62299999999999</v>
      </c>
      <c r="BZ21">
        <v>10.817</v>
      </c>
    </row>
    <row r="22" spans="1:78" x14ac:dyDescent="0.2">
      <c r="A22" t="s">
        <v>36</v>
      </c>
      <c r="B22" t="s">
        <v>55</v>
      </c>
      <c r="C22" t="s">
        <v>58</v>
      </c>
      <c r="D22">
        <v>4</v>
      </c>
      <c r="E22">
        <v>3876</v>
      </c>
      <c r="F22" t="s">
        <v>46</v>
      </c>
      <c r="G22" t="s">
        <v>39</v>
      </c>
      <c r="H22">
        <v>0</v>
      </c>
      <c r="I22" t="s">
        <v>57</v>
      </c>
      <c r="J22" t="s">
        <v>32</v>
      </c>
      <c r="K22" t="b">
        <v>0</v>
      </c>
      <c r="L22" t="b">
        <v>0</v>
      </c>
      <c r="M22" t="b">
        <v>0</v>
      </c>
      <c r="N22" t="b">
        <v>0</v>
      </c>
      <c r="O22" t="b">
        <v>0</v>
      </c>
      <c r="P22" t="b">
        <v>0</v>
      </c>
      <c r="Q22" t="b">
        <v>0</v>
      </c>
      <c r="R22" t="b">
        <v>0</v>
      </c>
      <c r="S22" t="b">
        <v>0</v>
      </c>
      <c r="U22">
        <v>1</v>
      </c>
      <c r="V22">
        <v>1</v>
      </c>
      <c r="W22">
        <v>2</v>
      </c>
      <c r="X22">
        <v>110.4135</v>
      </c>
      <c r="Y22" t="b">
        <v>1</v>
      </c>
      <c r="Z22" t="b">
        <v>0</v>
      </c>
      <c r="AA22" t="b">
        <v>0</v>
      </c>
      <c r="AB22">
        <v>0</v>
      </c>
      <c r="AC22" t="s">
        <v>34</v>
      </c>
      <c r="AD22">
        <v>0</v>
      </c>
      <c r="AE22" t="s">
        <v>43</v>
      </c>
      <c r="AF22">
        <v>0</v>
      </c>
      <c r="AG22">
        <v>204.11</v>
      </c>
      <c r="AI22" t="s">
        <v>35</v>
      </c>
      <c r="AJ22" t="s">
        <v>43</v>
      </c>
      <c r="AK22">
        <v>88.275999999999996</v>
      </c>
      <c r="AL22">
        <v>16.716999999999999</v>
      </c>
    </row>
    <row r="23" spans="1:78" x14ac:dyDescent="0.2">
      <c r="A23" t="s">
        <v>36</v>
      </c>
      <c r="B23" t="s">
        <v>44</v>
      </c>
      <c r="C23" t="s">
        <v>45</v>
      </c>
      <c r="D23">
        <v>4</v>
      </c>
      <c r="E23">
        <v>4125</v>
      </c>
      <c r="F23" t="s">
        <v>46</v>
      </c>
      <c r="G23" t="s">
        <v>39</v>
      </c>
      <c r="H23">
        <v>0</v>
      </c>
      <c r="I23" t="s">
        <v>40</v>
      </c>
      <c r="J23" t="s">
        <v>32</v>
      </c>
      <c r="K23" t="b">
        <v>0</v>
      </c>
      <c r="L23" t="b">
        <v>0</v>
      </c>
      <c r="M23" t="b">
        <v>0</v>
      </c>
      <c r="N23" t="b">
        <v>0</v>
      </c>
      <c r="O23" t="b">
        <v>0</v>
      </c>
      <c r="P23" t="b">
        <v>0</v>
      </c>
      <c r="Q23" t="b">
        <v>0</v>
      </c>
      <c r="R23" t="b">
        <v>0</v>
      </c>
      <c r="S23" t="b">
        <v>0</v>
      </c>
      <c r="U23">
        <v>2</v>
      </c>
      <c r="V23">
        <v>6</v>
      </c>
      <c r="W23">
        <v>8</v>
      </c>
      <c r="X23">
        <v>20.916999999999899</v>
      </c>
      <c r="Y23" t="b">
        <v>1</v>
      </c>
      <c r="Z23" t="b">
        <v>1</v>
      </c>
      <c r="AA23" t="b">
        <v>0</v>
      </c>
      <c r="AB23">
        <v>0</v>
      </c>
      <c r="AC23" t="s">
        <v>34</v>
      </c>
      <c r="AD23">
        <v>0</v>
      </c>
      <c r="AE23" t="s">
        <v>43</v>
      </c>
      <c r="AF23">
        <v>0</v>
      </c>
      <c r="AG23">
        <v>151.655</v>
      </c>
      <c r="AH23">
        <v>-3</v>
      </c>
      <c r="AI23" t="s">
        <v>43</v>
      </c>
      <c r="AJ23">
        <v>17.846</v>
      </c>
      <c r="AK23">
        <v>1.931</v>
      </c>
      <c r="AM23" t="s">
        <v>35</v>
      </c>
      <c r="AN23" t="s">
        <v>51</v>
      </c>
      <c r="AO23">
        <v>29.558</v>
      </c>
      <c r="AP23">
        <v>0.7</v>
      </c>
      <c r="AQ23" t="s">
        <v>42</v>
      </c>
      <c r="AR23">
        <v>40.957999999999998</v>
      </c>
      <c r="AS23">
        <v>3.5609999999999999</v>
      </c>
      <c r="AT23" t="s">
        <v>42</v>
      </c>
      <c r="AU23">
        <v>58.832000000000001</v>
      </c>
      <c r="AV23">
        <v>5.5570000000000004</v>
      </c>
      <c r="AW23" t="s">
        <v>43</v>
      </c>
      <c r="AX23">
        <v>70.995000000000005</v>
      </c>
      <c r="AY23">
        <v>0.40300000000000002</v>
      </c>
      <c r="AZ23" t="s">
        <v>43</v>
      </c>
      <c r="BA23">
        <v>79.334999999999994</v>
      </c>
      <c r="BB23">
        <v>4.3579999999999997</v>
      </c>
      <c r="BC23" t="s">
        <v>43</v>
      </c>
      <c r="BD23">
        <v>119.108</v>
      </c>
      <c r="BE23">
        <v>0.45200000000000001</v>
      </c>
      <c r="BF23" t="s">
        <v>43</v>
      </c>
      <c r="BG23">
        <v>128.85900000000001</v>
      </c>
      <c r="BH23">
        <v>7.0720000000000001</v>
      </c>
      <c r="BI23" t="s">
        <v>43</v>
      </c>
      <c r="BJ23">
        <v>143.672</v>
      </c>
      <c r="BK23">
        <v>0.76500000000000001</v>
      </c>
    </row>
    <row r="24" spans="1:78" x14ac:dyDescent="0.2">
      <c r="A24" t="s">
        <v>36</v>
      </c>
      <c r="B24" t="s">
        <v>28</v>
      </c>
      <c r="C24" t="s">
        <v>52</v>
      </c>
      <c r="D24">
        <v>4</v>
      </c>
      <c r="E24">
        <v>4104</v>
      </c>
      <c r="F24" t="s">
        <v>53</v>
      </c>
      <c r="G24" t="s">
        <v>30</v>
      </c>
      <c r="H24">
        <v>164.828</v>
      </c>
      <c r="I24" t="s">
        <v>57</v>
      </c>
      <c r="J24" t="s">
        <v>50</v>
      </c>
      <c r="K24" t="b">
        <v>0</v>
      </c>
      <c r="L24" t="b">
        <v>0</v>
      </c>
      <c r="M24" t="b">
        <v>0</v>
      </c>
      <c r="N24" t="b">
        <v>0</v>
      </c>
      <c r="O24" t="b">
        <v>0</v>
      </c>
      <c r="P24" t="b">
        <v>0</v>
      </c>
      <c r="Q24" t="b">
        <v>0</v>
      </c>
      <c r="R24" t="b">
        <v>0</v>
      </c>
      <c r="S24" t="b">
        <v>0</v>
      </c>
      <c r="T24" t="s">
        <v>65</v>
      </c>
      <c r="U24">
        <v>0</v>
      </c>
      <c r="V24">
        <v>1</v>
      </c>
      <c r="W24">
        <v>1</v>
      </c>
      <c r="X24">
        <v>13.02</v>
      </c>
      <c r="Y24" t="b">
        <v>0</v>
      </c>
      <c r="Z24" t="b">
        <v>1</v>
      </c>
      <c r="AA24" t="b">
        <v>0</v>
      </c>
      <c r="AB24">
        <v>0</v>
      </c>
      <c r="AC24" t="s">
        <v>34</v>
      </c>
      <c r="AD24">
        <v>0</v>
      </c>
      <c r="AE24" t="s">
        <v>42</v>
      </c>
      <c r="AF24">
        <v>0</v>
      </c>
      <c r="AG24">
        <v>95.94</v>
      </c>
      <c r="AI24" t="s">
        <v>35</v>
      </c>
      <c r="AJ24" t="s">
        <v>51</v>
      </c>
      <c r="AK24">
        <v>52.475000000000001</v>
      </c>
      <c r="AL24">
        <v>13.02</v>
      </c>
      <c r="AM24" t="s">
        <v>42</v>
      </c>
      <c r="AN24">
        <v>110.026</v>
      </c>
      <c r="AO24">
        <v>8.8000000000000007</v>
      </c>
    </row>
    <row r="25" spans="1:78" x14ac:dyDescent="0.2">
      <c r="A25" t="s">
        <v>36</v>
      </c>
      <c r="B25" t="s">
        <v>63</v>
      </c>
      <c r="C25" t="s">
        <v>64</v>
      </c>
      <c r="D25">
        <v>4</v>
      </c>
      <c r="E25">
        <v>1595</v>
      </c>
      <c r="F25" t="s">
        <v>66</v>
      </c>
      <c r="G25" t="s">
        <v>30</v>
      </c>
      <c r="H25">
        <v>62.921999999999997</v>
      </c>
      <c r="I25" t="s">
        <v>54</v>
      </c>
      <c r="J25" t="s">
        <v>41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0</v>
      </c>
      <c r="Q25" t="b">
        <v>0</v>
      </c>
      <c r="R25" t="b">
        <v>0</v>
      </c>
      <c r="S25" t="b">
        <v>0</v>
      </c>
      <c r="T25" t="s">
        <v>67</v>
      </c>
      <c r="U25">
        <v>0</v>
      </c>
      <c r="V25">
        <v>3</v>
      </c>
      <c r="W25">
        <v>3</v>
      </c>
      <c r="X25">
        <v>1.4873333333333301</v>
      </c>
      <c r="Y25" t="b">
        <v>1</v>
      </c>
      <c r="Z25" t="b">
        <v>0</v>
      </c>
      <c r="AA25" t="b">
        <v>0</v>
      </c>
      <c r="AB25">
        <v>0</v>
      </c>
      <c r="AC25" t="s">
        <v>34</v>
      </c>
      <c r="AE25" t="s">
        <v>35</v>
      </c>
      <c r="AF25" t="s">
        <v>43</v>
      </c>
      <c r="AG25">
        <v>10.292999999999999</v>
      </c>
      <c r="AH25">
        <v>1.04</v>
      </c>
      <c r="AI25" t="s">
        <v>43</v>
      </c>
      <c r="AJ25">
        <v>13.101000000000001</v>
      </c>
      <c r="AK25">
        <v>1.5249999999999999</v>
      </c>
      <c r="AL25" t="s">
        <v>43</v>
      </c>
      <c r="AM25">
        <v>19.547000000000001</v>
      </c>
      <c r="AN25">
        <v>1.897</v>
      </c>
      <c r="AO25" t="s">
        <v>42</v>
      </c>
      <c r="AP25">
        <v>28.027000000000001</v>
      </c>
      <c r="AQ25">
        <v>20.140999999999998</v>
      </c>
    </row>
    <row r="26" spans="1:78" x14ac:dyDescent="0.2">
      <c r="A26" t="s">
        <v>36</v>
      </c>
      <c r="B26" t="s">
        <v>55</v>
      </c>
      <c r="C26" t="s">
        <v>58</v>
      </c>
      <c r="D26">
        <v>3</v>
      </c>
      <c r="E26">
        <v>4980</v>
      </c>
      <c r="F26" t="s">
        <v>49</v>
      </c>
      <c r="G26" t="s">
        <v>39</v>
      </c>
      <c r="H26">
        <v>138.828</v>
      </c>
      <c r="I26" t="s">
        <v>40</v>
      </c>
      <c r="J26" t="s">
        <v>41</v>
      </c>
      <c r="K26" t="b">
        <v>0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  <c r="R26" t="b">
        <v>0</v>
      </c>
      <c r="S26" t="b">
        <v>0</v>
      </c>
      <c r="T26" t="s">
        <v>68</v>
      </c>
      <c r="U26">
        <v>1</v>
      </c>
      <c r="V26">
        <v>4</v>
      </c>
      <c r="W26">
        <v>5</v>
      </c>
      <c r="X26">
        <v>58.3018</v>
      </c>
      <c r="Y26" t="b">
        <v>1</v>
      </c>
      <c r="Z26" t="b">
        <v>1</v>
      </c>
      <c r="AA26" t="b">
        <v>0</v>
      </c>
      <c r="AB26">
        <v>0</v>
      </c>
      <c r="AC26" t="s">
        <v>34</v>
      </c>
      <c r="AD26">
        <v>0</v>
      </c>
      <c r="AE26" t="s">
        <v>43</v>
      </c>
      <c r="AF26">
        <v>0</v>
      </c>
      <c r="AG26">
        <v>269.86500000000001</v>
      </c>
      <c r="AI26" t="s">
        <v>35</v>
      </c>
      <c r="AJ26" t="s">
        <v>43</v>
      </c>
      <c r="AK26">
        <v>32.773000000000003</v>
      </c>
      <c r="AL26">
        <v>6.4180000000000001</v>
      </c>
      <c r="AM26" t="s">
        <v>51</v>
      </c>
      <c r="AN26">
        <v>44.128</v>
      </c>
      <c r="AO26">
        <v>0.498</v>
      </c>
      <c r="AP26" t="s">
        <v>51</v>
      </c>
      <c r="AQ26">
        <v>48.887999999999998</v>
      </c>
      <c r="AR26">
        <v>9.4559999999999995</v>
      </c>
      <c r="AS26" t="s">
        <v>42</v>
      </c>
      <c r="AT26">
        <v>72.790000000000006</v>
      </c>
      <c r="AU26">
        <v>11.683</v>
      </c>
      <c r="AV26" t="s">
        <v>42</v>
      </c>
      <c r="AW26">
        <v>102.629</v>
      </c>
      <c r="AX26">
        <v>13.154999999999999</v>
      </c>
      <c r="AY26" t="s">
        <v>51</v>
      </c>
      <c r="AZ26">
        <v>119.38800000000001</v>
      </c>
      <c r="BA26">
        <v>5.2720000000000002</v>
      </c>
    </row>
    <row r="27" spans="1:78" x14ac:dyDescent="0.2">
      <c r="A27" t="s">
        <v>36</v>
      </c>
      <c r="B27" t="s">
        <v>55</v>
      </c>
      <c r="C27" t="s">
        <v>58</v>
      </c>
      <c r="D27">
        <v>5</v>
      </c>
      <c r="E27">
        <v>8532</v>
      </c>
      <c r="F27" t="s">
        <v>46</v>
      </c>
      <c r="G27" t="s">
        <v>39</v>
      </c>
      <c r="H27">
        <v>0</v>
      </c>
      <c r="I27" t="s">
        <v>40</v>
      </c>
      <c r="J27" t="s">
        <v>32</v>
      </c>
      <c r="K27" t="b">
        <v>0</v>
      </c>
      <c r="L27" t="b">
        <v>0</v>
      </c>
      <c r="M27" t="b">
        <v>0</v>
      </c>
      <c r="N27" t="b">
        <v>0</v>
      </c>
      <c r="O27" t="b">
        <v>0</v>
      </c>
      <c r="P27" t="b">
        <v>0</v>
      </c>
      <c r="Q27" t="b">
        <v>0</v>
      </c>
      <c r="R27" t="b">
        <v>0</v>
      </c>
      <c r="S27" t="b">
        <v>0</v>
      </c>
      <c r="U27">
        <v>0</v>
      </c>
      <c r="V27">
        <v>9</v>
      </c>
      <c r="W27">
        <v>9</v>
      </c>
      <c r="X27">
        <v>4.7457777777777697</v>
      </c>
      <c r="Y27" t="b">
        <v>1</v>
      </c>
      <c r="Z27" t="b">
        <v>0</v>
      </c>
      <c r="AA27" t="b">
        <v>0</v>
      </c>
      <c r="AB27">
        <v>0</v>
      </c>
      <c r="AC27" t="s">
        <v>34</v>
      </c>
      <c r="AD27">
        <v>0</v>
      </c>
      <c r="AE27" t="s">
        <v>42</v>
      </c>
      <c r="AF27">
        <v>0</v>
      </c>
      <c r="AG27">
        <v>302.97800000000001</v>
      </c>
      <c r="AI27" t="s">
        <v>35</v>
      </c>
      <c r="AJ27" t="s">
        <v>43</v>
      </c>
      <c r="AK27">
        <v>23.651</v>
      </c>
      <c r="AL27">
        <v>8.5609999999999999</v>
      </c>
      <c r="AM27" t="s">
        <v>43</v>
      </c>
      <c r="AN27">
        <v>33.094000000000001</v>
      </c>
      <c r="AO27">
        <v>0.69899999999999995</v>
      </c>
      <c r="AP27" t="s">
        <v>42</v>
      </c>
      <c r="AQ27">
        <v>34.904000000000003</v>
      </c>
      <c r="AR27">
        <v>0.39700000000000002</v>
      </c>
      <c r="AS27" t="s">
        <v>43</v>
      </c>
      <c r="AT27">
        <v>44.253999999999998</v>
      </c>
      <c r="AU27">
        <v>7.1589999999999998</v>
      </c>
      <c r="AV27" t="s">
        <v>43</v>
      </c>
      <c r="AW27">
        <v>64.72</v>
      </c>
      <c r="AX27">
        <v>8.7149999999999999</v>
      </c>
      <c r="AY27" t="s">
        <v>43</v>
      </c>
      <c r="AZ27">
        <v>75.572999999999993</v>
      </c>
      <c r="BA27">
        <v>2.0470000000000002</v>
      </c>
      <c r="BB27" t="s">
        <v>43</v>
      </c>
      <c r="BC27">
        <v>86.024000000000001</v>
      </c>
      <c r="BD27">
        <v>3.5249999999999999</v>
      </c>
      <c r="BE27" t="s">
        <v>43</v>
      </c>
      <c r="BF27">
        <v>107.548</v>
      </c>
      <c r="BG27">
        <v>3.133</v>
      </c>
      <c r="BH27" t="s">
        <v>43</v>
      </c>
      <c r="BI27">
        <v>138.05000000000001</v>
      </c>
      <c r="BJ27">
        <v>4.9530000000000003</v>
      </c>
      <c r="BK27" t="s">
        <v>43</v>
      </c>
      <c r="BL27">
        <v>146.06399999999999</v>
      </c>
      <c r="BM27">
        <v>3.92</v>
      </c>
    </row>
    <row r="28" spans="1:78" x14ac:dyDescent="0.2">
      <c r="A28" t="s">
        <v>36</v>
      </c>
      <c r="B28" t="s">
        <v>47</v>
      </c>
      <c r="C28" t="s">
        <v>48</v>
      </c>
      <c r="D28">
        <v>5</v>
      </c>
      <c r="E28">
        <v>9438</v>
      </c>
      <c r="F28" t="s">
        <v>53</v>
      </c>
      <c r="G28" t="s">
        <v>30</v>
      </c>
      <c r="H28">
        <v>145.77099999999999</v>
      </c>
      <c r="I28" t="s">
        <v>57</v>
      </c>
      <c r="J28" t="s">
        <v>41</v>
      </c>
      <c r="K28" t="b">
        <v>0</v>
      </c>
      <c r="L28" t="b">
        <v>0</v>
      </c>
      <c r="M28" t="b">
        <v>0</v>
      </c>
      <c r="N28" t="b">
        <v>0</v>
      </c>
      <c r="O28" t="b">
        <v>0</v>
      </c>
      <c r="P28" t="b">
        <v>0</v>
      </c>
      <c r="Q28" t="b">
        <v>0</v>
      </c>
      <c r="R28" t="b">
        <v>0</v>
      </c>
      <c r="S28" t="b">
        <v>0</v>
      </c>
      <c r="T28" t="s">
        <v>69</v>
      </c>
      <c r="U28">
        <v>0</v>
      </c>
      <c r="V28">
        <v>0</v>
      </c>
      <c r="W28">
        <v>0</v>
      </c>
      <c r="X28" t="s">
        <v>33</v>
      </c>
      <c r="Y28" t="b">
        <v>0</v>
      </c>
      <c r="Z28" t="b">
        <v>0</v>
      </c>
      <c r="AA28" t="b">
        <v>0</v>
      </c>
      <c r="AB28">
        <v>0</v>
      </c>
      <c r="AC28" t="s">
        <v>34</v>
      </c>
      <c r="AD28">
        <v>0</v>
      </c>
      <c r="AE28" t="s">
        <v>42</v>
      </c>
      <c r="AF28">
        <v>0</v>
      </c>
      <c r="AG28">
        <v>343.56799999999998</v>
      </c>
      <c r="AI28" t="s">
        <v>35</v>
      </c>
      <c r="AJ28" t="s">
        <v>42</v>
      </c>
      <c r="AK28">
        <v>41.082999999999998</v>
      </c>
      <c r="AL28">
        <v>21.834</v>
      </c>
      <c r="AM28" t="s">
        <v>42</v>
      </c>
      <c r="AN28">
        <v>85.201999999999998</v>
      </c>
      <c r="AO28">
        <v>5.3159999999999998</v>
      </c>
      <c r="AP28" t="s">
        <v>42</v>
      </c>
      <c r="AQ28">
        <v>94.418999999999997</v>
      </c>
      <c r="AR28">
        <v>27.634</v>
      </c>
    </row>
    <row r="29" spans="1:78" x14ac:dyDescent="0.2">
      <c r="A29" t="s">
        <v>36</v>
      </c>
      <c r="B29" t="s">
        <v>37</v>
      </c>
      <c r="C29" t="s">
        <v>38</v>
      </c>
      <c r="D29">
        <v>5</v>
      </c>
      <c r="E29">
        <v>4060</v>
      </c>
      <c r="F29" t="s">
        <v>49</v>
      </c>
      <c r="G29" t="s">
        <v>30</v>
      </c>
      <c r="H29">
        <v>126.075</v>
      </c>
      <c r="I29" t="s">
        <v>54</v>
      </c>
      <c r="J29" t="s">
        <v>41</v>
      </c>
      <c r="K29" t="b">
        <v>0</v>
      </c>
      <c r="L29" t="b">
        <v>0</v>
      </c>
      <c r="M29" t="b">
        <v>0</v>
      </c>
      <c r="N29" t="b">
        <v>0</v>
      </c>
      <c r="O29" t="b">
        <v>0</v>
      </c>
      <c r="P29" t="b">
        <v>0</v>
      </c>
      <c r="Q29" t="b">
        <v>0</v>
      </c>
      <c r="R29" t="b">
        <v>0</v>
      </c>
      <c r="S29" t="b">
        <v>0</v>
      </c>
      <c r="T29" t="s">
        <v>70</v>
      </c>
      <c r="U29">
        <v>0</v>
      </c>
      <c r="V29">
        <v>2</v>
      </c>
      <c r="W29">
        <v>2</v>
      </c>
      <c r="X29">
        <v>6.6310000000000002</v>
      </c>
      <c r="Y29" t="b">
        <v>1</v>
      </c>
      <c r="Z29" t="b">
        <v>0</v>
      </c>
      <c r="AA29" t="b">
        <v>0</v>
      </c>
      <c r="AB29">
        <v>0</v>
      </c>
      <c r="AC29" t="s">
        <v>34</v>
      </c>
      <c r="AD29">
        <v>0</v>
      </c>
      <c r="AE29" t="s">
        <v>42</v>
      </c>
      <c r="AF29">
        <v>0</v>
      </c>
      <c r="AG29">
        <v>61.155999999999999</v>
      </c>
      <c r="AI29" t="s">
        <v>35</v>
      </c>
      <c r="AJ29" t="s">
        <v>43</v>
      </c>
      <c r="AK29">
        <v>24.718</v>
      </c>
      <c r="AL29">
        <v>5.3540000000000001</v>
      </c>
      <c r="AM29" t="s">
        <v>43</v>
      </c>
      <c r="AN29">
        <v>34.875999999999998</v>
      </c>
      <c r="AO29">
        <v>7.9080000000000004</v>
      </c>
      <c r="AP29" t="s">
        <v>42</v>
      </c>
      <c r="AQ29">
        <v>53.128</v>
      </c>
      <c r="AR29">
        <v>12.859</v>
      </c>
      <c r="AS29" t="s">
        <v>42</v>
      </c>
      <c r="AT29">
        <v>77.72</v>
      </c>
      <c r="AU29">
        <v>14.414999999999999</v>
      </c>
      <c r="AV29" t="s">
        <v>42</v>
      </c>
      <c r="AW29">
        <v>102.60299999999999</v>
      </c>
      <c r="AX29">
        <v>7.032</v>
      </c>
      <c r="AY29" t="s">
        <v>42</v>
      </c>
      <c r="AZ29">
        <v>114.46899999999999</v>
      </c>
      <c r="BA29">
        <v>0.253</v>
      </c>
      <c r="BB29" t="s">
        <v>42</v>
      </c>
      <c r="BC29">
        <v>119.387</v>
      </c>
      <c r="BD29">
        <v>0.97499999999999998</v>
      </c>
    </row>
    <row r="30" spans="1:78" x14ac:dyDescent="0.2">
      <c r="A30" t="s">
        <v>36</v>
      </c>
      <c r="B30" t="s">
        <v>63</v>
      </c>
      <c r="C30" t="s">
        <v>64</v>
      </c>
      <c r="D30">
        <v>5</v>
      </c>
      <c r="E30">
        <v>6343</v>
      </c>
      <c r="F30" t="s">
        <v>66</v>
      </c>
      <c r="G30" t="s">
        <v>39</v>
      </c>
      <c r="H30">
        <v>148.38200000000001</v>
      </c>
      <c r="I30" t="s">
        <v>54</v>
      </c>
      <c r="J30" t="s">
        <v>41</v>
      </c>
      <c r="K30" t="b">
        <v>0</v>
      </c>
      <c r="L30" t="b">
        <v>0</v>
      </c>
      <c r="M30" t="b">
        <v>0</v>
      </c>
      <c r="N30" t="b">
        <v>0</v>
      </c>
      <c r="O30" t="b">
        <v>0</v>
      </c>
      <c r="P30" t="b">
        <v>0</v>
      </c>
      <c r="Q30" t="b">
        <v>0</v>
      </c>
      <c r="R30" t="b">
        <v>0</v>
      </c>
      <c r="S30" t="b">
        <v>0</v>
      </c>
      <c r="T30" t="s">
        <v>71</v>
      </c>
      <c r="U30">
        <v>1</v>
      </c>
      <c r="V30">
        <v>5</v>
      </c>
      <c r="W30">
        <v>6</v>
      </c>
      <c r="X30">
        <v>3.8078333333333299</v>
      </c>
      <c r="Y30" t="b">
        <v>1</v>
      </c>
      <c r="Z30" t="b">
        <v>1</v>
      </c>
      <c r="AA30" t="b">
        <v>0</v>
      </c>
      <c r="AB30">
        <v>0</v>
      </c>
      <c r="AC30" t="s">
        <v>34</v>
      </c>
      <c r="AD30">
        <v>-3</v>
      </c>
      <c r="AE30" t="s">
        <v>51</v>
      </c>
      <c r="AF30">
        <v>26.3</v>
      </c>
      <c r="AG30">
        <v>2.3730000000000002</v>
      </c>
      <c r="AI30" t="s">
        <v>35</v>
      </c>
      <c r="AJ30" t="s">
        <v>51</v>
      </c>
      <c r="AK30">
        <v>32.164000000000001</v>
      </c>
      <c r="AL30">
        <v>1.37</v>
      </c>
      <c r="AM30" t="s">
        <v>43</v>
      </c>
      <c r="AN30">
        <v>37.564999999999998</v>
      </c>
      <c r="AO30">
        <v>1.4670000000000001</v>
      </c>
      <c r="AP30" t="s">
        <v>51</v>
      </c>
      <c r="AQ30">
        <v>70.353999999999999</v>
      </c>
      <c r="AR30">
        <v>1.536</v>
      </c>
      <c r="AS30" t="s">
        <v>51</v>
      </c>
      <c r="AT30">
        <v>82.186000000000007</v>
      </c>
      <c r="AU30">
        <v>6.7290000000000001</v>
      </c>
      <c r="AV30" t="s">
        <v>51</v>
      </c>
      <c r="AW30">
        <v>109.05500000000001</v>
      </c>
      <c r="AX30">
        <v>9.3719999999999999</v>
      </c>
    </row>
    <row r="31" spans="1:78" x14ac:dyDescent="0.2">
      <c r="A31" t="s">
        <v>36</v>
      </c>
      <c r="B31" t="s">
        <v>28</v>
      </c>
      <c r="C31" t="s">
        <v>52</v>
      </c>
      <c r="D31">
        <v>5</v>
      </c>
      <c r="E31">
        <v>5920</v>
      </c>
      <c r="F31" t="s">
        <v>66</v>
      </c>
      <c r="G31" t="s">
        <v>39</v>
      </c>
      <c r="H31">
        <v>138.154</v>
      </c>
      <c r="I31" t="s">
        <v>40</v>
      </c>
      <c r="J31" t="s">
        <v>41</v>
      </c>
      <c r="K31" t="b">
        <v>0</v>
      </c>
      <c r="L31" t="b">
        <v>0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s">
        <v>72</v>
      </c>
      <c r="U31">
        <v>0</v>
      </c>
      <c r="V31">
        <v>1</v>
      </c>
      <c r="W31">
        <v>1</v>
      </c>
      <c r="X31">
        <v>231.37100000000001</v>
      </c>
      <c r="Y31" t="b">
        <v>1</v>
      </c>
      <c r="Z31" t="b">
        <v>0</v>
      </c>
      <c r="AA31" t="b">
        <v>0</v>
      </c>
      <c r="AB31">
        <v>0</v>
      </c>
      <c r="AC31" t="s">
        <v>34</v>
      </c>
      <c r="AE31" t="s">
        <v>35</v>
      </c>
      <c r="AF31" t="s">
        <v>43</v>
      </c>
      <c r="AG31">
        <v>0</v>
      </c>
      <c r="AH31">
        <v>231.37100000000001</v>
      </c>
    </row>
    <row r="32" spans="1:78" x14ac:dyDescent="0.2">
      <c r="A32" t="s">
        <v>36</v>
      </c>
      <c r="B32" t="s">
        <v>44</v>
      </c>
      <c r="C32" t="s">
        <v>45</v>
      </c>
      <c r="D32">
        <v>5</v>
      </c>
      <c r="E32">
        <v>4089</v>
      </c>
      <c r="F32" t="s">
        <v>53</v>
      </c>
      <c r="G32" t="s">
        <v>39</v>
      </c>
      <c r="H32">
        <v>156.07</v>
      </c>
      <c r="I32" t="s">
        <v>40</v>
      </c>
      <c r="J32" t="s">
        <v>50</v>
      </c>
      <c r="K32" t="b">
        <v>0</v>
      </c>
      <c r="L32" t="b">
        <v>0</v>
      </c>
      <c r="M32" t="b">
        <v>0</v>
      </c>
      <c r="N32" t="b">
        <v>0</v>
      </c>
      <c r="O32" t="b">
        <v>0</v>
      </c>
      <c r="P32" t="b">
        <v>0</v>
      </c>
      <c r="Q32" t="b">
        <v>0</v>
      </c>
      <c r="R32" t="b">
        <v>0</v>
      </c>
      <c r="S32" t="b">
        <v>0</v>
      </c>
      <c r="T32" t="s">
        <v>73</v>
      </c>
      <c r="U32">
        <v>0</v>
      </c>
      <c r="V32">
        <v>8</v>
      </c>
      <c r="W32">
        <v>8</v>
      </c>
      <c r="X32">
        <v>6.2641249999999999</v>
      </c>
      <c r="Y32" t="b">
        <v>1</v>
      </c>
      <c r="Z32" t="b">
        <v>1</v>
      </c>
      <c r="AA32" t="b">
        <v>0</v>
      </c>
      <c r="AB32">
        <v>0</v>
      </c>
      <c r="AC32" t="s">
        <v>34</v>
      </c>
      <c r="AE32" t="s">
        <v>35</v>
      </c>
      <c r="AF32" t="s">
        <v>51</v>
      </c>
      <c r="AG32">
        <v>22.381</v>
      </c>
      <c r="AH32">
        <v>11.568</v>
      </c>
      <c r="AI32" t="s">
        <v>43</v>
      </c>
      <c r="AJ32">
        <v>48.813000000000002</v>
      </c>
      <c r="AK32">
        <v>3.694</v>
      </c>
      <c r="AL32" t="s">
        <v>43</v>
      </c>
      <c r="AM32">
        <v>61.433</v>
      </c>
      <c r="AN32">
        <v>3.0569999999999999</v>
      </c>
      <c r="AO32" t="s">
        <v>51</v>
      </c>
      <c r="AP32">
        <v>77.471999999999994</v>
      </c>
      <c r="AQ32">
        <v>10.14</v>
      </c>
      <c r="AR32" t="s">
        <v>43</v>
      </c>
      <c r="AS32">
        <v>94.948999999999998</v>
      </c>
      <c r="AT32">
        <v>4.8259999999999996</v>
      </c>
      <c r="AU32" t="s">
        <v>43</v>
      </c>
      <c r="AV32">
        <v>104.863</v>
      </c>
      <c r="AW32">
        <v>5.23</v>
      </c>
      <c r="AX32" t="s">
        <v>43</v>
      </c>
      <c r="AY32">
        <v>116.997</v>
      </c>
      <c r="AZ32">
        <v>2.9830000000000001</v>
      </c>
      <c r="BA32" t="s">
        <v>43</v>
      </c>
      <c r="BB32">
        <v>129.05699999999999</v>
      </c>
      <c r="BC32">
        <v>8.6150000000000002</v>
      </c>
    </row>
    <row r="33" spans="1:66" x14ac:dyDescent="0.2">
      <c r="A33" t="s">
        <v>36</v>
      </c>
      <c r="B33" t="s">
        <v>55</v>
      </c>
      <c r="C33" t="s">
        <v>58</v>
      </c>
      <c r="D33">
        <v>6</v>
      </c>
      <c r="E33">
        <v>9680</v>
      </c>
      <c r="F33" t="s">
        <v>66</v>
      </c>
      <c r="G33" t="s">
        <v>39</v>
      </c>
      <c r="H33">
        <v>0</v>
      </c>
      <c r="I33" t="s">
        <v>40</v>
      </c>
      <c r="J33" t="s">
        <v>32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t="b">
        <v>0</v>
      </c>
      <c r="Q33" t="b">
        <v>0</v>
      </c>
      <c r="R33" t="b">
        <v>0</v>
      </c>
      <c r="S33" t="b">
        <v>0</v>
      </c>
      <c r="U33">
        <v>0</v>
      </c>
      <c r="V33">
        <v>0</v>
      </c>
      <c r="W33">
        <v>0</v>
      </c>
      <c r="X33" t="s">
        <v>33</v>
      </c>
      <c r="Y33" t="b">
        <v>0</v>
      </c>
      <c r="Z33" t="b">
        <v>0</v>
      </c>
      <c r="AA33" t="b">
        <v>0</v>
      </c>
      <c r="AB33">
        <v>0</v>
      </c>
      <c r="AC33" t="s">
        <v>34</v>
      </c>
      <c r="AE33" t="s">
        <v>35</v>
      </c>
      <c r="AF33" t="s">
        <v>42</v>
      </c>
      <c r="AG33">
        <v>0</v>
      </c>
      <c r="AH33">
        <v>426.065</v>
      </c>
    </row>
    <row r="34" spans="1:66" x14ac:dyDescent="0.2">
      <c r="A34" t="s">
        <v>36</v>
      </c>
      <c r="B34" t="s">
        <v>47</v>
      </c>
      <c r="C34" t="s">
        <v>48</v>
      </c>
      <c r="D34">
        <v>6</v>
      </c>
      <c r="E34">
        <v>4131</v>
      </c>
      <c r="F34" t="s">
        <v>49</v>
      </c>
      <c r="G34" t="s">
        <v>39</v>
      </c>
      <c r="H34">
        <v>0</v>
      </c>
      <c r="I34" t="s">
        <v>40</v>
      </c>
      <c r="J34" t="s">
        <v>32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t="b">
        <v>0</v>
      </c>
      <c r="Q34" t="b">
        <v>0</v>
      </c>
      <c r="R34" t="b">
        <v>0</v>
      </c>
      <c r="S34" t="b">
        <v>0</v>
      </c>
      <c r="U34">
        <v>1</v>
      </c>
      <c r="V34">
        <v>6</v>
      </c>
      <c r="W34">
        <v>7</v>
      </c>
      <c r="X34">
        <v>59.985571428571397</v>
      </c>
      <c r="Y34" t="b">
        <v>1</v>
      </c>
      <c r="Z34" t="b">
        <v>1</v>
      </c>
      <c r="AA34" t="b">
        <v>0</v>
      </c>
      <c r="AB34">
        <v>0</v>
      </c>
      <c r="AC34" t="s">
        <v>34</v>
      </c>
      <c r="AD34">
        <v>0</v>
      </c>
      <c r="AE34" t="s">
        <v>43</v>
      </c>
      <c r="AF34">
        <v>0</v>
      </c>
      <c r="AG34">
        <v>391.858</v>
      </c>
      <c r="AH34">
        <v>1</v>
      </c>
      <c r="AI34" t="s">
        <v>42</v>
      </c>
      <c r="AJ34">
        <v>8.3490000000000002</v>
      </c>
      <c r="AK34">
        <v>4.1689999999999996</v>
      </c>
      <c r="AM34" t="s">
        <v>35</v>
      </c>
      <c r="AN34" t="s">
        <v>51</v>
      </c>
      <c r="AO34">
        <v>26.722999999999999</v>
      </c>
      <c r="AP34">
        <v>8.1020000000000003</v>
      </c>
      <c r="AQ34" t="s">
        <v>42</v>
      </c>
      <c r="AR34">
        <v>50.216000000000001</v>
      </c>
      <c r="AS34">
        <v>9.0679999999999996</v>
      </c>
      <c r="AT34" t="s">
        <v>43</v>
      </c>
      <c r="AU34">
        <v>69.183000000000007</v>
      </c>
      <c r="AV34">
        <v>2.2330000000000001</v>
      </c>
      <c r="AW34" t="s">
        <v>43</v>
      </c>
      <c r="AX34">
        <v>90.361000000000004</v>
      </c>
      <c r="AY34">
        <v>0.93899999999999995</v>
      </c>
      <c r="AZ34" t="s">
        <v>42</v>
      </c>
      <c r="BA34">
        <v>98.5</v>
      </c>
      <c r="BB34">
        <v>6.5019999999999998</v>
      </c>
      <c r="BC34" t="s">
        <v>43</v>
      </c>
      <c r="BD34">
        <v>112.468</v>
      </c>
      <c r="BE34">
        <v>0.74099999999999999</v>
      </c>
      <c r="BF34" t="s">
        <v>43</v>
      </c>
      <c r="BG34">
        <v>126.536</v>
      </c>
      <c r="BH34">
        <v>1.675</v>
      </c>
      <c r="BI34" t="s">
        <v>43</v>
      </c>
      <c r="BJ34">
        <v>135.55199999999999</v>
      </c>
      <c r="BK34">
        <v>14.351000000000001</v>
      </c>
    </row>
    <row r="35" spans="1:66" x14ac:dyDescent="0.2">
      <c r="A35" t="s">
        <v>36</v>
      </c>
      <c r="B35" t="s">
        <v>37</v>
      </c>
      <c r="C35" t="s">
        <v>38</v>
      </c>
      <c r="D35">
        <v>6</v>
      </c>
      <c r="E35">
        <v>3574</v>
      </c>
      <c r="F35" t="s">
        <v>53</v>
      </c>
      <c r="G35" t="s">
        <v>39</v>
      </c>
      <c r="H35">
        <v>0</v>
      </c>
      <c r="I35" t="s">
        <v>54</v>
      </c>
      <c r="J35" t="s">
        <v>32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t="b">
        <v>0</v>
      </c>
      <c r="S35" t="b">
        <v>0</v>
      </c>
      <c r="U35">
        <v>1</v>
      </c>
      <c r="V35">
        <v>5</v>
      </c>
      <c r="W35">
        <v>6</v>
      </c>
      <c r="X35">
        <v>29.317833333333301</v>
      </c>
      <c r="Y35" t="b">
        <v>1</v>
      </c>
      <c r="Z35" t="b">
        <v>0</v>
      </c>
      <c r="AA35" t="b">
        <v>0</v>
      </c>
      <c r="AB35">
        <v>0</v>
      </c>
      <c r="AC35" t="s">
        <v>34</v>
      </c>
      <c r="AD35">
        <v>0</v>
      </c>
      <c r="AE35" t="s">
        <v>43</v>
      </c>
      <c r="AF35">
        <v>0</v>
      </c>
      <c r="AG35">
        <v>121.364</v>
      </c>
      <c r="AI35" t="s">
        <v>35</v>
      </c>
      <c r="AJ35" t="s">
        <v>43</v>
      </c>
      <c r="AK35">
        <v>29.132999999999999</v>
      </c>
      <c r="AL35">
        <v>6.8949999999999996</v>
      </c>
      <c r="AM35" t="s">
        <v>43</v>
      </c>
      <c r="AN35">
        <v>63.976999999999997</v>
      </c>
      <c r="AO35">
        <v>1.7609999999999999</v>
      </c>
      <c r="AP35" t="s">
        <v>43</v>
      </c>
      <c r="AQ35">
        <v>72.082999999999998</v>
      </c>
      <c r="AR35">
        <v>5.6239999999999997</v>
      </c>
      <c r="AS35" t="s">
        <v>43</v>
      </c>
      <c r="AT35">
        <v>91.201999999999998</v>
      </c>
      <c r="AU35">
        <v>17.701000000000001</v>
      </c>
      <c r="AV35" t="s">
        <v>43</v>
      </c>
      <c r="AW35">
        <v>126.724</v>
      </c>
      <c r="AX35">
        <v>22.562000000000001</v>
      </c>
    </row>
    <row r="36" spans="1:66" x14ac:dyDescent="0.2">
      <c r="A36" t="s">
        <v>36</v>
      </c>
      <c r="B36" t="s">
        <v>63</v>
      </c>
      <c r="C36" t="s">
        <v>64</v>
      </c>
      <c r="D36">
        <v>6</v>
      </c>
      <c r="E36">
        <v>1318</v>
      </c>
      <c r="F36" t="s">
        <v>49</v>
      </c>
      <c r="G36" t="s">
        <v>39</v>
      </c>
      <c r="H36">
        <v>147.02699999999999</v>
      </c>
      <c r="I36" t="s">
        <v>40</v>
      </c>
      <c r="J36" t="s">
        <v>41</v>
      </c>
      <c r="K36" t="b">
        <v>0</v>
      </c>
      <c r="L36" t="b">
        <v>0</v>
      </c>
      <c r="M36" t="b">
        <v>0</v>
      </c>
      <c r="N36" t="b">
        <v>0</v>
      </c>
      <c r="O36" t="b">
        <v>0</v>
      </c>
      <c r="P36" t="b">
        <v>0</v>
      </c>
      <c r="Q36" t="b">
        <v>0</v>
      </c>
      <c r="R36" t="b">
        <v>0</v>
      </c>
      <c r="S36" t="b">
        <v>0</v>
      </c>
      <c r="T36" t="s">
        <v>74</v>
      </c>
      <c r="U36">
        <v>1</v>
      </c>
      <c r="V36">
        <v>0</v>
      </c>
      <c r="W36">
        <v>1</v>
      </c>
      <c r="X36">
        <v>1.9179999999999999</v>
      </c>
      <c r="Y36" t="b">
        <v>1</v>
      </c>
      <c r="Z36" t="b">
        <v>0</v>
      </c>
      <c r="AA36" t="b">
        <v>0</v>
      </c>
      <c r="AB36">
        <v>0</v>
      </c>
      <c r="AC36" t="s">
        <v>34</v>
      </c>
      <c r="AD36">
        <v>-1</v>
      </c>
      <c r="AE36" t="s">
        <v>43</v>
      </c>
      <c r="AF36">
        <v>19.908000000000001</v>
      </c>
      <c r="AG36">
        <v>1.9179999999999999</v>
      </c>
      <c r="AI36" t="s">
        <v>35</v>
      </c>
      <c r="AJ36" t="s">
        <v>42</v>
      </c>
      <c r="AK36">
        <v>36.021999999999998</v>
      </c>
      <c r="AL36">
        <v>16.382999999999999</v>
      </c>
      <c r="AM36" t="s">
        <v>42</v>
      </c>
      <c r="AN36">
        <v>52.847000000000001</v>
      </c>
      <c r="AO36">
        <v>0.94099999999999995</v>
      </c>
      <c r="AP36" t="s">
        <v>42</v>
      </c>
      <c r="AQ36">
        <v>56.668999999999997</v>
      </c>
      <c r="AR36">
        <v>1.056</v>
      </c>
      <c r="AS36" t="s">
        <v>42</v>
      </c>
      <c r="AT36">
        <v>59.954000000000001</v>
      </c>
      <c r="AU36">
        <v>6.2480000000000002</v>
      </c>
      <c r="AV36" t="s">
        <v>42</v>
      </c>
      <c r="AW36">
        <v>83.278000000000006</v>
      </c>
      <c r="AX36">
        <v>0.63100000000000001</v>
      </c>
      <c r="AY36" t="s">
        <v>42</v>
      </c>
      <c r="AZ36">
        <v>84.337000000000003</v>
      </c>
      <c r="BA36">
        <v>0.34200000000000003</v>
      </c>
      <c r="BB36" t="s">
        <v>42</v>
      </c>
      <c r="BC36">
        <v>88.631</v>
      </c>
      <c r="BD36">
        <v>11.381</v>
      </c>
      <c r="BE36" t="s">
        <v>42</v>
      </c>
      <c r="BF36">
        <v>108.401</v>
      </c>
      <c r="BG36">
        <v>0.44400000000000001</v>
      </c>
      <c r="BH36" t="s">
        <v>42</v>
      </c>
      <c r="BI36">
        <v>113.718</v>
      </c>
      <c r="BJ36">
        <v>0.72899999999999998</v>
      </c>
    </row>
    <row r="37" spans="1:66" x14ac:dyDescent="0.2">
      <c r="A37" t="s">
        <v>36</v>
      </c>
      <c r="B37" t="s">
        <v>28</v>
      </c>
      <c r="C37" t="s">
        <v>52</v>
      </c>
      <c r="D37">
        <v>6</v>
      </c>
      <c r="E37">
        <v>4513</v>
      </c>
      <c r="F37" t="s">
        <v>53</v>
      </c>
      <c r="G37" t="s">
        <v>39</v>
      </c>
      <c r="H37">
        <v>155.49299999999999</v>
      </c>
      <c r="I37" t="s">
        <v>40</v>
      </c>
      <c r="J37" t="s">
        <v>50</v>
      </c>
      <c r="K37" t="b">
        <v>0</v>
      </c>
      <c r="L37" t="b">
        <v>0</v>
      </c>
      <c r="M37" t="b">
        <v>0</v>
      </c>
      <c r="N37" t="b">
        <v>0</v>
      </c>
      <c r="O37" t="b">
        <v>0</v>
      </c>
      <c r="P37" t="b">
        <v>0</v>
      </c>
      <c r="Q37" t="b">
        <v>0</v>
      </c>
      <c r="R37" t="b">
        <v>0</v>
      </c>
      <c r="S37" t="b">
        <v>0</v>
      </c>
      <c r="T37" t="s">
        <v>75</v>
      </c>
      <c r="U37">
        <v>2</v>
      </c>
      <c r="V37">
        <v>8</v>
      </c>
      <c r="W37">
        <v>10</v>
      </c>
      <c r="X37">
        <v>3.8823999999999899</v>
      </c>
      <c r="Y37" t="b">
        <v>1</v>
      </c>
      <c r="Z37" t="b">
        <v>0</v>
      </c>
      <c r="AA37" t="b">
        <v>0</v>
      </c>
      <c r="AB37">
        <v>0</v>
      </c>
      <c r="AC37" t="s">
        <v>34</v>
      </c>
      <c r="AD37">
        <v>0</v>
      </c>
      <c r="AE37" t="s">
        <v>43</v>
      </c>
      <c r="AF37">
        <v>0</v>
      </c>
      <c r="AG37">
        <v>7.3689999999999998</v>
      </c>
      <c r="AH37">
        <v>-2</v>
      </c>
      <c r="AI37" t="s">
        <v>43</v>
      </c>
      <c r="AJ37">
        <v>11.753</v>
      </c>
      <c r="AK37">
        <v>0.73299999999999998</v>
      </c>
      <c r="AM37" t="s">
        <v>35</v>
      </c>
      <c r="AN37" t="s">
        <v>43</v>
      </c>
      <c r="AO37">
        <v>26.888000000000002</v>
      </c>
      <c r="AP37">
        <v>0.64800000000000002</v>
      </c>
      <c r="AQ37" t="s">
        <v>43</v>
      </c>
      <c r="AR37">
        <v>35.119999999999997</v>
      </c>
      <c r="AS37">
        <v>3.7829999999999999</v>
      </c>
      <c r="AT37" t="s">
        <v>42</v>
      </c>
      <c r="AU37">
        <v>53.286999999999999</v>
      </c>
      <c r="AV37">
        <v>7.1</v>
      </c>
      <c r="AW37" t="s">
        <v>43</v>
      </c>
      <c r="AX37">
        <v>64.956000000000003</v>
      </c>
      <c r="AY37">
        <v>1.181</v>
      </c>
      <c r="AZ37" t="s">
        <v>43</v>
      </c>
      <c r="BA37">
        <v>70.835999999999999</v>
      </c>
      <c r="BB37">
        <v>4.92</v>
      </c>
      <c r="BC37" t="s">
        <v>43</v>
      </c>
      <c r="BD37">
        <v>94.588999999999999</v>
      </c>
      <c r="BE37">
        <v>3.4159999999999999</v>
      </c>
      <c r="BF37" t="s">
        <v>43</v>
      </c>
      <c r="BG37">
        <v>108.803</v>
      </c>
      <c r="BH37">
        <v>7.2869999999999999</v>
      </c>
      <c r="BI37" t="s">
        <v>43</v>
      </c>
      <c r="BJ37">
        <v>122.288</v>
      </c>
      <c r="BK37">
        <v>2.6019999999999999</v>
      </c>
      <c r="BL37" t="s">
        <v>43</v>
      </c>
      <c r="BM37">
        <v>137.34100000000001</v>
      </c>
      <c r="BN37">
        <v>6.8849999999999998</v>
      </c>
    </row>
    <row r="38" spans="1:66" x14ac:dyDescent="0.2">
      <c r="A38" t="s">
        <v>36</v>
      </c>
      <c r="B38" t="s">
        <v>44</v>
      </c>
      <c r="C38" t="s">
        <v>45</v>
      </c>
      <c r="D38">
        <v>6</v>
      </c>
      <c r="E38">
        <v>2147</v>
      </c>
      <c r="F38" t="s">
        <v>53</v>
      </c>
      <c r="G38" t="s">
        <v>39</v>
      </c>
      <c r="H38">
        <v>138.251</v>
      </c>
      <c r="I38" t="s">
        <v>40</v>
      </c>
      <c r="J38" t="s">
        <v>41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t="b">
        <v>0</v>
      </c>
      <c r="Q38" t="b">
        <v>0</v>
      </c>
      <c r="R38" t="b">
        <v>0</v>
      </c>
      <c r="S38" t="b">
        <v>0</v>
      </c>
      <c r="U38">
        <v>1</v>
      </c>
      <c r="V38">
        <v>5</v>
      </c>
      <c r="W38">
        <v>6</v>
      </c>
      <c r="X38">
        <v>8.6038333333333306</v>
      </c>
      <c r="Y38" t="b">
        <v>1</v>
      </c>
      <c r="Z38" t="b">
        <v>0</v>
      </c>
      <c r="AA38" t="b">
        <v>0</v>
      </c>
      <c r="AB38">
        <v>0</v>
      </c>
      <c r="AC38" t="s">
        <v>34</v>
      </c>
      <c r="AD38">
        <v>-3</v>
      </c>
      <c r="AE38" t="s">
        <v>43</v>
      </c>
      <c r="AF38">
        <v>6.9279999999999999</v>
      </c>
      <c r="AG38">
        <v>7.5110000000000001</v>
      </c>
      <c r="AI38" t="s">
        <v>35</v>
      </c>
      <c r="AJ38" t="s">
        <v>43</v>
      </c>
      <c r="AK38">
        <v>28.46</v>
      </c>
      <c r="AL38">
        <v>5.2919999999999998</v>
      </c>
      <c r="AM38" t="s">
        <v>43</v>
      </c>
      <c r="AN38">
        <v>38.512</v>
      </c>
      <c r="AO38">
        <v>4.3650000000000002</v>
      </c>
      <c r="AP38" t="s">
        <v>43</v>
      </c>
      <c r="AQ38">
        <v>74.144000000000005</v>
      </c>
      <c r="AR38">
        <v>24.981000000000002</v>
      </c>
      <c r="AS38" t="s">
        <v>43</v>
      </c>
      <c r="AT38">
        <v>100.123</v>
      </c>
      <c r="AU38">
        <v>7.0350000000000001</v>
      </c>
      <c r="AV38" t="s">
        <v>43</v>
      </c>
      <c r="AW38">
        <v>132.65</v>
      </c>
      <c r="AX38">
        <v>2.4390000000000001</v>
      </c>
    </row>
    <row r="39" spans="1:66" x14ac:dyDescent="0.2">
      <c r="A39" t="s">
        <v>36</v>
      </c>
      <c r="B39" t="s">
        <v>37</v>
      </c>
      <c r="C39" t="s">
        <v>38</v>
      </c>
      <c r="D39">
        <v>7</v>
      </c>
      <c r="E39">
        <v>3712</v>
      </c>
      <c r="F39" t="s">
        <v>53</v>
      </c>
      <c r="G39" t="s">
        <v>39</v>
      </c>
      <c r="H39">
        <v>139.93899999999999</v>
      </c>
      <c r="I39" t="s">
        <v>57</v>
      </c>
      <c r="J39" t="s">
        <v>41</v>
      </c>
      <c r="K39" t="b">
        <v>0</v>
      </c>
      <c r="L39" t="b">
        <v>0</v>
      </c>
      <c r="M39" t="b">
        <v>0</v>
      </c>
      <c r="N39" t="b">
        <v>0</v>
      </c>
      <c r="O39" t="b">
        <v>0</v>
      </c>
      <c r="P39" t="b">
        <v>0</v>
      </c>
      <c r="Q39" t="b">
        <v>0</v>
      </c>
      <c r="R39" t="b">
        <v>0</v>
      </c>
      <c r="S39" t="b">
        <v>0</v>
      </c>
      <c r="T39" t="s">
        <v>76</v>
      </c>
      <c r="U39">
        <v>0</v>
      </c>
      <c r="V39">
        <v>3</v>
      </c>
      <c r="W39">
        <v>3</v>
      </c>
      <c r="X39">
        <v>4.6196666666666601</v>
      </c>
      <c r="Y39" t="b">
        <v>1</v>
      </c>
      <c r="Z39" t="b">
        <v>0</v>
      </c>
      <c r="AA39" t="b">
        <v>0</v>
      </c>
      <c r="AB39">
        <v>0</v>
      </c>
      <c r="AC39" t="s">
        <v>34</v>
      </c>
      <c r="AD39">
        <v>0</v>
      </c>
      <c r="AE39" t="s">
        <v>42</v>
      </c>
      <c r="AF39">
        <v>0</v>
      </c>
      <c r="AG39">
        <v>97.86</v>
      </c>
      <c r="AI39" t="s">
        <v>35</v>
      </c>
      <c r="AJ39" t="s">
        <v>43</v>
      </c>
      <c r="AK39">
        <v>49.243000000000002</v>
      </c>
      <c r="AL39">
        <v>5.4720000000000004</v>
      </c>
      <c r="AM39" t="s">
        <v>42</v>
      </c>
      <c r="AN39">
        <v>77.492999999999995</v>
      </c>
      <c r="AO39">
        <v>11.93</v>
      </c>
      <c r="AP39" t="s">
        <v>43</v>
      </c>
      <c r="AQ39">
        <v>102.876</v>
      </c>
      <c r="AR39">
        <v>6.0430000000000001</v>
      </c>
      <c r="AS39" t="s">
        <v>43</v>
      </c>
      <c r="AT39">
        <v>131.12700000000001</v>
      </c>
      <c r="AU39">
        <v>2.3439999999999999</v>
      </c>
    </row>
    <row r="40" spans="1:66" x14ac:dyDescent="0.2">
      <c r="A40" t="s">
        <v>36</v>
      </c>
      <c r="B40" t="s">
        <v>63</v>
      </c>
      <c r="C40" t="s">
        <v>64</v>
      </c>
      <c r="D40">
        <v>8</v>
      </c>
      <c r="E40">
        <v>4125</v>
      </c>
      <c r="F40" t="s">
        <v>49</v>
      </c>
      <c r="G40" t="s">
        <v>39</v>
      </c>
      <c r="H40">
        <v>115.122</v>
      </c>
      <c r="I40" t="s">
        <v>54</v>
      </c>
      <c r="J40" t="s">
        <v>41</v>
      </c>
      <c r="K40" t="b">
        <v>0</v>
      </c>
      <c r="L40" t="b">
        <v>0</v>
      </c>
      <c r="M40" t="b">
        <v>0</v>
      </c>
      <c r="N40" t="b">
        <v>0</v>
      </c>
      <c r="O40" t="b">
        <v>0</v>
      </c>
      <c r="P40" t="b">
        <v>0</v>
      </c>
      <c r="Q40" t="b">
        <v>0</v>
      </c>
      <c r="R40" t="b">
        <v>0</v>
      </c>
      <c r="S40" t="b">
        <v>0</v>
      </c>
      <c r="T40" t="s">
        <v>77</v>
      </c>
    </row>
    <row r="42" spans="1:66" x14ac:dyDescent="0.2">
      <c r="A42" t="s">
        <v>36</v>
      </c>
      <c r="B42" t="s">
        <v>28</v>
      </c>
      <c r="C42" t="s">
        <v>52</v>
      </c>
      <c r="D42">
        <v>7</v>
      </c>
      <c r="E42">
        <v>6076</v>
      </c>
      <c r="F42" t="s">
        <v>66</v>
      </c>
      <c r="G42" t="s">
        <v>30</v>
      </c>
      <c r="H42">
        <v>0</v>
      </c>
      <c r="I42" t="s">
        <v>31</v>
      </c>
      <c r="J42" t="s">
        <v>32</v>
      </c>
      <c r="K42" t="b">
        <v>0</v>
      </c>
      <c r="L42" t="b">
        <v>1</v>
      </c>
      <c r="M42" t="b">
        <v>0</v>
      </c>
      <c r="N42" t="b">
        <v>0</v>
      </c>
      <c r="O42" t="b">
        <v>0</v>
      </c>
      <c r="P42" t="b">
        <v>0</v>
      </c>
      <c r="Q42" t="b">
        <v>0</v>
      </c>
      <c r="R42" t="b">
        <v>0</v>
      </c>
      <c r="S42" t="b">
        <v>0</v>
      </c>
      <c r="U42">
        <v>2</v>
      </c>
      <c r="V42">
        <v>8</v>
      </c>
      <c r="W42">
        <v>10</v>
      </c>
      <c r="X42">
        <v>3.8823999999999899</v>
      </c>
      <c r="Y42" t="b">
        <v>1</v>
      </c>
      <c r="Z42" t="b">
        <v>0</v>
      </c>
      <c r="AA42" t="b">
        <v>0</v>
      </c>
      <c r="AB42">
        <v>0</v>
      </c>
      <c r="AC42" t="s">
        <v>34</v>
      </c>
      <c r="AE42" t="s">
        <v>35</v>
      </c>
    </row>
    <row r="43" spans="1:66" x14ac:dyDescent="0.2">
      <c r="A43" t="s">
        <v>36</v>
      </c>
      <c r="B43" t="s">
        <v>44</v>
      </c>
      <c r="C43" t="s">
        <v>45</v>
      </c>
      <c r="D43">
        <v>7</v>
      </c>
      <c r="E43">
        <v>5468</v>
      </c>
      <c r="F43" t="s">
        <v>53</v>
      </c>
      <c r="G43" t="s">
        <v>39</v>
      </c>
      <c r="H43">
        <v>147.61000000000001</v>
      </c>
      <c r="I43" t="s">
        <v>40</v>
      </c>
      <c r="J43" t="s">
        <v>32</v>
      </c>
      <c r="K43" t="b">
        <v>0</v>
      </c>
      <c r="L43" t="b">
        <v>0</v>
      </c>
      <c r="M43" t="b">
        <v>0</v>
      </c>
      <c r="N43" t="b">
        <v>0</v>
      </c>
      <c r="O43" t="b">
        <v>0</v>
      </c>
      <c r="P43" t="b">
        <v>0</v>
      </c>
      <c r="Q43" t="b">
        <v>0</v>
      </c>
      <c r="R43" t="b">
        <v>0</v>
      </c>
      <c r="S43" t="b">
        <v>0</v>
      </c>
      <c r="U43">
        <v>0</v>
      </c>
      <c r="V43">
        <v>4</v>
      </c>
      <c r="W43">
        <v>4</v>
      </c>
      <c r="X43">
        <v>7.1064999999999898</v>
      </c>
      <c r="Y43" t="b">
        <v>1</v>
      </c>
      <c r="Z43" t="b">
        <v>0</v>
      </c>
      <c r="AA43" t="b">
        <v>0</v>
      </c>
      <c r="AB43">
        <v>0</v>
      </c>
      <c r="AC43" t="s">
        <v>34</v>
      </c>
      <c r="AE43" t="s">
        <v>35</v>
      </c>
      <c r="AF43" t="s">
        <v>43</v>
      </c>
      <c r="AG43">
        <v>30.74</v>
      </c>
      <c r="AH43">
        <v>12.901999999999999</v>
      </c>
      <c r="AI43" t="s">
        <v>43</v>
      </c>
      <c r="AJ43">
        <v>46.734000000000002</v>
      </c>
      <c r="AK43">
        <v>3.794</v>
      </c>
      <c r="AL43" t="s">
        <v>43</v>
      </c>
      <c r="AM43">
        <v>65.706000000000003</v>
      </c>
      <c r="AN43">
        <v>3.4609999999999999</v>
      </c>
      <c r="AO43" t="s">
        <v>43</v>
      </c>
      <c r="AP43">
        <v>81.866</v>
      </c>
      <c r="AQ43">
        <v>8.2690000000000001</v>
      </c>
      <c r="AR43" t="s">
        <v>42</v>
      </c>
      <c r="AS43">
        <v>109.806</v>
      </c>
      <c r="AT43">
        <v>5.5259999999999998</v>
      </c>
      <c r="AU43" t="s">
        <v>42</v>
      </c>
      <c r="AV43">
        <v>135.34700000000001</v>
      </c>
      <c r="AW43">
        <v>7.1909999999999998</v>
      </c>
    </row>
    <row r="44" spans="1:66" x14ac:dyDescent="0.2">
      <c r="A44" t="s">
        <v>36</v>
      </c>
      <c r="B44" t="s">
        <v>55</v>
      </c>
      <c r="C44" t="s">
        <v>58</v>
      </c>
      <c r="D44">
        <v>6</v>
      </c>
      <c r="E44">
        <v>9680</v>
      </c>
      <c r="F44" t="s">
        <v>66</v>
      </c>
      <c r="G44" t="s">
        <v>39</v>
      </c>
      <c r="H44">
        <v>0</v>
      </c>
      <c r="I44" t="s">
        <v>40</v>
      </c>
      <c r="J44" t="s">
        <v>32</v>
      </c>
      <c r="K44" t="b">
        <v>0</v>
      </c>
      <c r="L44" t="b">
        <v>0</v>
      </c>
      <c r="M44" t="b">
        <v>0</v>
      </c>
      <c r="N44" t="b">
        <v>0</v>
      </c>
      <c r="O44" t="b">
        <v>1</v>
      </c>
      <c r="P44" t="b">
        <v>0</v>
      </c>
      <c r="Q44" t="b">
        <v>0</v>
      </c>
      <c r="R44" t="b">
        <v>0</v>
      </c>
      <c r="S44" t="b">
        <v>0</v>
      </c>
      <c r="U44">
        <v>0</v>
      </c>
      <c r="V44">
        <v>0</v>
      </c>
      <c r="W44">
        <v>0</v>
      </c>
      <c r="X44" t="s">
        <v>33</v>
      </c>
      <c r="Y44" t="b">
        <v>0</v>
      </c>
      <c r="Z44" t="b">
        <v>0</v>
      </c>
      <c r="AA44" t="b">
        <v>0</v>
      </c>
      <c r="AB44">
        <v>0</v>
      </c>
      <c r="AC44" t="s">
        <v>34</v>
      </c>
      <c r="AE44" t="s">
        <v>35</v>
      </c>
      <c r="AF44" t="s">
        <v>42</v>
      </c>
      <c r="AG44">
        <v>0</v>
      </c>
      <c r="AH44">
        <v>426.065</v>
      </c>
    </row>
    <row r="45" spans="1:66" x14ac:dyDescent="0.2">
      <c r="A45" t="s">
        <v>36</v>
      </c>
      <c r="B45" t="s">
        <v>47</v>
      </c>
      <c r="C45" t="s">
        <v>48</v>
      </c>
      <c r="D45">
        <v>6</v>
      </c>
      <c r="E45">
        <v>4131</v>
      </c>
      <c r="F45" t="s">
        <v>49</v>
      </c>
      <c r="G45" t="s">
        <v>39</v>
      </c>
      <c r="H45">
        <v>0</v>
      </c>
      <c r="I45" t="s">
        <v>40</v>
      </c>
      <c r="J45" t="s">
        <v>32</v>
      </c>
      <c r="K45" t="b">
        <v>0</v>
      </c>
      <c r="L45" t="b">
        <v>0</v>
      </c>
      <c r="M45" t="b">
        <v>0</v>
      </c>
      <c r="N45" t="b">
        <v>0</v>
      </c>
      <c r="O45" t="b">
        <v>0</v>
      </c>
      <c r="P45" t="b">
        <v>0</v>
      </c>
      <c r="Q45" t="b">
        <v>0</v>
      </c>
      <c r="R45" t="b">
        <v>0</v>
      </c>
      <c r="S45" t="b">
        <v>0</v>
      </c>
      <c r="U45">
        <v>1</v>
      </c>
      <c r="V45">
        <v>6</v>
      </c>
      <c r="W45">
        <v>7</v>
      </c>
      <c r="X45">
        <v>59.985571428571397</v>
      </c>
      <c r="Y45" t="b">
        <v>1</v>
      </c>
      <c r="Z45" t="b">
        <v>1</v>
      </c>
      <c r="AA45" t="b">
        <v>0</v>
      </c>
      <c r="AB45">
        <v>0</v>
      </c>
      <c r="AC45" t="s">
        <v>34</v>
      </c>
      <c r="AD45">
        <v>0</v>
      </c>
      <c r="AE45" t="s">
        <v>43</v>
      </c>
      <c r="AF45">
        <v>0</v>
      </c>
      <c r="AG45">
        <v>391.858</v>
      </c>
      <c r="AH45">
        <v>1</v>
      </c>
      <c r="AI45" t="s">
        <v>42</v>
      </c>
      <c r="AJ45">
        <v>8.3490000000000002</v>
      </c>
      <c r="AK45">
        <v>4.1689999999999996</v>
      </c>
      <c r="AM45" t="s">
        <v>35</v>
      </c>
      <c r="AN45" t="s">
        <v>51</v>
      </c>
      <c r="AO45">
        <v>26.722999999999999</v>
      </c>
      <c r="AP45">
        <v>8.1020000000000003</v>
      </c>
      <c r="AQ45" t="s">
        <v>42</v>
      </c>
      <c r="AR45">
        <v>50.216000000000001</v>
      </c>
      <c r="AS45">
        <v>9.0679999999999996</v>
      </c>
      <c r="AT45" t="s">
        <v>43</v>
      </c>
      <c r="AU45">
        <v>69.183000000000007</v>
      </c>
      <c r="AV45">
        <v>2.2330000000000001</v>
      </c>
      <c r="AW45" t="s">
        <v>43</v>
      </c>
      <c r="AX45">
        <v>90.361000000000004</v>
      </c>
      <c r="AY45">
        <v>0.93899999999999995</v>
      </c>
      <c r="AZ45" t="s">
        <v>42</v>
      </c>
      <c r="BA45">
        <v>98.5</v>
      </c>
      <c r="BB45">
        <v>6.5019999999999998</v>
      </c>
      <c r="BC45" t="s">
        <v>43</v>
      </c>
      <c r="BD45">
        <v>112.468</v>
      </c>
      <c r="BE45">
        <v>0.74099999999999999</v>
      </c>
      <c r="BF45" t="s">
        <v>43</v>
      </c>
      <c r="BG45">
        <v>126.536</v>
      </c>
      <c r="BH45">
        <v>1.675</v>
      </c>
      <c r="BI45" t="s">
        <v>43</v>
      </c>
      <c r="BJ45">
        <v>135.55199999999999</v>
      </c>
      <c r="BK45">
        <v>14.351000000000001</v>
      </c>
    </row>
    <row r="46" spans="1:66" x14ac:dyDescent="0.2">
      <c r="A46" t="s">
        <v>36</v>
      </c>
      <c r="B46" t="s">
        <v>55</v>
      </c>
      <c r="C46" t="s">
        <v>58</v>
      </c>
      <c r="D46">
        <v>8</v>
      </c>
      <c r="E46">
        <v>4089</v>
      </c>
      <c r="F46" t="s">
        <v>53</v>
      </c>
      <c r="G46" t="s">
        <v>39</v>
      </c>
      <c r="H46">
        <v>0</v>
      </c>
      <c r="I46" t="s">
        <v>54</v>
      </c>
      <c r="J46" t="s">
        <v>41</v>
      </c>
      <c r="K46" t="b">
        <v>0</v>
      </c>
      <c r="L46" t="b">
        <v>0</v>
      </c>
      <c r="M46" t="b">
        <v>0</v>
      </c>
      <c r="N46" t="b">
        <v>0</v>
      </c>
      <c r="O46" t="b">
        <v>0</v>
      </c>
      <c r="P46" t="b">
        <v>0</v>
      </c>
      <c r="Q46" t="b">
        <v>0</v>
      </c>
      <c r="R46" t="b">
        <v>0</v>
      </c>
      <c r="S46" t="b">
        <v>0</v>
      </c>
      <c r="U46">
        <v>1</v>
      </c>
      <c r="V46">
        <v>6</v>
      </c>
      <c r="W46">
        <v>7</v>
      </c>
      <c r="X46">
        <v>48.031142857142797</v>
      </c>
      <c r="Y46" t="b">
        <v>1</v>
      </c>
      <c r="Z46" t="b">
        <v>1</v>
      </c>
      <c r="AA46" t="b">
        <v>0</v>
      </c>
      <c r="AB46">
        <v>0</v>
      </c>
      <c r="AC46" t="s">
        <v>34</v>
      </c>
      <c r="AD46">
        <v>0</v>
      </c>
      <c r="AE46" t="s">
        <v>43</v>
      </c>
      <c r="AF46">
        <v>0</v>
      </c>
      <c r="AG46">
        <v>310.81400000000002</v>
      </c>
      <c r="AI46" t="s">
        <v>35</v>
      </c>
      <c r="AJ46" t="s">
        <v>51</v>
      </c>
      <c r="AK46">
        <v>22.135000000000002</v>
      </c>
      <c r="AL46">
        <v>7.4690000000000003</v>
      </c>
      <c r="AM46" t="s">
        <v>51</v>
      </c>
      <c r="AN46">
        <v>30.581</v>
      </c>
      <c r="AO46">
        <v>3.806</v>
      </c>
      <c r="AP46" t="s">
        <v>51</v>
      </c>
      <c r="AQ46">
        <v>40.582000000000001</v>
      </c>
      <c r="AR46">
        <v>1.0529999999999999</v>
      </c>
      <c r="AS46" t="s">
        <v>51</v>
      </c>
      <c r="AT46">
        <v>73.186000000000007</v>
      </c>
      <c r="AU46">
        <v>5.6319999999999997</v>
      </c>
      <c r="AV46" t="s">
        <v>51</v>
      </c>
      <c r="AW46">
        <v>94.183999999999997</v>
      </c>
      <c r="AX46">
        <v>4.194</v>
      </c>
      <c r="AY46" t="s">
        <v>51</v>
      </c>
      <c r="AZ46">
        <v>103.84399999999999</v>
      </c>
      <c r="BA46">
        <v>3.25</v>
      </c>
      <c r="BB46" t="s">
        <v>42</v>
      </c>
      <c r="BC46">
        <v>123.426</v>
      </c>
      <c r="BD46">
        <v>7.51</v>
      </c>
    </row>
    <row r="47" spans="1:66" x14ac:dyDescent="0.2">
      <c r="A47" t="s">
        <v>36</v>
      </c>
      <c r="B47" t="s">
        <v>47</v>
      </c>
      <c r="C47" t="s">
        <v>48</v>
      </c>
      <c r="D47">
        <v>8</v>
      </c>
      <c r="E47">
        <v>4060</v>
      </c>
      <c r="F47" t="s">
        <v>46</v>
      </c>
      <c r="G47" t="s">
        <v>39</v>
      </c>
      <c r="H47">
        <v>150.62200000000001</v>
      </c>
      <c r="I47" t="s">
        <v>54</v>
      </c>
      <c r="J47" t="s">
        <v>50</v>
      </c>
      <c r="K47" t="b">
        <v>0</v>
      </c>
      <c r="L47" t="b">
        <v>0</v>
      </c>
      <c r="M47" t="b">
        <v>0</v>
      </c>
      <c r="N47" t="b">
        <v>0</v>
      </c>
      <c r="O47" t="b">
        <v>0</v>
      </c>
      <c r="P47" t="b">
        <v>0</v>
      </c>
      <c r="Q47" t="b">
        <v>0</v>
      </c>
      <c r="R47" t="b">
        <v>0</v>
      </c>
      <c r="S47" t="b">
        <v>0</v>
      </c>
      <c r="U47">
        <v>1</v>
      </c>
      <c r="V47">
        <v>3</v>
      </c>
      <c r="W47">
        <v>4</v>
      </c>
      <c r="X47">
        <v>83.171499999999895</v>
      </c>
      <c r="Y47" t="b">
        <v>1</v>
      </c>
      <c r="Z47" t="b">
        <v>0</v>
      </c>
      <c r="AA47" t="b">
        <v>0</v>
      </c>
      <c r="AB47">
        <v>0</v>
      </c>
      <c r="AC47" t="s">
        <v>34</v>
      </c>
      <c r="AD47">
        <v>0</v>
      </c>
      <c r="AE47" t="s">
        <v>43</v>
      </c>
      <c r="AF47">
        <v>0</v>
      </c>
      <c r="AG47">
        <v>303.13799999999998</v>
      </c>
      <c r="AI47" t="s">
        <v>35</v>
      </c>
      <c r="AJ47" t="s">
        <v>42</v>
      </c>
      <c r="AK47">
        <v>31.917000000000002</v>
      </c>
      <c r="AL47">
        <v>16.399999999999999</v>
      </c>
      <c r="AM47" t="s">
        <v>42</v>
      </c>
      <c r="AN47">
        <v>49.100999999999999</v>
      </c>
      <c r="AO47">
        <v>6.2990000000000004</v>
      </c>
      <c r="AP47" t="s">
        <v>43</v>
      </c>
      <c r="AQ47">
        <v>62.567</v>
      </c>
      <c r="AR47">
        <v>9.1229999999999993</v>
      </c>
      <c r="AS47" t="s">
        <v>42</v>
      </c>
      <c r="AT47">
        <v>82.551000000000002</v>
      </c>
      <c r="AU47">
        <v>12.218</v>
      </c>
      <c r="AV47" t="s">
        <v>43</v>
      </c>
      <c r="AW47">
        <v>103.453</v>
      </c>
      <c r="AX47">
        <v>9.6069999999999993</v>
      </c>
      <c r="AY47" t="s">
        <v>43</v>
      </c>
      <c r="AZ47">
        <v>128.35300000000001</v>
      </c>
      <c r="BA47">
        <v>10.818</v>
      </c>
    </row>
    <row r="48" spans="1:66" x14ac:dyDescent="0.2">
      <c r="A48" t="s">
        <v>36</v>
      </c>
      <c r="B48" t="s">
        <v>37</v>
      </c>
      <c r="C48" t="s">
        <v>38</v>
      </c>
      <c r="D48">
        <v>8</v>
      </c>
      <c r="E48">
        <v>1595</v>
      </c>
      <c r="F48" t="s">
        <v>66</v>
      </c>
      <c r="G48" t="s">
        <v>30</v>
      </c>
      <c r="H48">
        <v>153.66499999999999</v>
      </c>
      <c r="I48" t="s">
        <v>40</v>
      </c>
      <c r="J48" t="s">
        <v>41</v>
      </c>
      <c r="K48" t="b">
        <v>0</v>
      </c>
      <c r="L48" t="b">
        <v>0</v>
      </c>
      <c r="M48" t="b">
        <v>0</v>
      </c>
      <c r="N48" t="b">
        <v>0</v>
      </c>
      <c r="O48" t="b">
        <v>0</v>
      </c>
      <c r="P48" t="b">
        <v>0</v>
      </c>
      <c r="Q48" t="b">
        <v>0</v>
      </c>
      <c r="R48" t="b">
        <v>0</v>
      </c>
      <c r="S48" t="b">
        <v>0</v>
      </c>
      <c r="U48">
        <v>0</v>
      </c>
      <c r="V48">
        <v>4</v>
      </c>
      <c r="W48">
        <v>4</v>
      </c>
      <c r="X48">
        <v>3.33175</v>
      </c>
      <c r="Y48" t="b">
        <v>1</v>
      </c>
      <c r="Z48" t="b">
        <v>0</v>
      </c>
      <c r="AA48" t="b">
        <v>0</v>
      </c>
      <c r="AB48">
        <v>0</v>
      </c>
      <c r="AC48" t="s">
        <v>34</v>
      </c>
      <c r="AE48" t="s">
        <v>35</v>
      </c>
      <c r="AF48" t="s">
        <v>42</v>
      </c>
      <c r="AG48">
        <v>0</v>
      </c>
      <c r="AH48">
        <v>27.507999999999999</v>
      </c>
      <c r="AI48" t="s">
        <v>43</v>
      </c>
      <c r="AJ48">
        <v>35.133000000000003</v>
      </c>
      <c r="AK48">
        <v>1.044</v>
      </c>
      <c r="AL48" t="s">
        <v>42</v>
      </c>
      <c r="AM48">
        <v>44.637</v>
      </c>
      <c r="AN48">
        <v>2.673</v>
      </c>
      <c r="AO48" t="s">
        <v>43</v>
      </c>
      <c r="AP48">
        <v>48.316000000000003</v>
      </c>
      <c r="AQ48">
        <v>3.823</v>
      </c>
      <c r="AR48" t="s">
        <v>43</v>
      </c>
      <c r="AS48">
        <v>55.124000000000002</v>
      </c>
      <c r="AT48">
        <v>4.84</v>
      </c>
      <c r="AU48" t="s">
        <v>43</v>
      </c>
      <c r="AV48">
        <v>72.366</v>
      </c>
      <c r="AW48">
        <v>3.62</v>
      </c>
      <c r="AX48" t="s">
        <v>42</v>
      </c>
      <c r="AY48">
        <v>84.727000000000004</v>
      </c>
      <c r="AZ48">
        <v>7.0030000000000001</v>
      </c>
      <c r="BA48" t="s">
        <v>42</v>
      </c>
      <c r="BB48">
        <v>114.10899999999999</v>
      </c>
      <c r="BC48">
        <v>3.4830000000000001</v>
      </c>
      <c r="BD48" t="s">
        <v>42</v>
      </c>
      <c r="BE48">
        <v>133.36199999999999</v>
      </c>
      <c r="BF48">
        <v>10.394</v>
      </c>
    </row>
    <row r="49" spans="1:72" x14ac:dyDescent="0.2">
      <c r="A49" t="s">
        <v>36</v>
      </c>
      <c r="B49" t="s">
        <v>28</v>
      </c>
      <c r="C49" t="s">
        <v>52</v>
      </c>
      <c r="D49">
        <v>8</v>
      </c>
      <c r="E49">
        <v>2926</v>
      </c>
      <c r="F49" t="s">
        <v>46</v>
      </c>
      <c r="G49" t="s">
        <v>39</v>
      </c>
      <c r="H49">
        <v>0</v>
      </c>
      <c r="I49" t="s">
        <v>54</v>
      </c>
      <c r="J49" t="s">
        <v>32</v>
      </c>
      <c r="K49" t="b">
        <v>0</v>
      </c>
      <c r="L49" t="b">
        <v>0</v>
      </c>
      <c r="M49" t="b">
        <v>0</v>
      </c>
      <c r="N49" t="b">
        <v>0</v>
      </c>
      <c r="O49" t="b">
        <v>0</v>
      </c>
      <c r="P49" t="b">
        <v>0</v>
      </c>
      <c r="Q49" t="b">
        <v>0</v>
      </c>
      <c r="R49" t="b">
        <v>0</v>
      </c>
      <c r="S49" t="b">
        <v>0</v>
      </c>
      <c r="U49">
        <v>3</v>
      </c>
      <c r="V49">
        <v>8</v>
      </c>
      <c r="W49">
        <v>11</v>
      </c>
      <c r="X49">
        <v>17.2507272727272</v>
      </c>
      <c r="Y49" t="b">
        <v>1</v>
      </c>
      <c r="Z49" t="b">
        <v>0</v>
      </c>
      <c r="AA49" t="b">
        <v>0</v>
      </c>
      <c r="AB49">
        <v>0</v>
      </c>
      <c r="AC49" t="s">
        <v>34</v>
      </c>
      <c r="AD49">
        <v>0</v>
      </c>
      <c r="AE49" t="s">
        <v>43</v>
      </c>
      <c r="AF49">
        <v>0</v>
      </c>
      <c r="AG49">
        <v>131.61000000000001</v>
      </c>
      <c r="AH49">
        <v>-3</v>
      </c>
      <c r="AI49" t="s">
        <v>43</v>
      </c>
      <c r="AJ49">
        <v>6.2720000000000002</v>
      </c>
      <c r="AK49">
        <v>2.0209999999999999</v>
      </c>
      <c r="AL49">
        <v>-1</v>
      </c>
      <c r="AM49" t="s">
        <v>43</v>
      </c>
      <c r="AN49">
        <v>10.746</v>
      </c>
      <c r="AO49">
        <v>1.2689999999999999</v>
      </c>
      <c r="AQ49" t="s">
        <v>35</v>
      </c>
      <c r="AR49" t="s">
        <v>43</v>
      </c>
      <c r="AS49">
        <v>21.908999999999999</v>
      </c>
      <c r="AT49">
        <v>5.81</v>
      </c>
      <c r="AU49" t="s">
        <v>43</v>
      </c>
      <c r="AV49">
        <v>35.715000000000003</v>
      </c>
      <c r="AW49">
        <v>4.9409999999999998</v>
      </c>
      <c r="AX49" t="s">
        <v>43</v>
      </c>
      <c r="AY49">
        <v>54.22</v>
      </c>
      <c r="AZ49">
        <v>8.0760000000000005</v>
      </c>
      <c r="BA49" t="s">
        <v>43</v>
      </c>
      <c r="BB49">
        <v>68.42</v>
      </c>
      <c r="BC49">
        <v>3.14</v>
      </c>
      <c r="BD49" t="s">
        <v>43</v>
      </c>
      <c r="BE49">
        <v>82.575999999999993</v>
      </c>
      <c r="BF49">
        <v>8.7040000000000006</v>
      </c>
      <c r="BG49" t="s">
        <v>43</v>
      </c>
      <c r="BH49">
        <v>101.059</v>
      </c>
      <c r="BI49">
        <v>3.8370000000000002</v>
      </c>
      <c r="BJ49" t="s">
        <v>43</v>
      </c>
      <c r="BK49">
        <v>119.71599999999999</v>
      </c>
      <c r="BL49">
        <v>8.3960000000000008</v>
      </c>
      <c r="BM49" t="s">
        <v>43</v>
      </c>
      <c r="BN49">
        <v>137.86199999999999</v>
      </c>
      <c r="BO49">
        <v>11.954000000000001</v>
      </c>
    </row>
    <row r="50" spans="1:72" x14ac:dyDescent="0.2">
      <c r="A50" t="s">
        <v>36</v>
      </c>
      <c r="B50" t="s">
        <v>44</v>
      </c>
      <c r="C50" t="s">
        <v>78</v>
      </c>
      <c r="D50">
        <v>8</v>
      </c>
      <c r="E50">
        <v>6443</v>
      </c>
      <c r="F50" t="s">
        <v>53</v>
      </c>
      <c r="G50" t="s">
        <v>39</v>
      </c>
      <c r="H50">
        <v>0</v>
      </c>
      <c r="I50" t="s">
        <v>40</v>
      </c>
      <c r="J50" t="s">
        <v>32</v>
      </c>
      <c r="K50" t="b">
        <v>0</v>
      </c>
      <c r="L50" t="b">
        <v>0</v>
      </c>
      <c r="M50" t="b">
        <v>0</v>
      </c>
      <c r="N50" t="b">
        <v>0</v>
      </c>
      <c r="O50" t="b">
        <v>0</v>
      </c>
      <c r="P50" t="b">
        <v>0</v>
      </c>
      <c r="Q50" t="b">
        <v>0</v>
      </c>
      <c r="R50" t="b">
        <v>0</v>
      </c>
      <c r="S50" t="b">
        <v>0</v>
      </c>
      <c r="U50">
        <v>1</v>
      </c>
      <c r="V50">
        <v>6</v>
      </c>
      <c r="W50">
        <v>7</v>
      </c>
      <c r="X50">
        <v>33.382571428571403</v>
      </c>
      <c r="Y50" t="b">
        <v>1</v>
      </c>
      <c r="Z50" t="b">
        <v>1</v>
      </c>
      <c r="AA50" t="b">
        <v>0</v>
      </c>
      <c r="AB50">
        <v>0</v>
      </c>
      <c r="AC50" t="s">
        <v>34</v>
      </c>
      <c r="AD50">
        <v>0</v>
      </c>
      <c r="AE50" t="s">
        <v>43</v>
      </c>
      <c r="AF50">
        <v>0</v>
      </c>
      <c r="AG50">
        <v>175.066</v>
      </c>
      <c r="AH50">
        <v>-3</v>
      </c>
      <c r="AI50" t="s">
        <v>42</v>
      </c>
      <c r="AJ50">
        <v>5.2169999999999996</v>
      </c>
      <c r="AK50">
        <v>3.274</v>
      </c>
      <c r="AM50" t="s">
        <v>35</v>
      </c>
      <c r="AN50" t="s">
        <v>51</v>
      </c>
      <c r="AO50">
        <v>24.361000000000001</v>
      </c>
      <c r="AP50">
        <v>9.2569999999999997</v>
      </c>
      <c r="AQ50" t="s">
        <v>51</v>
      </c>
      <c r="AR50">
        <v>37.805999999999997</v>
      </c>
      <c r="AS50">
        <v>10.54</v>
      </c>
      <c r="AT50" t="s">
        <v>51</v>
      </c>
      <c r="AU50">
        <v>64.727000000000004</v>
      </c>
      <c r="AV50">
        <v>13.542</v>
      </c>
      <c r="AW50" t="s">
        <v>43</v>
      </c>
      <c r="AX50">
        <v>89.239000000000004</v>
      </c>
      <c r="AY50">
        <v>10.856</v>
      </c>
      <c r="AZ50" t="s">
        <v>51</v>
      </c>
      <c r="BA50">
        <v>105.523</v>
      </c>
      <c r="BB50">
        <v>6.6920000000000002</v>
      </c>
      <c r="BC50" t="s">
        <v>51</v>
      </c>
      <c r="BD50">
        <v>122.717</v>
      </c>
      <c r="BE50">
        <v>7.7249999999999996</v>
      </c>
      <c r="BF50" t="s">
        <v>42</v>
      </c>
      <c r="BG50">
        <v>150.89599999999999</v>
      </c>
      <c r="BH50">
        <v>2.6549999999999998</v>
      </c>
    </row>
    <row r="51" spans="1:72" x14ac:dyDescent="0.2">
      <c r="A51" t="s">
        <v>36</v>
      </c>
      <c r="B51" t="s">
        <v>63</v>
      </c>
      <c r="C51" t="s">
        <v>79</v>
      </c>
      <c r="D51">
        <v>8</v>
      </c>
      <c r="E51">
        <v>4125</v>
      </c>
      <c r="F51" t="s">
        <v>49</v>
      </c>
      <c r="G51" t="s">
        <v>30</v>
      </c>
      <c r="H51">
        <v>0</v>
      </c>
      <c r="I51" t="s">
        <v>40</v>
      </c>
      <c r="J51" t="s">
        <v>32</v>
      </c>
      <c r="K51" t="b">
        <v>0</v>
      </c>
      <c r="L51" t="b">
        <v>0</v>
      </c>
      <c r="M51" t="b">
        <v>0</v>
      </c>
      <c r="N51" t="b">
        <v>0</v>
      </c>
      <c r="O51" t="b">
        <v>0</v>
      </c>
      <c r="P51" t="b">
        <v>0</v>
      </c>
      <c r="Q51" t="b">
        <v>1</v>
      </c>
      <c r="R51" t="b">
        <v>0</v>
      </c>
      <c r="S51" t="b">
        <v>0</v>
      </c>
      <c r="U51">
        <v>0</v>
      </c>
      <c r="V51">
        <v>9</v>
      </c>
      <c r="W51">
        <v>9</v>
      </c>
      <c r="X51">
        <v>39.623222222222203</v>
      </c>
      <c r="Y51" t="b">
        <v>1</v>
      </c>
      <c r="Z51" t="b">
        <v>0</v>
      </c>
      <c r="AA51" t="b">
        <v>0</v>
      </c>
      <c r="AB51">
        <v>0</v>
      </c>
      <c r="AC51" t="s">
        <v>34</v>
      </c>
      <c r="AE51" t="s">
        <v>35</v>
      </c>
      <c r="AF51" t="s">
        <v>43</v>
      </c>
      <c r="AG51">
        <v>0</v>
      </c>
      <c r="AH51">
        <v>315.37</v>
      </c>
      <c r="AI51" t="s">
        <v>43</v>
      </c>
      <c r="AJ51">
        <v>38.679000000000002</v>
      </c>
      <c r="AK51">
        <v>5</v>
      </c>
      <c r="AL51" t="s">
        <v>43</v>
      </c>
      <c r="AM51">
        <v>56.546999999999997</v>
      </c>
      <c r="AN51">
        <v>5.95</v>
      </c>
      <c r="AO51" t="s">
        <v>43</v>
      </c>
      <c r="AP51">
        <v>68.902000000000001</v>
      </c>
      <c r="AQ51">
        <v>0.55300000000000005</v>
      </c>
      <c r="AR51" t="s">
        <v>42</v>
      </c>
      <c r="AS51">
        <v>74.700999999999993</v>
      </c>
      <c r="AT51">
        <v>5.032</v>
      </c>
      <c r="AU51" t="s">
        <v>43</v>
      </c>
      <c r="AV51">
        <v>81.213999999999999</v>
      </c>
      <c r="AW51">
        <v>7.7519999999999998</v>
      </c>
      <c r="AX51" t="s">
        <v>43</v>
      </c>
      <c r="AY51">
        <v>94.17</v>
      </c>
      <c r="AZ51">
        <v>6.0209999999999999</v>
      </c>
      <c r="BA51" t="s">
        <v>43</v>
      </c>
      <c r="BB51">
        <v>103.91800000000001</v>
      </c>
      <c r="BC51">
        <v>0.32</v>
      </c>
      <c r="BD51" t="s">
        <v>43</v>
      </c>
      <c r="BE51">
        <v>115.476</v>
      </c>
      <c r="BF51">
        <v>8.0589999999999993</v>
      </c>
      <c r="BG51" t="s">
        <v>43</v>
      </c>
      <c r="BH51">
        <v>131.06800000000001</v>
      </c>
      <c r="BI51">
        <v>7.5839999999999996</v>
      </c>
      <c r="BJ51" t="s">
        <v>42</v>
      </c>
      <c r="BK51">
        <v>149.66900000000001</v>
      </c>
      <c r="BL51">
        <v>5.4169999999999998</v>
      </c>
    </row>
    <row r="52" spans="1:72" x14ac:dyDescent="0.2">
      <c r="A52" t="s">
        <v>36</v>
      </c>
      <c r="B52" t="s">
        <v>55</v>
      </c>
      <c r="C52" t="s">
        <v>58</v>
      </c>
      <c r="D52">
        <v>9</v>
      </c>
      <c r="E52">
        <v>4104</v>
      </c>
      <c r="F52" t="s">
        <v>46</v>
      </c>
      <c r="G52" t="s">
        <v>30</v>
      </c>
      <c r="H52">
        <v>149.51499999999999</v>
      </c>
      <c r="I52" t="s">
        <v>31</v>
      </c>
      <c r="J52" t="s">
        <v>41</v>
      </c>
      <c r="K52" t="b">
        <v>0</v>
      </c>
      <c r="L52" t="b">
        <v>0</v>
      </c>
      <c r="M52" t="b">
        <v>0</v>
      </c>
      <c r="N52" t="b">
        <v>0</v>
      </c>
      <c r="O52" t="b">
        <v>0</v>
      </c>
      <c r="P52" t="b">
        <v>0</v>
      </c>
      <c r="Q52" t="b">
        <v>0</v>
      </c>
      <c r="R52" t="b">
        <v>0</v>
      </c>
      <c r="S52" t="b">
        <v>0</v>
      </c>
      <c r="U52">
        <v>1</v>
      </c>
      <c r="V52">
        <v>0</v>
      </c>
      <c r="W52">
        <v>1</v>
      </c>
      <c r="X52">
        <v>578.54100000000005</v>
      </c>
      <c r="Y52" t="b">
        <v>1</v>
      </c>
      <c r="Z52" t="b">
        <v>0</v>
      </c>
      <c r="AA52" t="b">
        <v>0</v>
      </c>
      <c r="AB52">
        <v>0</v>
      </c>
      <c r="AC52" t="s">
        <v>34</v>
      </c>
      <c r="AD52">
        <v>0</v>
      </c>
      <c r="AE52" t="s">
        <v>43</v>
      </c>
      <c r="AF52">
        <v>0</v>
      </c>
      <c r="AG52">
        <v>578.54100000000005</v>
      </c>
      <c r="AI52" t="s">
        <v>35</v>
      </c>
      <c r="AJ52" t="s">
        <v>42</v>
      </c>
      <c r="AK52">
        <v>66.468999999999994</v>
      </c>
      <c r="AL52">
        <v>2.464</v>
      </c>
    </row>
    <row r="53" spans="1:72" x14ac:dyDescent="0.2">
      <c r="A53" t="s">
        <v>36</v>
      </c>
      <c r="B53" t="s">
        <v>47</v>
      </c>
      <c r="C53" t="s">
        <v>48</v>
      </c>
      <c r="D53">
        <v>9</v>
      </c>
      <c r="E53">
        <v>4061</v>
      </c>
      <c r="F53" t="s">
        <v>53</v>
      </c>
      <c r="G53" t="s">
        <v>39</v>
      </c>
      <c r="H53">
        <v>117.152</v>
      </c>
      <c r="I53" t="s">
        <v>40</v>
      </c>
      <c r="J53" t="s">
        <v>41</v>
      </c>
      <c r="K53" t="b">
        <v>0</v>
      </c>
      <c r="L53" t="b">
        <v>0</v>
      </c>
      <c r="M53" t="b">
        <v>0</v>
      </c>
      <c r="N53" t="b">
        <v>0</v>
      </c>
      <c r="O53" t="b">
        <v>0</v>
      </c>
      <c r="P53" t="b">
        <v>0</v>
      </c>
      <c r="Q53" t="b">
        <v>0</v>
      </c>
      <c r="R53" t="b">
        <v>0</v>
      </c>
      <c r="S53" t="b">
        <v>0</v>
      </c>
      <c r="U53">
        <v>0</v>
      </c>
      <c r="V53">
        <v>2</v>
      </c>
      <c r="W53">
        <v>2</v>
      </c>
      <c r="X53">
        <v>15.234500000000001</v>
      </c>
      <c r="Y53" t="b">
        <v>0</v>
      </c>
      <c r="Z53" t="b">
        <v>1</v>
      </c>
      <c r="AA53" t="b">
        <v>0</v>
      </c>
      <c r="AB53">
        <v>0</v>
      </c>
      <c r="AC53" t="s">
        <v>34</v>
      </c>
      <c r="AE53" t="s">
        <v>35</v>
      </c>
      <c r="AF53" t="s">
        <v>51</v>
      </c>
      <c r="AG53">
        <v>23.065000000000001</v>
      </c>
      <c r="AH53">
        <v>12.784000000000001</v>
      </c>
      <c r="AI53" t="s">
        <v>42</v>
      </c>
      <c r="AJ53">
        <v>46.664999999999999</v>
      </c>
      <c r="AK53">
        <v>10.385999999999999</v>
      </c>
      <c r="AL53" t="s">
        <v>51</v>
      </c>
      <c r="AM53">
        <v>70.3</v>
      </c>
      <c r="AN53">
        <v>17.684999999999999</v>
      </c>
    </row>
    <row r="54" spans="1:72" x14ac:dyDescent="0.2">
      <c r="A54" t="s">
        <v>36</v>
      </c>
      <c r="B54" t="s">
        <v>37</v>
      </c>
      <c r="C54" t="s">
        <v>38</v>
      </c>
      <c r="D54">
        <v>9</v>
      </c>
      <c r="E54">
        <v>2811</v>
      </c>
      <c r="F54" t="s">
        <v>49</v>
      </c>
      <c r="G54" t="s">
        <v>39</v>
      </c>
      <c r="H54">
        <v>149.398</v>
      </c>
      <c r="I54" t="s">
        <v>40</v>
      </c>
      <c r="J54" t="s">
        <v>41</v>
      </c>
      <c r="K54" t="b">
        <v>0</v>
      </c>
      <c r="L54" t="b">
        <v>0</v>
      </c>
      <c r="M54" t="b">
        <v>0</v>
      </c>
      <c r="N54" t="b">
        <v>0</v>
      </c>
      <c r="O54" t="b">
        <v>0</v>
      </c>
      <c r="P54" t="b">
        <v>0</v>
      </c>
      <c r="Q54" t="b">
        <v>0</v>
      </c>
      <c r="R54" t="b">
        <v>0</v>
      </c>
      <c r="S54" t="b">
        <v>0</v>
      </c>
      <c r="T54" t="s">
        <v>80</v>
      </c>
      <c r="U54">
        <v>3</v>
      </c>
      <c r="V54">
        <v>6</v>
      </c>
      <c r="W54">
        <v>9</v>
      </c>
      <c r="X54">
        <v>21.8684444444444</v>
      </c>
      <c r="Y54" t="b">
        <v>1</v>
      </c>
      <c r="Z54" t="b">
        <v>1</v>
      </c>
      <c r="AA54" t="b">
        <v>1</v>
      </c>
      <c r="AB54">
        <v>1</v>
      </c>
      <c r="AC54" t="s">
        <v>34</v>
      </c>
      <c r="AD54">
        <v>0</v>
      </c>
      <c r="AE54" t="s">
        <v>43</v>
      </c>
      <c r="AF54">
        <v>0</v>
      </c>
      <c r="AG54">
        <v>123.33799999999999</v>
      </c>
      <c r="AH54">
        <v>1</v>
      </c>
      <c r="AI54" t="s">
        <v>43</v>
      </c>
      <c r="AJ54">
        <v>4.2690000000000001</v>
      </c>
      <c r="AK54">
        <v>5.8</v>
      </c>
      <c r="AL54">
        <v>5</v>
      </c>
      <c r="AM54" t="s">
        <v>51</v>
      </c>
      <c r="AN54">
        <v>12.456</v>
      </c>
      <c r="AO54">
        <v>2.048</v>
      </c>
      <c r="AQ54" t="s">
        <v>35</v>
      </c>
      <c r="AR54" t="s">
        <v>43</v>
      </c>
      <c r="AS54">
        <v>37.017000000000003</v>
      </c>
      <c r="AT54">
        <v>1.333</v>
      </c>
      <c r="AU54" t="s">
        <v>43</v>
      </c>
      <c r="AV54">
        <v>39.874000000000002</v>
      </c>
      <c r="AW54">
        <v>0.97599999999999998</v>
      </c>
      <c r="AX54" t="s">
        <v>43</v>
      </c>
      <c r="AY54">
        <v>43.567999999999998</v>
      </c>
      <c r="AZ54">
        <v>1.2</v>
      </c>
      <c r="BA54" t="s">
        <v>43</v>
      </c>
      <c r="BB54">
        <v>67.046000000000006</v>
      </c>
      <c r="BC54">
        <v>3.653</v>
      </c>
      <c r="BD54" t="s">
        <v>43</v>
      </c>
      <c r="BE54">
        <v>77.543999999999997</v>
      </c>
      <c r="BF54">
        <v>4.9870000000000001</v>
      </c>
      <c r="BG54" t="s">
        <v>81</v>
      </c>
      <c r="BH54">
        <v>92.373000000000005</v>
      </c>
      <c r="BI54">
        <v>53.481000000000002</v>
      </c>
    </row>
    <row r="55" spans="1:72" x14ac:dyDescent="0.2">
      <c r="A55" t="s">
        <v>36</v>
      </c>
      <c r="B55" t="s">
        <v>28</v>
      </c>
      <c r="C55" t="s">
        <v>52</v>
      </c>
      <c r="D55">
        <v>9</v>
      </c>
      <c r="E55">
        <v>9438</v>
      </c>
      <c r="F55" t="s">
        <v>53</v>
      </c>
      <c r="G55" t="s">
        <v>30</v>
      </c>
      <c r="H55">
        <v>0</v>
      </c>
      <c r="I55" t="s">
        <v>57</v>
      </c>
      <c r="J55" t="s">
        <v>32</v>
      </c>
      <c r="K55" t="b">
        <v>0</v>
      </c>
      <c r="L55" t="b">
        <v>0</v>
      </c>
      <c r="M55" t="b">
        <v>0</v>
      </c>
      <c r="N55" t="b">
        <v>0</v>
      </c>
      <c r="O55" t="b">
        <v>0</v>
      </c>
      <c r="P55" t="b">
        <v>0</v>
      </c>
      <c r="Q55" t="b">
        <v>0</v>
      </c>
      <c r="R55" t="b">
        <v>0</v>
      </c>
      <c r="S55" t="b">
        <v>0</v>
      </c>
      <c r="T55" t="s">
        <v>82</v>
      </c>
      <c r="U55">
        <v>0</v>
      </c>
      <c r="V55">
        <v>0</v>
      </c>
      <c r="W55">
        <v>0</v>
      </c>
      <c r="X55" t="s">
        <v>33</v>
      </c>
      <c r="Y55" t="b">
        <v>0</v>
      </c>
      <c r="Z55" t="b">
        <v>0</v>
      </c>
      <c r="AA55" t="b">
        <v>0</v>
      </c>
      <c r="AB55">
        <v>0</v>
      </c>
      <c r="AC55" t="s">
        <v>34</v>
      </c>
      <c r="AD55">
        <v>0</v>
      </c>
      <c r="AE55" t="s">
        <v>42</v>
      </c>
      <c r="AF55">
        <v>0</v>
      </c>
      <c r="AG55">
        <v>146.80500000000001</v>
      </c>
      <c r="AI55" t="s">
        <v>35</v>
      </c>
      <c r="AJ55" t="s">
        <v>42</v>
      </c>
      <c r="AK55">
        <v>35.369999999999997</v>
      </c>
      <c r="AL55">
        <v>24.75</v>
      </c>
      <c r="AM55" t="s">
        <v>42</v>
      </c>
      <c r="AN55">
        <v>82.52</v>
      </c>
      <c r="AO55">
        <v>24.306999999999999</v>
      </c>
    </row>
    <row r="56" spans="1:72" x14ac:dyDescent="0.2">
      <c r="A56" t="s">
        <v>36</v>
      </c>
      <c r="B56" t="s">
        <v>44</v>
      </c>
      <c r="C56" t="s">
        <v>78</v>
      </c>
      <c r="D56">
        <v>9</v>
      </c>
      <c r="E56">
        <v>4692</v>
      </c>
      <c r="F56" t="s">
        <v>49</v>
      </c>
      <c r="G56" t="s">
        <v>30</v>
      </c>
      <c r="H56">
        <v>136.85499999999999</v>
      </c>
      <c r="I56" t="s">
        <v>40</v>
      </c>
      <c r="J56" t="s">
        <v>41</v>
      </c>
      <c r="K56" t="b">
        <v>0</v>
      </c>
      <c r="L56" t="b">
        <v>0</v>
      </c>
      <c r="M56" t="b">
        <v>0</v>
      </c>
      <c r="N56" t="b">
        <v>0</v>
      </c>
      <c r="O56" t="b">
        <v>0</v>
      </c>
      <c r="P56" t="b">
        <v>0</v>
      </c>
      <c r="Q56" t="b">
        <v>0</v>
      </c>
      <c r="R56" t="b">
        <v>0</v>
      </c>
      <c r="S56" t="b">
        <v>0</v>
      </c>
      <c r="U56">
        <v>0</v>
      </c>
      <c r="V56">
        <v>4</v>
      </c>
      <c r="W56">
        <v>4</v>
      </c>
      <c r="X56">
        <v>9.6029999999999998</v>
      </c>
      <c r="Y56" t="b">
        <v>0</v>
      </c>
      <c r="Z56" t="b">
        <v>1</v>
      </c>
      <c r="AA56" t="b">
        <v>0</v>
      </c>
      <c r="AB56">
        <v>0</v>
      </c>
      <c r="AC56" t="s">
        <v>34</v>
      </c>
      <c r="AD56">
        <v>0</v>
      </c>
      <c r="AE56" t="s">
        <v>42</v>
      </c>
      <c r="AF56">
        <v>0</v>
      </c>
      <c r="AG56">
        <v>336.93799999999999</v>
      </c>
      <c r="AI56" t="s">
        <v>35</v>
      </c>
      <c r="AJ56" t="s">
        <v>51</v>
      </c>
      <c r="AK56">
        <v>32.084000000000003</v>
      </c>
      <c r="AL56">
        <v>3.9860000000000002</v>
      </c>
      <c r="AM56" t="s">
        <v>51</v>
      </c>
      <c r="AN56">
        <v>51.198</v>
      </c>
      <c r="AO56">
        <v>3.4169999999999998</v>
      </c>
      <c r="AP56" t="s">
        <v>51</v>
      </c>
      <c r="AQ56">
        <v>64.138000000000005</v>
      </c>
      <c r="AR56">
        <v>13.587</v>
      </c>
      <c r="AS56" t="s">
        <v>51</v>
      </c>
      <c r="AT56">
        <v>87.945999999999998</v>
      </c>
      <c r="AU56">
        <v>17.422000000000001</v>
      </c>
      <c r="AV56" t="s">
        <v>42</v>
      </c>
      <c r="AW56">
        <v>113.619</v>
      </c>
      <c r="AX56">
        <v>5.9580000000000002</v>
      </c>
    </row>
    <row r="57" spans="1:72" x14ac:dyDescent="0.2">
      <c r="A57" t="s">
        <v>36</v>
      </c>
      <c r="B57" t="s">
        <v>63</v>
      </c>
      <c r="C57" t="s">
        <v>79</v>
      </c>
      <c r="D57">
        <v>9</v>
      </c>
      <c r="E57">
        <v>9613</v>
      </c>
      <c r="F57" t="s">
        <v>46</v>
      </c>
      <c r="G57" t="s">
        <v>30</v>
      </c>
      <c r="H57">
        <v>157.62299999999999</v>
      </c>
      <c r="I57" t="s">
        <v>57</v>
      </c>
      <c r="J57" t="s">
        <v>50</v>
      </c>
      <c r="K57" t="b">
        <v>0</v>
      </c>
      <c r="L57" t="b">
        <v>0</v>
      </c>
      <c r="M57" t="b">
        <v>0</v>
      </c>
      <c r="N57" t="b">
        <v>0</v>
      </c>
      <c r="O57" t="b">
        <v>0</v>
      </c>
      <c r="P57" t="b">
        <v>1</v>
      </c>
      <c r="Q57" t="b">
        <v>0</v>
      </c>
      <c r="R57" t="b">
        <v>1</v>
      </c>
      <c r="S57" t="b">
        <v>0</v>
      </c>
      <c r="T57" t="s">
        <v>83</v>
      </c>
      <c r="U57">
        <v>1</v>
      </c>
      <c r="V57">
        <v>2</v>
      </c>
      <c r="W57">
        <v>3</v>
      </c>
      <c r="X57">
        <v>208.79900000000001</v>
      </c>
      <c r="Y57" t="b">
        <v>1</v>
      </c>
      <c r="Z57" t="b">
        <v>0</v>
      </c>
      <c r="AA57" t="b">
        <v>0</v>
      </c>
      <c r="AB57">
        <v>0</v>
      </c>
      <c r="AC57" t="s">
        <v>34</v>
      </c>
      <c r="AD57">
        <v>0</v>
      </c>
      <c r="AE57" t="s">
        <v>43</v>
      </c>
      <c r="AF57">
        <v>0</v>
      </c>
      <c r="AG57">
        <v>582.67600000000004</v>
      </c>
      <c r="AI57" t="s">
        <v>35</v>
      </c>
      <c r="AJ57" t="s">
        <v>43</v>
      </c>
      <c r="AK57">
        <v>30.398</v>
      </c>
      <c r="AL57">
        <v>24.805</v>
      </c>
      <c r="AM57" t="s">
        <v>42</v>
      </c>
      <c r="AN57">
        <v>69.757999999999996</v>
      </c>
      <c r="AO57">
        <v>6.194</v>
      </c>
      <c r="AP57" t="s">
        <v>43</v>
      </c>
      <c r="AQ57">
        <v>78.185000000000002</v>
      </c>
      <c r="AR57">
        <v>18.916</v>
      </c>
      <c r="AS57" t="s">
        <v>42</v>
      </c>
      <c r="AT57">
        <v>113.869</v>
      </c>
      <c r="AU57">
        <v>0.61699999999999999</v>
      </c>
      <c r="AV57" t="s">
        <v>42</v>
      </c>
      <c r="AW57">
        <v>120.753</v>
      </c>
      <c r="AX57">
        <v>0.55100000000000005</v>
      </c>
    </row>
    <row r="58" spans="1:72" x14ac:dyDescent="0.2">
      <c r="A58" t="s">
        <v>36</v>
      </c>
      <c r="B58" t="s">
        <v>47</v>
      </c>
      <c r="C58" t="s">
        <v>48</v>
      </c>
      <c r="D58">
        <v>10</v>
      </c>
      <c r="E58">
        <v>2147</v>
      </c>
      <c r="F58" t="s">
        <v>53</v>
      </c>
      <c r="G58" t="s">
        <v>30</v>
      </c>
      <c r="H58">
        <v>146.69900000000001</v>
      </c>
      <c r="I58" t="s">
        <v>40</v>
      </c>
      <c r="J58" t="s">
        <v>41</v>
      </c>
      <c r="K58" t="b">
        <v>0</v>
      </c>
      <c r="L58" t="b">
        <v>0</v>
      </c>
      <c r="M58" t="b">
        <v>0</v>
      </c>
      <c r="N58" t="b">
        <v>0</v>
      </c>
      <c r="O58" t="b">
        <v>0</v>
      </c>
      <c r="P58" t="b">
        <v>0</v>
      </c>
      <c r="Q58" t="b">
        <v>0</v>
      </c>
      <c r="R58" t="b">
        <v>0</v>
      </c>
      <c r="S58" t="b">
        <v>0</v>
      </c>
      <c r="T58" t="s">
        <v>84</v>
      </c>
      <c r="U58">
        <v>0</v>
      </c>
      <c r="V58">
        <v>7</v>
      </c>
      <c r="W58">
        <v>7</v>
      </c>
      <c r="X58">
        <v>4.0807142857142802</v>
      </c>
      <c r="Y58" t="b">
        <v>1</v>
      </c>
      <c r="Z58" t="b">
        <v>0</v>
      </c>
      <c r="AA58" t="b">
        <v>0</v>
      </c>
      <c r="AB58">
        <v>0</v>
      </c>
      <c r="AC58" t="s">
        <v>34</v>
      </c>
      <c r="AD58">
        <v>0</v>
      </c>
      <c r="AE58" t="s">
        <v>42</v>
      </c>
      <c r="AF58">
        <v>0</v>
      </c>
      <c r="AG58">
        <v>178.06100000000001</v>
      </c>
      <c r="AI58" t="s">
        <v>35</v>
      </c>
      <c r="AJ58" t="s">
        <v>43</v>
      </c>
      <c r="AK58">
        <v>42.994</v>
      </c>
      <c r="AL58">
        <v>1.5209999999999999</v>
      </c>
      <c r="AM58" t="s">
        <v>43</v>
      </c>
      <c r="AN58">
        <v>47.933999999999997</v>
      </c>
      <c r="AO58">
        <v>0.55000000000000004</v>
      </c>
      <c r="AP58" t="s">
        <v>43</v>
      </c>
      <c r="AQ58">
        <v>52.923000000000002</v>
      </c>
      <c r="AR58">
        <v>7.7</v>
      </c>
      <c r="AS58" t="s">
        <v>43</v>
      </c>
      <c r="AT58">
        <v>65.721000000000004</v>
      </c>
      <c r="AU58">
        <v>2.1880000000000002</v>
      </c>
      <c r="AV58" t="s">
        <v>43</v>
      </c>
      <c r="AW58">
        <v>71.177999999999997</v>
      </c>
      <c r="AX58">
        <v>6.2670000000000003</v>
      </c>
      <c r="AY58" t="s">
        <v>43</v>
      </c>
      <c r="AZ58">
        <v>83.379000000000005</v>
      </c>
      <c r="BA58">
        <v>6.0839999999999996</v>
      </c>
      <c r="BB58" t="s">
        <v>42</v>
      </c>
      <c r="BC58">
        <v>96.164000000000001</v>
      </c>
      <c r="BD58">
        <v>30.367999999999999</v>
      </c>
      <c r="BE58" t="s">
        <v>43</v>
      </c>
      <c r="BF58">
        <v>129.227</v>
      </c>
      <c r="BG58">
        <v>4.2549999999999999</v>
      </c>
    </row>
    <row r="59" spans="1:72" x14ac:dyDescent="0.2">
      <c r="A59" t="s">
        <v>36</v>
      </c>
      <c r="B59" t="s">
        <v>37</v>
      </c>
      <c r="C59" t="s">
        <v>38</v>
      </c>
      <c r="D59">
        <v>10</v>
      </c>
      <c r="E59">
        <v>3876</v>
      </c>
      <c r="F59" t="s">
        <v>46</v>
      </c>
      <c r="G59" t="s">
        <v>30</v>
      </c>
      <c r="H59">
        <v>144.762</v>
      </c>
      <c r="I59" t="s">
        <v>57</v>
      </c>
      <c r="J59" t="s">
        <v>41</v>
      </c>
      <c r="K59" t="b">
        <v>0</v>
      </c>
      <c r="L59" t="b">
        <v>0</v>
      </c>
      <c r="M59" t="b">
        <v>0</v>
      </c>
      <c r="N59" t="b">
        <v>0</v>
      </c>
      <c r="O59" t="b">
        <v>0</v>
      </c>
      <c r="P59" t="b">
        <v>0</v>
      </c>
      <c r="Q59" t="b">
        <v>0</v>
      </c>
      <c r="R59" t="b">
        <v>0</v>
      </c>
      <c r="S59" t="b">
        <v>0</v>
      </c>
      <c r="U59">
        <v>1</v>
      </c>
      <c r="V59">
        <v>1</v>
      </c>
      <c r="W59">
        <v>2</v>
      </c>
      <c r="X59">
        <v>69.918999999999997</v>
      </c>
      <c r="Y59" t="b">
        <v>1</v>
      </c>
      <c r="Z59" t="b">
        <v>0</v>
      </c>
      <c r="AA59" t="b">
        <v>0</v>
      </c>
      <c r="AB59">
        <v>0</v>
      </c>
      <c r="AC59" t="s">
        <v>34</v>
      </c>
      <c r="AD59">
        <v>0</v>
      </c>
      <c r="AE59" t="s">
        <v>43</v>
      </c>
      <c r="AF59">
        <v>0</v>
      </c>
      <c r="AG59">
        <v>111.351</v>
      </c>
      <c r="AI59" t="s">
        <v>35</v>
      </c>
      <c r="AJ59" t="s">
        <v>43</v>
      </c>
      <c r="AK59">
        <v>43.787999999999997</v>
      </c>
      <c r="AL59">
        <v>28.486999999999998</v>
      </c>
    </row>
    <row r="60" spans="1:72" x14ac:dyDescent="0.2">
      <c r="A60" t="s">
        <v>36</v>
      </c>
      <c r="B60" t="s">
        <v>28</v>
      </c>
      <c r="C60" t="s">
        <v>52</v>
      </c>
      <c r="D60">
        <v>10</v>
      </c>
      <c r="E60">
        <v>6343</v>
      </c>
      <c r="F60" t="s">
        <v>49</v>
      </c>
      <c r="G60" t="s">
        <v>39</v>
      </c>
      <c r="H60">
        <v>147.31700000000001</v>
      </c>
      <c r="I60" t="s">
        <v>40</v>
      </c>
      <c r="J60" t="s">
        <v>50</v>
      </c>
      <c r="K60" t="b">
        <v>0</v>
      </c>
      <c r="L60" t="b">
        <v>0</v>
      </c>
      <c r="M60" t="b">
        <v>0</v>
      </c>
      <c r="N60" t="b">
        <v>0</v>
      </c>
      <c r="O60" t="b">
        <v>0</v>
      </c>
      <c r="P60" t="b">
        <v>0</v>
      </c>
      <c r="Q60" t="b">
        <v>0</v>
      </c>
      <c r="R60" t="b">
        <v>0</v>
      </c>
      <c r="S60" t="b">
        <v>0</v>
      </c>
      <c r="U60">
        <v>1</v>
      </c>
      <c r="V60">
        <v>11</v>
      </c>
      <c r="W60">
        <v>12</v>
      </c>
      <c r="X60">
        <v>10.5096666666666</v>
      </c>
      <c r="Y60" t="b">
        <v>0</v>
      </c>
      <c r="Z60" t="b">
        <v>1</v>
      </c>
      <c r="AA60" t="b">
        <v>0</v>
      </c>
      <c r="AB60">
        <v>0</v>
      </c>
      <c r="AC60" t="s">
        <v>34</v>
      </c>
      <c r="AD60">
        <v>0</v>
      </c>
      <c r="AE60" t="s">
        <v>51</v>
      </c>
      <c r="AF60">
        <v>0</v>
      </c>
      <c r="AG60">
        <v>62.335999999999999</v>
      </c>
      <c r="AH60">
        <v>-1</v>
      </c>
      <c r="AI60" t="s">
        <v>42</v>
      </c>
      <c r="AJ60">
        <v>8.5459999999999994</v>
      </c>
      <c r="AK60">
        <v>4.891</v>
      </c>
      <c r="AM60" t="s">
        <v>35</v>
      </c>
      <c r="AN60" t="s">
        <v>51</v>
      </c>
      <c r="AO60">
        <v>22.212</v>
      </c>
      <c r="AP60">
        <v>5.1559999999999997</v>
      </c>
      <c r="AQ60" t="s">
        <v>51</v>
      </c>
      <c r="AR60">
        <v>30.774000000000001</v>
      </c>
      <c r="AS60">
        <v>5.1079999999999997</v>
      </c>
      <c r="AT60" t="s">
        <v>51</v>
      </c>
      <c r="AU60">
        <v>40.171999999999997</v>
      </c>
      <c r="AV60">
        <v>5.0250000000000004</v>
      </c>
      <c r="AW60" t="s">
        <v>51</v>
      </c>
      <c r="AX60">
        <v>49.838000000000001</v>
      </c>
      <c r="AY60">
        <v>3.605</v>
      </c>
      <c r="AZ60" t="s">
        <v>51</v>
      </c>
      <c r="BA60">
        <v>57.512</v>
      </c>
      <c r="BB60">
        <v>5.9160000000000004</v>
      </c>
      <c r="BC60" t="s">
        <v>51</v>
      </c>
      <c r="BD60">
        <v>68.057000000000002</v>
      </c>
      <c r="BE60">
        <v>9.9359999999999999</v>
      </c>
      <c r="BF60" t="s">
        <v>51</v>
      </c>
      <c r="BG60">
        <v>80.141000000000005</v>
      </c>
      <c r="BH60">
        <v>4.6719999999999997</v>
      </c>
      <c r="BI60" t="s">
        <v>51</v>
      </c>
      <c r="BJ60">
        <v>90.221999999999994</v>
      </c>
      <c r="BK60">
        <v>1.302</v>
      </c>
      <c r="BL60" t="s">
        <v>51</v>
      </c>
      <c r="BM60">
        <v>99.905000000000001</v>
      </c>
      <c r="BN60">
        <v>7.6269999999999998</v>
      </c>
      <c r="BO60" t="s">
        <v>51</v>
      </c>
      <c r="BP60">
        <v>120.11499999999999</v>
      </c>
      <c r="BQ60">
        <v>8.1709999999999994</v>
      </c>
      <c r="BR60" t="s">
        <v>51</v>
      </c>
      <c r="BS60">
        <v>134.67099999999999</v>
      </c>
      <c r="BT60">
        <v>7.2619999999999996</v>
      </c>
    </row>
    <row r="61" spans="1:72" x14ac:dyDescent="0.2">
      <c r="A61" t="s">
        <v>36</v>
      </c>
      <c r="B61" t="s">
        <v>44</v>
      </c>
      <c r="C61" t="s">
        <v>78</v>
      </c>
      <c r="D61">
        <v>10</v>
      </c>
      <c r="E61">
        <v>3712</v>
      </c>
      <c r="F61" t="s">
        <v>46</v>
      </c>
      <c r="G61" t="s">
        <v>30</v>
      </c>
      <c r="H61">
        <v>142.11600000000001</v>
      </c>
      <c r="I61" t="s">
        <v>57</v>
      </c>
      <c r="J61" t="s">
        <v>41</v>
      </c>
      <c r="K61" t="b">
        <v>0</v>
      </c>
      <c r="L61" t="b">
        <v>0</v>
      </c>
      <c r="M61" t="b">
        <v>0</v>
      </c>
      <c r="N61" t="b">
        <v>0</v>
      </c>
      <c r="O61" t="b">
        <v>0</v>
      </c>
      <c r="P61" t="b">
        <v>0</v>
      </c>
      <c r="Q61" t="b">
        <v>0</v>
      </c>
      <c r="R61" t="b">
        <v>0</v>
      </c>
      <c r="S61" t="b">
        <v>0</v>
      </c>
      <c r="T61" t="s">
        <v>85</v>
      </c>
      <c r="U61">
        <v>1</v>
      </c>
      <c r="V61">
        <v>0</v>
      </c>
      <c r="W61">
        <v>1</v>
      </c>
      <c r="X61">
        <v>85.415999999999997</v>
      </c>
      <c r="Y61" t="b">
        <v>1</v>
      </c>
      <c r="Z61" t="b">
        <v>0</v>
      </c>
      <c r="AA61" t="b">
        <v>0</v>
      </c>
      <c r="AB61">
        <v>0</v>
      </c>
      <c r="AC61" t="s">
        <v>34</v>
      </c>
      <c r="AD61">
        <v>0</v>
      </c>
      <c r="AE61" t="s">
        <v>43</v>
      </c>
      <c r="AF61">
        <v>0</v>
      </c>
      <c r="AG61">
        <v>85.415999999999997</v>
      </c>
      <c r="AI61" t="s">
        <v>35</v>
      </c>
    </row>
    <row r="62" spans="1:72" x14ac:dyDescent="0.2">
      <c r="A62" t="s">
        <v>36</v>
      </c>
      <c r="B62" t="s">
        <v>63</v>
      </c>
      <c r="C62" t="s">
        <v>79</v>
      </c>
      <c r="D62">
        <v>10</v>
      </c>
      <c r="E62">
        <v>6076</v>
      </c>
      <c r="F62" t="s">
        <v>46</v>
      </c>
      <c r="G62" t="s">
        <v>30</v>
      </c>
      <c r="H62">
        <v>0</v>
      </c>
      <c r="I62" t="s">
        <v>31</v>
      </c>
      <c r="J62" t="s">
        <v>32</v>
      </c>
      <c r="K62" t="b">
        <v>0</v>
      </c>
      <c r="L62" t="b">
        <v>0</v>
      </c>
      <c r="M62" t="b">
        <v>0</v>
      </c>
      <c r="N62" t="b">
        <v>0</v>
      </c>
      <c r="O62" t="b">
        <v>0</v>
      </c>
      <c r="P62" t="b">
        <v>0</v>
      </c>
      <c r="Q62" t="b">
        <v>0</v>
      </c>
      <c r="R62" t="b">
        <v>0</v>
      </c>
      <c r="S62" t="b">
        <v>1</v>
      </c>
      <c r="U62">
        <v>1</v>
      </c>
      <c r="V62">
        <v>2</v>
      </c>
      <c r="W62">
        <v>3</v>
      </c>
      <c r="X62">
        <v>208.79900000000001</v>
      </c>
      <c r="Y62" t="b">
        <v>1</v>
      </c>
      <c r="Z62" t="b">
        <v>0</v>
      </c>
      <c r="AA62" t="b">
        <v>0</v>
      </c>
      <c r="AB62">
        <v>0</v>
      </c>
      <c r="AC62" t="s">
        <v>34</v>
      </c>
      <c r="AE62" t="s">
        <v>35</v>
      </c>
    </row>
    <row r="63" spans="1:72" x14ac:dyDescent="0.2">
      <c r="A63" t="s">
        <v>36</v>
      </c>
      <c r="B63" t="s">
        <v>55</v>
      </c>
      <c r="C63" t="s">
        <v>58</v>
      </c>
      <c r="D63">
        <v>10</v>
      </c>
      <c r="E63">
        <v>4131</v>
      </c>
      <c r="F63" t="s">
        <v>46</v>
      </c>
      <c r="G63" t="s">
        <v>30</v>
      </c>
      <c r="H63">
        <v>0</v>
      </c>
      <c r="I63" t="s">
        <v>31</v>
      </c>
      <c r="J63" t="s">
        <v>32</v>
      </c>
      <c r="K63" t="b">
        <v>0</v>
      </c>
      <c r="L63" t="b">
        <v>0</v>
      </c>
      <c r="M63" t="b">
        <v>0</v>
      </c>
      <c r="N63" t="b">
        <v>0</v>
      </c>
      <c r="O63" t="b">
        <v>0</v>
      </c>
      <c r="P63" t="b">
        <v>0</v>
      </c>
      <c r="Q63" t="b">
        <v>0</v>
      </c>
      <c r="R63" t="b">
        <v>0</v>
      </c>
      <c r="S63" t="b">
        <v>0</v>
      </c>
      <c r="U63">
        <v>1</v>
      </c>
      <c r="V63">
        <v>0</v>
      </c>
      <c r="W63">
        <v>1</v>
      </c>
      <c r="X63">
        <v>8.3650000000000002</v>
      </c>
      <c r="Y63" t="b">
        <v>1</v>
      </c>
      <c r="Z63" t="b">
        <v>0</v>
      </c>
      <c r="AA63" t="b">
        <v>0</v>
      </c>
      <c r="AB63">
        <v>0</v>
      </c>
      <c r="AC63" t="s">
        <v>34</v>
      </c>
      <c r="AD63">
        <v>0</v>
      </c>
      <c r="AE63" t="s">
        <v>43</v>
      </c>
      <c r="AF63">
        <v>0</v>
      </c>
      <c r="AG63">
        <v>8.3650000000000002</v>
      </c>
      <c r="AI63" t="s">
        <v>35</v>
      </c>
    </row>
    <row r="64" spans="1:72" x14ac:dyDescent="0.2">
      <c r="A64" t="s">
        <v>36</v>
      </c>
      <c r="B64" t="s">
        <v>28</v>
      </c>
      <c r="C64" t="s">
        <v>52</v>
      </c>
      <c r="D64">
        <v>11</v>
      </c>
      <c r="E64">
        <v>6831</v>
      </c>
      <c r="F64" t="s">
        <v>49</v>
      </c>
      <c r="G64" t="s">
        <v>39</v>
      </c>
      <c r="H64">
        <v>156.596</v>
      </c>
      <c r="I64" t="s">
        <v>40</v>
      </c>
      <c r="J64" t="s">
        <v>50</v>
      </c>
      <c r="K64" t="b">
        <v>0</v>
      </c>
      <c r="L64" t="b">
        <v>0</v>
      </c>
      <c r="M64" t="b">
        <v>0</v>
      </c>
      <c r="N64" t="b">
        <v>0</v>
      </c>
      <c r="O64" t="b">
        <v>0</v>
      </c>
      <c r="P64" t="b">
        <v>0</v>
      </c>
      <c r="Q64" t="b">
        <v>0</v>
      </c>
      <c r="R64" t="b">
        <v>0</v>
      </c>
      <c r="S64" t="b">
        <v>0</v>
      </c>
      <c r="T64" t="s">
        <v>86</v>
      </c>
      <c r="U64">
        <v>1</v>
      </c>
      <c r="V64">
        <v>4</v>
      </c>
      <c r="W64">
        <v>5</v>
      </c>
      <c r="X64">
        <v>12.672799999999899</v>
      </c>
      <c r="Y64" t="b">
        <v>1</v>
      </c>
      <c r="Z64" t="b">
        <v>0</v>
      </c>
      <c r="AA64" t="b">
        <v>0</v>
      </c>
      <c r="AB64">
        <v>0</v>
      </c>
      <c r="AC64" t="s">
        <v>34</v>
      </c>
      <c r="AD64">
        <v>0</v>
      </c>
      <c r="AE64" t="s">
        <v>43</v>
      </c>
      <c r="AF64">
        <v>0</v>
      </c>
      <c r="AG64">
        <v>41.482999999999997</v>
      </c>
      <c r="AI64" t="s">
        <v>35</v>
      </c>
      <c r="AJ64" t="s">
        <v>42</v>
      </c>
      <c r="AK64">
        <v>7.0439999999999996</v>
      </c>
      <c r="AL64">
        <v>17.797000000000001</v>
      </c>
      <c r="AM64" t="s">
        <v>43</v>
      </c>
      <c r="AN64">
        <v>28.940999999999999</v>
      </c>
      <c r="AO64">
        <v>3.504</v>
      </c>
      <c r="AP64" t="s">
        <v>43</v>
      </c>
      <c r="AQ64">
        <v>38.405000000000001</v>
      </c>
      <c r="AR64">
        <v>1.518</v>
      </c>
      <c r="AS64" t="s">
        <v>43</v>
      </c>
      <c r="AT64">
        <v>68.396000000000001</v>
      </c>
      <c r="AU64">
        <v>8.8480000000000008</v>
      </c>
      <c r="AV64" t="s">
        <v>43</v>
      </c>
      <c r="AW64">
        <v>89.596999999999994</v>
      </c>
      <c r="AX64">
        <v>8.0109999999999992</v>
      </c>
      <c r="AY64" t="s">
        <v>42</v>
      </c>
      <c r="AZ64">
        <v>103.066</v>
      </c>
      <c r="BA64">
        <v>5.8239999999999998</v>
      </c>
      <c r="BB64" t="s">
        <v>42</v>
      </c>
      <c r="BC64">
        <v>118.874</v>
      </c>
      <c r="BD64">
        <v>8.8940000000000001</v>
      </c>
    </row>
    <row r="65" spans="1:71" x14ac:dyDescent="0.2">
      <c r="A65" t="s">
        <v>36</v>
      </c>
      <c r="B65" t="s">
        <v>47</v>
      </c>
      <c r="C65" t="s">
        <v>48</v>
      </c>
      <c r="D65">
        <v>11</v>
      </c>
      <c r="E65">
        <v>8532</v>
      </c>
      <c r="F65" t="s">
        <v>53</v>
      </c>
      <c r="G65" t="s">
        <v>39</v>
      </c>
      <c r="H65">
        <v>0</v>
      </c>
      <c r="I65" t="s">
        <v>57</v>
      </c>
      <c r="J65" t="s">
        <v>32</v>
      </c>
      <c r="K65" t="b">
        <v>0</v>
      </c>
      <c r="L65" t="b">
        <v>0</v>
      </c>
      <c r="M65" t="b">
        <v>0</v>
      </c>
      <c r="N65" t="b">
        <v>0</v>
      </c>
      <c r="O65" t="b">
        <v>0</v>
      </c>
      <c r="P65" t="b">
        <v>0</v>
      </c>
      <c r="Q65" t="b">
        <v>0</v>
      </c>
      <c r="R65" t="b">
        <v>0</v>
      </c>
      <c r="S65" t="b">
        <v>0</v>
      </c>
      <c r="T65" t="s">
        <v>87</v>
      </c>
      <c r="U65">
        <v>0</v>
      </c>
      <c r="V65">
        <v>5</v>
      </c>
      <c r="W65">
        <v>5</v>
      </c>
      <c r="X65">
        <v>9.9939999999999998</v>
      </c>
      <c r="Y65" t="b">
        <v>1</v>
      </c>
      <c r="Z65" t="b">
        <v>1</v>
      </c>
      <c r="AA65" t="b">
        <v>0</v>
      </c>
      <c r="AB65">
        <v>0</v>
      </c>
      <c r="AC65" t="s">
        <v>34</v>
      </c>
      <c r="AE65" t="s">
        <v>35</v>
      </c>
      <c r="AF65" t="s">
        <v>51</v>
      </c>
      <c r="AG65">
        <v>22.384</v>
      </c>
      <c r="AH65">
        <v>3.0310000000000001</v>
      </c>
      <c r="AI65" t="s">
        <v>42</v>
      </c>
      <c r="AJ65">
        <v>41.530999999999999</v>
      </c>
      <c r="AK65">
        <v>5.1520000000000001</v>
      </c>
      <c r="AL65" t="s">
        <v>51</v>
      </c>
      <c r="AM65">
        <v>51.280999999999999</v>
      </c>
      <c r="AN65">
        <v>12.119</v>
      </c>
      <c r="AO65" t="s">
        <v>43</v>
      </c>
      <c r="AP65">
        <v>78.450999999999993</v>
      </c>
      <c r="AQ65">
        <v>17.835000000000001</v>
      </c>
      <c r="AR65" t="s">
        <v>43</v>
      </c>
      <c r="AS65">
        <v>103.102</v>
      </c>
      <c r="AT65">
        <v>8.6349999999999998</v>
      </c>
      <c r="AU65" t="s">
        <v>51</v>
      </c>
      <c r="AV65">
        <v>120.96899999999999</v>
      </c>
      <c r="AW65">
        <v>8.35</v>
      </c>
      <c r="AX65" t="s">
        <v>42</v>
      </c>
      <c r="AY65">
        <v>145.43199999999999</v>
      </c>
      <c r="AZ65">
        <v>10.821</v>
      </c>
    </row>
    <row r="66" spans="1:71" x14ac:dyDescent="0.2">
      <c r="A66" t="s">
        <v>36</v>
      </c>
      <c r="B66" t="s">
        <v>37</v>
      </c>
      <c r="C66" t="s">
        <v>38</v>
      </c>
      <c r="D66">
        <v>11</v>
      </c>
      <c r="E66">
        <v>9680</v>
      </c>
      <c r="F66" t="s">
        <v>66</v>
      </c>
      <c r="G66" t="s">
        <v>30</v>
      </c>
      <c r="H66">
        <v>0</v>
      </c>
      <c r="I66" t="s">
        <v>31</v>
      </c>
      <c r="J66" t="s">
        <v>32</v>
      </c>
      <c r="K66" t="b">
        <v>0</v>
      </c>
      <c r="L66" t="b">
        <v>0</v>
      </c>
      <c r="M66" t="b">
        <v>0</v>
      </c>
      <c r="N66" t="b">
        <v>0</v>
      </c>
      <c r="O66" t="b">
        <v>0</v>
      </c>
      <c r="P66" t="b">
        <v>0</v>
      </c>
      <c r="Q66" t="b">
        <v>0</v>
      </c>
      <c r="R66" t="b">
        <v>0</v>
      </c>
      <c r="S66" t="b">
        <v>0</v>
      </c>
      <c r="U66">
        <v>0</v>
      </c>
      <c r="V66">
        <v>0</v>
      </c>
      <c r="W66">
        <v>0</v>
      </c>
      <c r="X66" t="s">
        <v>33</v>
      </c>
      <c r="Y66" t="b">
        <v>0</v>
      </c>
      <c r="Z66" t="b">
        <v>0</v>
      </c>
      <c r="AA66" t="b">
        <v>0</v>
      </c>
      <c r="AB66">
        <v>0</v>
      </c>
      <c r="AC66" t="s">
        <v>34</v>
      </c>
      <c r="AE66" t="s">
        <v>35</v>
      </c>
      <c r="AF66" t="s">
        <v>42</v>
      </c>
      <c r="AG66">
        <v>0</v>
      </c>
      <c r="AH66">
        <v>122.536</v>
      </c>
    </row>
    <row r="67" spans="1:71" x14ac:dyDescent="0.2">
      <c r="A67" t="s">
        <v>36</v>
      </c>
      <c r="B67" t="s">
        <v>28</v>
      </c>
      <c r="C67" t="s">
        <v>79</v>
      </c>
      <c r="D67">
        <v>11</v>
      </c>
      <c r="E67">
        <v>6831</v>
      </c>
      <c r="F67" t="s">
        <v>49</v>
      </c>
      <c r="G67" t="s">
        <v>39</v>
      </c>
      <c r="H67">
        <v>156.32300000000001</v>
      </c>
      <c r="I67" t="s">
        <v>40</v>
      </c>
      <c r="J67" t="s">
        <v>41</v>
      </c>
      <c r="K67" t="b">
        <v>0</v>
      </c>
      <c r="L67" t="b">
        <v>0</v>
      </c>
      <c r="M67" t="b">
        <v>0</v>
      </c>
      <c r="N67" t="b">
        <v>0</v>
      </c>
      <c r="O67" t="b">
        <v>0</v>
      </c>
      <c r="P67" t="b">
        <v>0</v>
      </c>
      <c r="Q67" t="b">
        <v>0</v>
      </c>
      <c r="R67" t="b">
        <v>0</v>
      </c>
      <c r="S67" t="b">
        <v>0</v>
      </c>
      <c r="U67">
        <v>0</v>
      </c>
      <c r="V67">
        <v>3</v>
      </c>
      <c r="W67">
        <v>3</v>
      </c>
      <c r="X67">
        <v>5.5626666666666598</v>
      </c>
      <c r="Y67" t="b">
        <v>1</v>
      </c>
      <c r="Z67" t="b">
        <v>0</v>
      </c>
      <c r="AA67" t="b">
        <v>0</v>
      </c>
      <c r="AB67">
        <v>0</v>
      </c>
      <c r="AC67" t="s">
        <v>34</v>
      </c>
      <c r="AE67" t="s">
        <v>35</v>
      </c>
      <c r="AF67" t="s">
        <v>42</v>
      </c>
      <c r="AG67">
        <v>0</v>
      </c>
      <c r="AH67">
        <v>113.389</v>
      </c>
      <c r="AI67" t="s">
        <v>43</v>
      </c>
      <c r="AJ67">
        <v>29.161999999999999</v>
      </c>
      <c r="AK67">
        <v>3.9529999999999998</v>
      </c>
      <c r="AL67" t="s">
        <v>43</v>
      </c>
      <c r="AM67">
        <v>35.911999999999999</v>
      </c>
      <c r="AN67">
        <v>3.8980000000000001</v>
      </c>
      <c r="AO67" t="s">
        <v>42</v>
      </c>
      <c r="AP67">
        <v>47.563000000000002</v>
      </c>
      <c r="AQ67">
        <v>4.0410000000000004</v>
      </c>
      <c r="AR67" t="s">
        <v>43</v>
      </c>
      <c r="AS67">
        <v>69.031000000000006</v>
      </c>
      <c r="AT67">
        <v>8.8369999999999997</v>
      </c>
      <c r="AU67" t="s">
        <v>42</v>
      </c>
      <c r="AV67">
        <v>90.319000000000003</v>
      </c>
      <c r="AW67">
        <v>8.9979999999999993</v>
      </c>
      <c r="AX67" t="s">
        <v>42</v>
      </c>
      <c r="AY67">
        <v>104.316</v>
      </c>
      <c r="AZ67">
        <v>6.1669999999999998</v>
      </c>
      <c r="BA67" t="s">
        <v>42</v>
      </c>
      <c r="BB67">
        <v>119.967</v>
      </c>
      <c r="BC67">
        <v>9.0519999999999996</v>
      </c>
    </row>
    <row r="68" spans="1:71" x14ac:dyDescent="0.2">
      <c r="A68" t="s">
        <v>36</v>
      </c>
      <c r="B68" t="s">
        <v>44</v>
      </c>
      <c r="C68" t="s">
        <v>78</v>
      </c>
      <c r="D68">
        <v>11</v>
      </c>
      <c r="E68">
        <v>5920</v>
      </c>
      <c r="F68" t="s">
        <v>53</v>
      </c>
      <c r="G68" t="s">
        <v>30</v>
      </c>
      <c r="H68">
        <v>149.26599999999999</v>
      </c>
      <c r="I68" t="s">
        <v>40</v>
      </c>
      <c r="J68" t="s">
        <v>41</v>
      </c>
      <c r="K68" t="b">
        <v>0</v>
      </c>
      <c r="L68" t="b">
        <v>0</v>
      </c>
      <c r="M68" t="b">
        <v>0</v>
      </c>
      <c r="N68" t="b">
        <v>0</v>
      </c>
      <c r="O68" t="b">
        <v>0</v>
      </c>
      <c r="P68" t="b">
        <v>0</v>
      </c>
      <c r="Q68" t="b">
        <v>0</v>
      </c>
      <c r="R68" t="b">
        <v>0</v>
      </c>
      <c r="S68" t="b">
        <v>0</v>
      </c>
      <c r="U68">
        <v>0</v>
      </c>
      <c r="V68">
        <v>2</v>
      </c>
      <c r="W68">
        <v>2</v>
      </c>
      <c r="X68">
        <v>33</v>
      </c>
      <c r="Y68" t="b">
        <v>1</v>
      </c>
      <c r="Z68" t="b">
        <v>0</v>
      </c>
      <c r="AA68" t="b">
        <v>0</v>
      </c>
      <c r="AB68">
        <v>0</v>
      </c>
      <c r="AC68" t="s">
        <v>34</v>
      </c>
      <c r="AE68" t="s">
        <v>35</v>
      </c>
      <c r="AF68" t="s">
        <v>43</v>
      </c>
      <c r="AG68">
        <v>35.534999999999997</v>
      </c>
      <c r="AH68">
        <v>2.6309999999999998</v>
      </c>
      <c r="AI68" t="s">
        <v>43</v>
      </c>
      <c r="AJ68">
        <v>55.819000000000003</v>
      </c>
      <c r="AK68">
        <v>63.369</v>
      </c>
    </row>
    <row r="69" spans="1:71" x14ac:dyDescent="0.2">
      <c r="A69" t="s">
        <v>36</v>
      </c>
      <c r="B69" t="s">
        <v>55</v>
      </c>
      <c r="C69" t="s">
        <v>58</v>
      </c>
      <c r="D69">
        <v>12</v>
      </c>
      <c r="E69">
        <v>4060</v>
      </c>
      <c r="F69" t="s">
        <v>53</v>
      </c>
      <c r="G69" t="s">
        <v>39</v>
      </c>
      <c r="H69">
        <v>150.02099999999999</v>
      </c>
      <c r="I69" t="s">
        <v>54</v>
      </c>
      <c r="J69" t="s">
        <v>41</v>
      </c>
      <c r="K69" t="b">
        <v>1</v>
      </c>
      <c r="L69" t="b">
        <v>0</v>
      </c>
      <c r="M69" t="b">
        <v>0</v>
      </c>
      <c r="N69" t="b">
        <v>0</v>
      </c>
      <c r="O69" t="b">
        <v>0</v>
      </c>
      <c r="P69" t="b">
        <v>0</v>
      </c>
      <c r="Q69" t="b">
        <v>0</v>
      </c>
      <c r="R69" t="b">
        <v>0</v>
      </c>
      <c r="S69" t="b">
        <v>0</v>
      </c>
      <c r="T69" t="s">
        <v>88</v>
      </c>
      <c r="U69">
        <v>1</v>
      </c>
      <c r="V69">
        <v>2</v>
      </c>
      <c r="W69">
        <v>3</v>
      </c>
      <c r="X69">
        <v>121.864666666666</v>
      </c>
      <c r="Y69" t="b">
        <v>1</v>
      </c>
      <c r="Z69" t="b">
        <v>0</v>
      </c>
      <c r="AA69" t="b">
        <v>0</v>
      </c>
      <c r="AB69">
        <v>0</v>
      </c>
      <c r="AC69" t="s">
        <v>34</v>
      </c>
      <c r="AD69">
        <v>0</v>
      </c>
      <c r="AE69" t="s">
        <v>43</v>
      </c>
      <c r="AF69">
        <v>0</v>
      </c>
      <c r="AG69">
        <v>343.20400000000001</v>
      </c>
      <c r="AI69" t="s">
        <v>35</v>
      </c>
      <c r="AJ69" t="s">
        <v>43</v>
      </c>
      <c r="AK69">
        <v>25.754999999999999</v>
      </c>
      <c r="AL69">
        <v>14.03</v>
      </c>
      <c r="AM69" t="s">
        <v>43</v>
      </c>
      <c r="AN69">
        <v>52.755000000000003</v>
      </c>
      <c r="AO69">
        <v>8.36</v>
      </c>
      <c r="AP69" t="s">
        <v>42</v>
      </c>
      <c r="AQ69">
        <v>69.62</v>
      </c>
      <c r="AR69">
        <v>8.0670000000000002</v>
      </c>
      <c r="AS69" t="s">
        <v>42</v>
      </c>
      <c r="AT69">
        <v>86.706000000000003</v>
      </c>
      <c r="AU69">
        <v>41.301000000000002</v>
      </c>
    </row>
    <row r="70" spans="1:71" x14ac:dyDescent="0.2">
      <c r="A70" t="s">
        <v>36</v>
      </c>
      <c r="B70" t="s">
        <v>28</v>
      </c>
      <c r="C70" t="s">
        <v>52</v>
      </c>
      <c r="D70">
        <v>12</v>
      </c>
      <c r="E70">
        <v>4089</v>
      </c>
      <c r="F70" t="s">
        <v>49</v>
      </c>
      <c r="G70" t="s">
        <v>30</v>
      </c>
      <c r="H70">
        <v>139.72399999999999</v>
      </c>
      <c r="I70" t="s">
        <v>40</v>
      </c>
      <c r="J70" t="s">
        <v>41</v>
      </c>
      <c r="K70" t="b">
        <v>0</v>
      </c>
      <c r="L70" t="b">
        <v>0</v>
      </c>
      <c r="M70" t="b">
        <v>0</v>
      </c>
      <c r="N70" t="b">
        <v>0</v>
      </c>
      <c r="O70" t="b">
        <v>0</v>
      </c>
      <c r="P70" t="b">
        <v>0</v>
      </c>
      <c r="Q70" t="b">
        <v>0</v>
      </c>
      <c r="R70" t="b">
        <v>0</v>
      </c>
      <c r="S70" t="b">
        <v>0</v>
      </c>
      <c r="T70" t="s">
        <v>89</v>
      </c>
      <c r="U70">
        <v>1</v>
      </c>
      <c r="V70">
        <v>3</v>
      </c>
      <c r="W70">
        <v>4</v>
      </c>
      <c r="X70">
        <v>23.213999999999999</v>
      </c>
      <c r="Y70" t="b">
        <v>1</v>
      </c>
      <c r="Z70" t="b">
        <v>1</v>
      </c>
      <c r="AA70" t="b">
        <v>0</v>
      </c>
      <c r="AB70">
        <v>0</v>
      </c>
      <c r="AC70" t="s">
        <v>34</v>
      </c>
      <c r="AD70">
        <v>0</v>
      </c>
      <c r="AE70" t="s">
        <v>43</v>
      </c>
      <c r="AF70">
        <v>0</v>
      </c>
      <c r="AG70">
        <v>68.153000000000006</v>
      </c>
      <c r="AI70" t="s">
        <v>35</v>
      </c>
      <c r="AJ70" t="s">
        <v>51</v>
      </c>
      <c r="AK70">
        <v>22.295999999999999</v>
      </c>
      <c r="AL70">
        <v>4.2720000000000002</v>
      </c>
      <c r="AM70" t="s">
        <v>42</v>
      </c>
      <c r="AN70">
        <v>34.445999999999998</v>
      </c>
      <c r="AO70">
        <v>4.3410000000000002</v>
      </c>
      <c r="AP70" t="s">
        <v>42</v>
      </c>
      <c r="AQ70">
        <v>44.494</v>
      </c>
      <c r="AR70">
        <v>1.7709999999999999</v>
      </c>
      <c r="AS70" t="s">
        <v>42</v>
      </c>
      <c r="AT70">
        <v>51.908000000000001</v>
      </c>
      <c r="AU70">
        <v>3.92</v>
      </c>
      <c r="AV70" t="s">
        <v>42</v>
      </c>
      <c r="AW70">
        <v>59.378</v>
      </c>
      <c r="AX70">
        <v>4.0359999999999996</v>
      </c>
      <c r="AY70" t="s">
        <v>51</v>
      </c>
      <c r="AZ70">
        <v>68.707999999999998</v>
      </c>
      <c r="BA70">
        <v>10.843</v>
      </c>
      <c r="BB70" t="s">
        <v>51</v>
      </c>
      <c r="BC70">
        <v>97.873000000000005</v>
      </c>
      <c r="BD70">
        <v>9.5879999999999992</v>
      </c>
    </row>
    <row r="71" spans="1:71" x14ac:dyDescent="0.2">
      <c r="A71" t="s">
        <v>36</v>
      </c>
      <c r="B71" t="s">
        <v>47</v>
      </c>
      <c r="C71" t="s">
        <v>48</v>
      </c>
      <c r="D71">
        <v>12</v>
      </c>
      <c r="E71">
        <v>1318</v>
      </c>
      <c r="F71" t="s">
        <v>46</v>
      </c>
      <c r="G71" t="s">
        <v>39</v>
      </c>
      <c r="H71">
        <v>145.78</v>
      </c>
      <c r="I71" t="s">
        <v>40</v>
      </c>
      <c r="J71" t="s">
        <v>41</v>
      </c>
      <c r="K71" t="b">
        <v>0</v>
      </c>
      <c r="L71" t="b">
        <v>0</v>
      </c>
      <c r="M71" t="b">
        <v>0</v>
      </c>
      <c r="N71" t="b">
        <v>0</v>
      </c>
      <c r="O71" t="b">
        <v>0</v>
      </c>
      <c r="P71" t="b">
        <v>0</v>
      </c>
      <c r="Q71" t="b">
        <v>0</v>
      </c>
      <c r="R71" t="b">
        <v>0</v>
      </c>
      <c r="S71" t="b">
        <v>0</v>
      </c>
      <c r="U71">
        <v>4</v>
      </c>
      <c r="V71">
        <v>5</v>
      </c>
      <c r="W71">
        <v>9</v>
      </c>
      <c r="X71">
        <v>17.731111111111101</v>
      </c>
      <c r="Y71" t="b">
        <v>1</v>
      </c>
      <c r="Z71" t="b">
        <v>1</v>
      </c>
      <c r="AA71" t="b">
        <v>0</v>
      </c>
      <c r="AB71">
        <v>0</v>
      </c>
      <c r="AC71" t="s">
        <v>34</v>
      </c>
      <c r="AD71">
        <v>0</v>
      </c>
      <c r="AE71" t="s">
        <v>43</v>
      </c>
      <c r="AF71">
        <v>0</v>
      </c>
      <c r="AG71">
        <v>110.387</v>
      </c>
      <c r="AH71">
        <v>2</v>
      </c>
      <c r="AI71" t="s">
        <v>43</v>
      </c>
      <c r="AJ71">
        <v>7.3710000000000004</v>
      </c>
      <c r="AK71">
        <v>0.56299999999999994</v>
      </c>
      <c r="AL71">
        <v>3</v>
      </c>
      <c r="AM71" t="s">
        <v>43</v>
      </c>
      <c r="AN71">
        <v>14.000999999999999</v>
      </c>
      <c r="AO71">
        <v>2.7330000000000001</v>
      </c>
      <c r="AP71">
        <v>1</v>
      </c>
      <c r="AQ71" t="s">
        <v>43</v>
      </c>
      <c r="AR71">
        <v>17.184000000000001</v>
      </c>
      <c r="AS71">
        <v>0.53400000000000003</v>
      </c>
      <c r="AU71" t="s">
        <v>35</v>
      </c>
      <c r="AV71" t="s">
        <v>43</v>
      </c>
      <c r="AW71">
        <v>23.914999999999999</v>
      </c>
      <c r="AX71">
        <v>4.8339999999999996</v>
      </c>
      <c r="AY71" t="s">
        <v>51</v>
      </c>
      <c r="AZ71">
        <v>34.768999999999998</v>
      </c>
      <c r="BA71">
        <v>0.46600000000000003</v>
      </c>
      <c r="BB71" t="s">
        <v>51</v>
      </c>
      <c r="BC71">
        <v>39.366999999999997</v>
      </c>
      <c r="BD71">
        <v>10.266999999999999</v>
      </c>
      <c r="BE71" t="s">
        <v>51</v>
      </c>
      <c r="BF71">
        <v>59.616999999999997</v>
      </c>
      <c r="BG71">
        <v>11.831</v>
      </c>
      <c r="BH71" t="s">
        <v>51</v>
      </c>
      <c r="BI71">
        <v>79.819000000000003</v>
      </c>
      <c r="BJ71">
        <v>17.965</v>
      </c>
      <c r="BK71" t="s">
        <v>42</v>
      </c>
      <c r="BL71">
        <v>103.687</v>
      </c>
      <c r="BM71">
        <v>10.335000000000001</v>
      </c>
      <c r="BN71" t="s">
        <v>42</v>
      </c>
      <c r="BO71">
        <v>120.86799999999999</v>
      </c>
      <c r="BP71">
        <v>13.987</v>
      </c>
      <c r="BQ71" t="s">
        <v>42</v>
      </c>
      <c r="BR71">
        <v>138.60400000000001</v>
      </c>
      <c r="BS71">
        <v>4.4189999999999996</v>
      </c>
    </row>
    <row r="72" spans="1:71" x14ac:dyDescent="0.2">
      <c r="A72" t="s">
        <v>36</v>
      </c>
      <c r="B72" t="s">
        <v>37</v>
      </c>
      <c r="C72" t="s">
        <v>38</v>
      </c>
      <c r="D72">
        <v>12</v>
      </c>
      <c r="E72">
        <v>1595</v>
      </c>
      <c r="F72" t="s">
        <v>49</v>
      </c>
      <c r="G72" t="s">
        <v>30</v>
      </c>
      <c r="H72">
        <v>141.31899999999999</v>
      </c>
      <c r="I72" t="s">
        <v>40</v>
      </c>
      <c r="J72" t="s">
        <v>41</v>
      </c>
      <c r="K72" t="b">
        <v>0</v>
      </c>
      <c r="L72" t="b">
        <v>0</v>
      </c>
      <c r="M72" t="b">
        <v>0</v>
      </c>
      <c r="N72" t="b">
        <v>0</v>
      </c>
      <c r="O72" t="b">
        <v>0</v>
      </c>
      <c r="P72" t="b">
        <v>0</v>
      </c>
      <c r="Q72" t="b">
        <v>0</v>
      </c>
      <c r="R72" t="b">
        <v>0</v>
      </c>
      <c r="S72" t="b">
        <v>0</v>
      </c>
      <c r="U72">
        <v>0</v>
      </c>
      <c r="V72">
        <v>6</v>
      </c>
      <c r="W72">
        <v>6</v>
      </c>
      <c r="X72">
        <v>40.926833333333299</v>
      </c>
      <c r="Y72" t="b">
        <v>1</v>
      </c>
      <c r="Z72" t="b">
        <v>0</v>
      </c>
      <c r="AA72" t="b">
        <v>0</v>
      </c>
      <c r="AB72">
        <v>0</v>
      </c>
      <c r="AC72" t="s">
        <v>34</v>
      </c>
      <c r="AE72" t="s">
        <v>35</v>
      </c>
      <c r="AF72" t="s">
        <v>43</v>
      </c>
      <c r="AG72">
        <v>0</v>
      </c>
      <c r="AH72">
        <v>203.50399999999999</v>
      </c>
      <c r="AI72" t="s">
        <v>43</v>
      </c>
      <c r="AJ72">
        <v>30.885000000000002</v>
      </c>
      <c r="AK72">
        <v>1.9339999999999999</v>
      </c>
      <c r="AL72" t="s">
        <v>43</v>
      </c>
      <c r="AM72">
        <v>47.353000000000002</v>
      </c>
      <c r="AN72">
        <v>5.6420000000000003</v>
      </c>
      <c r="AO72" t="s">
        <v>43</v>
      </c>
      <c r="AP72">
        <v>63.408999999999999</v>
      </c>
      <c r="AQ72">
        <v>9.3480000000000008</v>
      </c>
      <c r="AR72" t="s">
        <v>43</v>
      </c>
      <c r="AS72">
        <v>79.114999999999995</v>
      </c>
      <c r="AT72">
        <v>13.643000000000001</v>
      </c>
      <c r="AU72" t="s">
        <v>43</v>
      </c>
      <c r="AV72">
        <v>100.006</v>
      </c>
      <c r="AW72">
        <v>11.49</v>
      </c>
    </row>
    <row r="73" spans="1:71" x14ac:dyDescent="0.2">
      <c r="A73" t="s">
        <v>36</v>
      </c>
      <c r="B73" t="s">
        <v>28</v>
      </c>
      <c r="C73" t="s">
        <v>79</v>
      </c>
      <c r="D73">
        <v>12</v>
      </c>
      <c r="E73">
        <v>4089</v>
      </c>
      <c r="F73" t="s">
        <v>49</v>
      </c>
      <c r="G73" t="s">
        <v>30</v>
      </c>
      <c r="H73">
        <v>139.089</v>
      </c>
      <c r="I73" t="s">
        <v>40</v>
      </c>
      <c r="J73" t="s">
        <v>41</v>
      </c>
      <c r="K73" t="b">
        <v>0</v>
      </c>
      <c r="L73" t="b">
        <v>0</v>
      </c>
      <c r="M73" t="b">
        <v>0</v>
      </c>
      <c r="N73" t="b">
        <v>0</v>
      </c>
      <c r="O73" t="b">
        <v>0</v>
      </c>
      <c r="P73" t="b">
        <v>0</v>
      </c>
      <c r="Q73" t="b">
        <v>0</v>
      </c>
      <c r="R73" t="b">
        <v>0</v>
      </c>
      <c r="S73" t="b">
        <v>0</v>
      </c>
      <c r="U73">
        <v>1</v>
      </c>
      <c r="V73">
        <v>2</v>
      </c>
      <c r="W73">
        <v>3</v>
      </c>
      <c r="X73">
        <v>45.635666666666602</v>
      </c>
      <c r="Y73" t="b">
        <v>1</v>
      </c>
      <c r="Z73" t="b">
        <v>1</v>
      </c>
      <c r="AA73" t="b">
        <v>0</v>
      </c>
      <c r="AB73">
        <v>0</v>
      </c>
      <c r="AC73" t="s">
        <v>34</v>
      </c>
      <c r="AD73">
        <v>0</v>
      </c>
      <c r="AE73" t="s">
        <v>43</v>
      </c>
      <c r="AF73">
        <v>0</v>
      </c>
      <c r="AG73">
        <v>122.776</v>
      </c>
      <c r="AI73" t="s">
        <v>35</v>
      </c>
      <c r="AJ73" t="s">
        <v>42</v>
      </c>
      <c r="AK73">
        <v>31.3</v>
      </c>
      <c r="AL73">
        <v>3.6110000000000002</v>
      </c>
      <c r="AM73" t="s">
        <v>42</v>
      </c>
      <c r="AN73">
        <v>37.095999999999997</v>
      </c>
      <c r="AO73">
        <v>2.218</v>
      </c>
      <c r="AP73" t="s">
        <v>42</v>
      </c>
      <c r="AQ73">
        <v>44.334000000000003</v>
      </c>
      <c r="AR73">
        <v>2.7370000000000001</v>
      </c>
      <c r="AS73" t="s">
        <v>42</v>
      </c>
      <c r="AT73">
        <v>52.805999999999997</v>
      </c>
      <c r="AU73">
        <v>4.1139999999999999</v>
      </c>
      <c r="AV73" t="s">
        <v>42</v>
      </c>
      <c r="AW73">
        <v>60.497999999999998</v>
      </c>
      <c r="AX73">
        <v>4.125</v>
      </c>
      <c r="AY73" t="s">
        <v>51</v>
      </c>
      <c r="AZ73">
        <v>72.906999999999996</v>
      </c>
      <c r="BA73">
        <v>7.3609999999999998</v>
      </c>
      <c r="BB73" t="s">
        <v>51</v>
      </c>
      <c r="BC73">
        <v>101.473</v>
      </c>
      <c r="BD73">
        <v>6.77</v>
      </c>
    </row>
    <row r="74" spans="1:71" x14ac:dyDescent="0.2">
      <c r="A74" t="s">
        <v>36</v>
      </c>
      <c r="B74" t="s">
        <v>44</v>
      </c>
      <c r="C74" t="s">
        <v>78</v>
      </c>
      <c r="D74">
        <v>12</v>
      </c>
      <c r="E74">
        <v>4980</v>
      </c>
      <c r="F74" t="s">
        <v>46</v>
      </c>
      <c r="G74" t="s">
        <v>39</v>
      </c>
      <c r="H74">
        <v>0</v>
      </c>
      <c r="I74" t="s">
        <v>40</v>
      </c>
      <c r="J74" t="s">
        <v>32</v>
      </c>
      <c r="K74" t="b">
        <v>0</v>
      </c>
      <c r="L74" t="b">
        <v>1</v>
      </c>
      <c r="M74" t="b">
        <v>0</v>
      </c>
      <c r="N74" t="b">
        <v>0</v>
      </c>
      <c r="O74" t="b">
        <v>0</v>
      </c>
      <c r="P74" t="b">
        <v>0</v>
      </c>
      <c r="Q74" t="b">
        <v>0</v>
      </c>
      <c r="R74" t="b">
        <v>0</v>
      </c>
      <c r="S74" t="b">
        <v>0</v>
      </c>
      <c r="T74" t="s">
        <v>90</v>
      </c>
      <c r="U74">
        <v>1</v>
      </c>
      <c r="V74">
        <v>2</v>
      </c>
      <c r="W74">
        <v>3</v>
      </c>
      <c r="X74">
        <v>45.932666666666599</v>
      </c>
      <c r="Y74" t="b">
        <v>1</v>
      </c>
      <c r="Z74" t="b">
        <v>1</v>
      </c>
      <c r="AA74" t="b">
        <v>0</v>
      </c>
      <c r="AB74">
        <v>0</v>
      </c>
      <c r="AC74" t="s">
        <v>34</v>
      </c>
      <c r="AD74">
        <v>0</v>
      </c>
      <c r="AE74" t="s">
        <v>43</v>
      </c>
      <c r="AF74">
        <v>0</v>
      </c>
      <c r="AG74">
        <v>126.753</v>
      </c>
      <c r="AI74" t="s">
        <v>35</v>
      </c>
      <c r="AJ74" t="s">
        <v>43</v>
      </c>
      <c r="AK74">
        <v>17.122</v>
      </c>
      <c r="AL74">
        <v>4.1479999999999997</v>
      </c>
      <c r="AM74" t="s">
        <v>51</v>
      </c>
      <c r="AN74">
        <v>24.972999999999999</v>
      </c>
      <c r="AO74">
        <v>6.8970000000000002</v>
      </c>
      <c r="AP74" t="s">
        <v>42</v>
      </c>
      <c r="AQ74">
        <v>45.392000000000003</v>
      </c>
      <c r="AR74">
        <v>11.35</v>
      </c>
      <c r="AS74" t="s">
        <v>42</v>
      </c>
      <c r="AT74">
        <v>61.154000000000003</v>
      </c>
      <c r="AU74">
        <v>4.8490000000000002</v>
      </c>
    </row>
    <row r="75" spans="1:71" x14ac:dyDescent="0.2">
      <c r="A75" t="s">
        <v>36</v>
      </c>
      <c r="B75" t="s">
        <v>55</v>
      </c>
      <c r="C75" t="s">
        <v>58</v>
      </c>
      <c r="D75">
        <v>13</v>
      </c>
      <c r="E75">
        <v>4104</v>
      </c>
      <c r="F75" t="s">
        <v>46</v>
      </c>
      <c r="G75" t="s">
        <v>39</v>
      </c>
      <c r="H75">
        <v>0</v>
      </c>
      <c r="I75" t="s">
        <v>57</v>
      </c>
      <c r="J75" t="s">
        <v>50</v>
      </c>
      <c r="K75" t="b">
        <v>0</v>
      </c>
      <c r="L75" t="b">
        <v>0</v>
      </c>
      <c r="M75" t="b">
        <v>0</v>
      </c>
      <c r="N75" t="b">
        <v>0</v>
      </c>
      <c r="O75" t="b">
        <v>0</v>
      </c>
      <c r="P75" t="b">
        <v>0</v>
      </c>
      <c r="Q75" t="b">
        <v>0</v>
      </c>
      <c r="R75" t="b">
        <v>0</v>
      </c>
      <c r="S75" t="b">
        <v>0</v>
      </c>
      <c r="U75">
        <v>1</v>
      </c>
      <c r="V75">
        <v>0</v>
      </c>
      <c r="W75">
        <v>1</v>
      </c>
      <c r="X75">
        <v>196.04499999999999</v>
      </c>
      <c r="Y75" t="b">
        <v>1</v>
      </c>
      <c r="Z75" t="b">
        <v>0</v>
      </c>
      <c r="AA75" t="b">
        <v>0</v>
      </c>
      <c r="AB75">
        <v>0</v>
      </c>
      <c r="AC75" t="s">
        <v>34</v>
      </c>
      <c r="AD75">
        <v>0</v>
      </c>
      <c r="AE75" t="s">
        <v>43</v>
      </c>
      <c r="AF75">
        <v>0</v>
      </c>
      <c r="AG75">
        <v>196.04499999999999</v>
      </c>
      <c r="AI75" t="s">
        <v>35</v>
      </c>
      <c r="AJ75" t="s">
        <v>42</v>
      </c>
      <c r="AK75">
        <v>44.417000000000002</v>
      </c>
      <c r="AL75">
        <v>11.981999999999999</v>
      </c>
    </row>
    <row r="76" spans="1:71" x14ac:dyDescent="0.2">
      <c r="A76" t="s">
        <v>36</v>
      </c>
      <c r="B76" t="s">
        <v>47</v>
      </c>
      <c r="C76" t="s">
        <v>48</v>
      </c>
      <c r="D76">
        <v>13</v>
      </c>
      <c r="E76">
        <v>3574</v>
      </c>
      <c r="F76" t="s">
        <v>53</v>
      </c>
      <c r="G76" t="s">
        <v>39</v>
      </c>
      <c r="H76">
        <v>0</v>
      </c>
      <c r="I76" t="s">
        <v>40</v>
      </c>
      <c r="J76" t="s">
        <v>32</v>
      </c>
      <c r="K76" t="b">
        <v>1</v>
      </c>
      <c r="L76" t="b">
        <v>0</v>
      </c>
      <c r="M76" t="b">
        <v>0</v>
      </c>
      <c r="N76" t="b">
        <v>0</v>
      </c>
      <c r="O76" t="b">
        <v>0</v>
      </c>
      <c r="P76" t="b">
        <v>0</v>
      </c>
      <c r="Q76" t="b">
        <v>0</v>
      </c>
      <c r="R76" t="b">
        <v>0</v>
      </c>
      <c r="S76" t="b">
        <v>0</v>
      </c>
      <c r="U76">
        <v>1</v>
      </c>
      <c r="V76">
        <v>6</v>
      </c>
      <c r="W76">
        <v>7</v>
      </c>
      <c r="X76">
        <v>36.794857142857097</v>
      </c>
      <c r="Y76" t="b">
        <v>1</v>
      </c>
      <c r="Z76" t="b">
        <v>0</v>
      </c>
      <c r="AA76" t="b">
        <v>0</v>
      </c>
      <c r="AB76">
        <v>0</v>
      </c>
      <c r="AC76" t="s">
        <v>34</v>
      </c>
      <c r="AD76">
        <v>0</v>
      </c>
      <c r="AE76" t="s">
        <v>43</v>
      </c>
      <c r="AF76">
        <v>0</v>
      </c>
      <c r="AG76">
        <v>191.15600000000001</v>
      </c>
      <c r="AI76" t="s">
        <v>35</v>
      </c>
      <c r="AJ76" t="s">
        <v>43</v>
      </c>
      <c r="AK76">
        <v>23.666</v>
      </c>
      <c r="AL76">
        <v>9.6839999999999993</v>
      </c>
      <c r="AM76" t="s">
        <v>43</v>
      </c>
      <c r="AN76">
        <v>36.85</v>
      </c>
      <c r="AO76">
        <v>3.2</v>
      </c>
      <c r="AP76" t="s">
        <v>42</v>
      </c>
      <c r="AQ76">
        <v>52.584000000000003</v>
      </c>
      <c r="AR76">
        <v>5.47</v>
      </c>
      <c r="AS76" t="s">
        <v>43</v>
      </c>
      <c r="AT76">
        <v>61.768000000000001</v>
      </c>
      <c r="AU76">
        <v>6.2160000000000002</v>
      </c>
      <c r="AV76" t="s">
        <v>43</v>
      </c>
      <c r="AW76">
        <v>84.802999999999997</v>
      </c>
      <c r="AX76">
        <v>34.052</v>
      </c>
      <c r="AY76" t="s">
        <v>43</v>
      </c>
      <c r="AZ76">
        <v>124.6</v>
      </c>
      <c r="BA76">
        <v>8.3849999999999998</v>
      </c>
      <c r="BB76" t="s">
        <v>43</v>
      </c>
      <c r="BC76">
        <v>144.77199999999999</v>
      </c>
      <c r="BD76">
        <v>4.8710000000000004</v>
      </c>
    </row>
    <row r="77" spans="1:71" x14ac:dyDescent="0.2">
      <c r="A77" t="s">
        <v>36</v>
      </c>
      <c r="B77" t="s">
        <v>37</v>
      </c>
      <c r="C77" t="s">
        <v>38</v>
      </c>
      <c r="D77">
        <v>13</v>
      </c>
      <c r="E77">
        <v>6343</v>
      </c>
      <c r="F77" t="s">
        <v>49</v>
      </c>
      <c r="G77" t="s">
        <v>39</v>
      </c>
      <c r="H77">
        <v>133.80600000000001</v>
      </c>
      <c r="I77" t="s">
        <v>40</v>
      </c>
      <c r="J77" t="s">
        <v>41</v>
      </c>
      <c r="K77" t="b">
        <v>0</v>
      </c>
      <c r="L77" t="b">
        <v>0</v>
      </c>
      <c r="M77" t="b">
        <v>0</v>
      </c>
      <c r="N77" t="b">
        <v>0</v>
      </c>
      <c r="O77" t="b">
        <v>0</v>
      </c>
      <c r="P77" t="b">
        <v>0</v>
      </c>
      <c r="Q77" t="b">
        <v>0</v>
      </c>
      <c r="R77" t="b">
        <v>0</v>
      </c>
      <c r="S77" t="b">
        <v>0</v>
      </c>
      <c r="U77">
        <v>1</v>
      </c>
      <c r="V77">
        <v>4</v>
      </c>
      <c r="W77">
        <v>5</v>
      </c>
      <c r="X77">
        <v>27.846800000000002</v>
      </c>
      <c r="Y77" t="b">
        <v>1</v>
      </c>
      <c r="Z77" t="b">
        <v>1</v>
      </c>
      <c r="AA77" t="b">
        <v>0</v>
      </c>
      <c r="AB77">
        <v>0</v>
      </c>
      <c r="AC77" t="s">
        <v>34</v>
      </c>
      <c r="AD77">
        <v>0</v>
      </c>
      <c r="AE77" t="s">
        <v>43</v>
      </c>
      <c r="AF77">
        <v>0</v>
      </c>
      <c r="AG77">
        <v>108.447</v>
      </c>
      <c r="AI77" t="s">
        <v>35</v>
      </c>
      <c r="AJ77" t="s">
        <v>51</v>
      </c>
      <c r="AK77">
        <v>15.484</v>
      </c>
      <c r="AL77">
        <v>0.752</v>
      </c>
      <c r="AM77" t="s">
        <v>42</v>
      </c>
      <c r="AN77">
        <v>18.212</v>
      </c>
      <c r="AO77">
        <v>14.869</v>
      </c>
      <c r="AP77" t="s">
        <v>51</v>
      </c>
      <c r="AQ77">
        <v>43.713999999999999</v>
      </c>
      <c r="AR77">
        <v>8.4930000000000003</v>
      </c>
      <c r="AS77" t="s">
        <v>51</v>
      </c>
      <c r="AT77">
        <v>64.631</v>
      </c>
      <c r="AU77">
        <v>8.2780000000000005</v>
      </c>
      <c r="AV77" t="s">
        <v>51</v>
      </c>
      <c r="AW77">
        <v>97.132999999999996</v>
      </c>
      <c r="AX77">
        <v>13.263999999999999</v>
      </c>
    </row>
    <row r="78" spans="1:71" x14ac:dyDescent="0.2">
      <c r="A78" t="s">
        <v>36</v>
      </c>
      <c r="B78" t="s">
        <v>28</v>
      </c>
      <c r="C78" t="s">
        <v>52</v>
      </c>
      <c r="D78">
        <v>13</v>
      </c>
      <c r="E78">
        <v>4061</v>
      </c>
      <c r="F78" t="s">
        <v>53</v>
      </c>
      <c r="G78" t="s">
        <v>39</v>
      </c>
      <c r="H78">
        <v>0</v>
      </c>
      <c r="I78" t="s">
        <v>40</v>
      </c>
      <c r="J78" t="s">
        <v>32</v>
      </c>
      <c r="K78" t="b">
        <v>0</v>
      </c>
      <c r="L78" t="b">
        <v>0</v>
      </c>
      <c r="M78" t="b">
        <v>0</v>
      </c>
      <c r="N78" t="b">
        <v>0</v>
      </c>
      <c r="O78" t="b">
        <v>0</v>
      </c>
      <c r="P78" t="b">
        <v>0</v>
      </c>
      <c r="Q78" t="b">
        <v>0</v>
      </c>
      <c r="R78" t="b">
        <v>0</v>
      </c>
      <c r="S78" t="b">
        <v>0</v>
      </c>
      <c r="U78">
        <v>0</v>
      </c>
      <c r="V78">
        <v>1</v>
      </c>
      <c r="W78">
        <v>1</v>
      </c>
      <c r="X78">
        <v>17.135000000000002</v>
      </c>
      <c r="Y78" t="b">
        <v>0</v>
      </c>
      <c r="Z78" t="b">
        <v>1</v>
      </c>
      <c r="AA78" t="b">
        <v>0</v>
      </c>
      <c r="AB78">
        <v>0</v>
      </c>
      <c r="AC78" t="s">
        <v>34</v>
      </c>
      <c r="AD78">
        <v>0</v>
      </c>
      <c r="AE78" t="s">
        <v>42</v>
      </c>
      <c r="AF78">
        <v>0</v>
      </c>
      <c r="AG78">
        <v>32.192999999999998</v>
      </c>
      <c r="AI78" t="s">
        <v>35</v>
      </c>
      <c r="AJ78" t="s">
        <v>51</v>
      </c>
      <c r="AK78">
        <v>44.395000000000003</v>
      </c>
      <c r="AL78">
        <v>17.135000000000002</v>
      </c>
      <c r="AM78" t="s">
        <v>42</v>
      </c>
      <c r="AN78">
        <v>96.162000000000006</v>
      </c>
      <c r="AO78">
        <v>29.614000000000001</v>
      </c>
    </row>
    <row r="79" spans="1:71" x14ac:dyDescent="0.2">
      <c r="A79" t="s">
        <v>36</v>
      </c>
      <c r="B79" t="s">
        <v>28</v>
      </c>
      <c r="C79" t="s">
        <v>79</v>
      </c>
      <c r="D79">
        <v>13</v>
      </c>
      <c r="E79">
        <v>4061</v>
      </c>
      <c r="F79" t="s">
        <v>53</v>
      </c>
      <c r="G79" t="s">
        <v>39</v>
      </c>
      <c r="H79">
        <v>142.21600000000001</v>
      </c>
      <c r="I79" t="s">
        <v>54</v>
      </c>
      <c r="J79" t="s">
        <v>50</v>
      </c>
      <c r="K79" t="b">
        <v>0</v>
      </c>
      <c r="L79" t="b">
        <v>0</v>
      </c>
      <c r="M79" t="b">
        <v>0</v>
      </c>
      <c r="N79" t="b">
        <v>0</v>
      </c>
      <c r="O79" t="b">
        <v>0</v>
      </c>
      <c r="P79" t="b">
        <v>0</v>
      </c>
      <c r="Q79" t="b">
        <v>0</v>
      </c>
      <c r="R79" t="b">
        <v>0</v>
      </c>
      <c r="S79" t="b">
        <v>0</v>
      </c>
      <c r="U79">
        <v>0</v>
      </c>
      <c r="V79">
        <v>2</v>
      </c>
      <c r="W79">
        <v>2</v>
      </c>
      <c r="X79">
        <v>21.018000000000001</v>
      </c>
      <c r="Y79" t="b">
        <v>0</v>
      </c>
      <c r="Z79" t="b">
        <v>1</v>
      </c>
      <c r="AA79" t="b">
        <v>0</v>
      </c>
      <c r="AB79">
        <v>0</v>
      </c>
      <c r="AC79" t="s">
        <v>34</v>
      </c>
      <c r="AE79" t="s">
        <v>35</v>
      </c>
      <c r="AF79" t="s">
        <v>42</v>
      </c>
      <c r="AG79">
        <v>0</v>
      </c>
      <c r="AH79">
        <v>178.673</v>
      </c>
      <c r="AI79" t="s">
        <v>51</v>
      </c>
      <c r="AJ79">
        <v>56.293999999999997</v>
      </c>
      <c r="AK79">
        <v>9.3670000000000009</v>
      </c>
      <c r="AL79" t="s">
        <v>42</v>
      </c>
      <c r="AM79">
        <v>81.094999999999999</v>
      </c>
      <c r="AN79">
        <v>13.34</v>
      </c>
      <c r="AO79" t="s">
        <v>51</v>
      </c>
      <c r="AP79">
        <v>94.834000000000003</v>
      </c>
      <c r="AQ79">
        <v>32.668999999999997</v>
      </c>
    </row>
    <row r="80" spans="1:71" x14ac:dyDescent="0.2">
      <c r="A80" t="s">
        <v>36</v>
      </c>
      <c r="B80" t="s">
        <v>44</v>
      </c>
      <c r="C80" t="s">
        <v>78</v>
      </c>
      <c r="D80">
        <v>13</v>
      </c>
      <c r="E80">
        <v>9613</v>
      </c>
      <c r="F80" t="s">
        <v>49</v>
      </c>
      <c r="G80" t="s">
        <v>30</v>
      </c>
      <c r="H80">
        <v>133.57300000000001</v>
      </c>
      <c r="I80" t="s">
        <v>57</v>
      </c>
      <c r="J80" t="s">
        <v>50</v>
      </c>
      <c r="K80" t="b">
        <v>0</v>
      </c>
      <c r="L80" t="b">
        <v>0</v>
      </c>
      <c r="M80" t="b">
        <v>0</v>
      </c>
      <c r="N80" t="b">
        <v>0</v>
      </c>
      <c r="O80" t="b">
        <v>0</v>
      </c>
      <c r="P80" t="b">
        <v>0</v>
      </c>
      <c r="Q80" t="b">
        <v>0</v>
      </c>
      <c r="R80" t="b">
        <v>0</v>
      </c>
      <c r="S80" t="b">
        <v>0</v>
      </c>
      <c r="U80">
        <v>1</v>
      </c>
      <c r="V80">
        <v>3</v>
      </c>
      <c r="W80">
        <v>4</v>
      </c>
      <c r="X80">
        <v>23.462</v>
      </c>
      <c r="Y80" t="b">
        <v>1</v>
      </c>
      <c r="Z80" t="b">
        <v>0</v>
      </c>
      <c r="AA80" t="b">
        <v>0</v>
      </c>
      <c r="AB80">
        <v>0</v>
      </c>
      <c r="AC80" t="s">
        <v>34</v>
      </c>
      <c r="AD80">
        <v>0</v>
      </c>
      <c r="AE80" t="s">
        <v>43</v>
      </c>
      <c r="AF80">
        <v>0</v>
      </c>
      <c r="AG80">
        <v>53.57</v>
      </c>
      <c r="AI80" t="s">
        <v>35</v>
      </c>
      <c r="AJ80" t="s">
        <v>43</v>
      </c>
      <c r="AK80">
        <v>28.742999999999999</v>
      </c>
      <c r="AL80">
        <v>10.285</v>
      </c>
      <c r="AM80" t="s">
        <v>43</v>
      </c>
      <c r="AN80">
        <v>51.789000000000001</v>
      </c>
      <c r="AO80">
        <v>10.835000000000001</v>
      </c>
      <c r="AP80" t="s">
        <v>43</v>
      </c>
      <c r="AQ80">
        <v>75.408000000000001</v>
      </c>
      <c r="AR80">
        <v>19.158000000000001</v>
      </c>
    </row>
    <row r="81" spans="1:78" x14ac:dyDescent="0.2">
      <c r="A81" t="s">
        <v>36</v>
      </c>
      <c r="B81" t="s">
        <v>55</v>
      </c>
      <c r="C81" t="s">
        <v>58</v>
      </c>
      <c r="D81">
        <v>14</v>
      </c>
      <c r="E81">
        <v>4692</v>
      </c>
      <c r="F81" t="s">
        <v>49</v>
      </c>
      <c r="G81" t="s">
        <v>30</v>
      </c>
      <c r="H81">
        <v>0</v>
      </c>
      <c r="I81" t="s">
        <v>54</v>
      </c>
      <c r="J81" t="s">
        <v>41</v>
      </c>
      <c r="K81" t="b">
        <v>0</v>
      </c>
      <c r="L81" t="b">
        <v>0</v>
      </c>
      <c r="M81" t="b">
        <v>0</v>
      </c>
      <c r="N81" t="b">
        <v>0</v>
      </c>
      <c r="O81" t="b">
        <v>0</v>
      </c>
      <c r="P81" t="b">
        <v>0</v>
      </c>
      <c r="Q81" t="b">
        <v>0</v>
      </c>
      <c r="R81" t="b">
        <v>0</v>
      </c>
      <c r="S81" t="b">
        <v>0</v>
      </c>
      <c r="U81">
        <v>0</v>
      </c>
      <c r="V81">
        <v>1</v>
      </c>
      <c r="W81">
        <v>1</v>
      </c>
      <c r="X81">
        <v>177.72900000000001</v>
      </c>
      <c r="Y81" t="b">
        <v>0</v>
      </c>
      <c r="Z81" t="b">
        <v>1</v>
      </c>
      <c r="AA81" t="b">
        <v>0</v>
      </c>
      <c r="AB81">
        <v>0</v>
      </c>
      <c r="AC81" t="s">
        <v>34</v>
      </c>
      <c r="AE81" t="s">
        <v>35</v>
      </c>
      <c r="AF81" t="s">
        <v>51</v>
      </c>
      <c r="AG81">
        <v>0</v>
      </c>
      <c r="AH81">
        <v>177.72900000000001</v>
      </c>
    </row>
    <row r="82" spans="1:78" x14ac:dyDescent="0.2">
      <c r="A82" t="s">
        <v>36</v>
      </c>
      <c r="B82" t="s">
        <v>47</v>
      </c>
      <c r="C82" t="s">
        <v>48</v>
      </c>
      <c r="D82">
        <v>14</v>
      </c>
      <c r="E82">
        <v>3876</v>
      </c>
      <c r="F82" t="s">
        <v>53</v>
      </c>
      <c r="G82" t="s">
        <v>39</v>
      </c>
      <c r="H82">
        <v>142.37200000000001</v>
      </c>
      <c r="I82" t="s">
        <v>57</v>
      </c>
      <c r="J82" t="s">
        <v>50</v>
      </c>
      <c r="K82" t="b">
        <v>0</v>
      </c>
      <c r="L82" t="b">
        <v>0</v>
      </c>
      <c r="M82" t="b">
        <v>0</v>
      </c>
      <c r="N82" t="b">
        <v>0</v>
      </c>
      <c r="O82" t="b">
        <v>0</v>
      </c>
      <c r="P82" t="b">
        <v>0</v>
      </c>
      <c r="Q82" t="b">
        <v>0</v>
      </c>
      <c r="R82" t="b">
        <v>0</v>
      </c>
      <c r="S82" t="b">
        <v>0</v>
      </c>
      <c r="T82" t="s">
        <v>91</v>
      </c>
      <c r="U82">
        <v>1</v>
      </c>
      <c r="V82">
        <v>4</v>
      </c>
      <c r="W82">
        <v>5</v>
      </c>
      <c r="X82">
        <v>54.028599999999997</v>
      </c>
      <c r="Y82" t="b">
        <v>1</v>
      </c>
      <c r="Z82" t="b">
        <v>1</v>
      </c>
      <c r="AA82" t="b">
        <v>0</v>
      </c>
      <c r="AB82">
        <v>0</v>
      </c>
      <c r="AC82" t="s">
        <v>34</v>
      </c>
      <c r="AD82">
        <v>0</v>
      </c>
      <c r="AE82" t="s">
        <v>43</v>
      </c>
      <c r="AF82">
        <v>0</v>
      </c>
      <c r="AG82">
        <v>197.809</v>
      </c>
      <c r="AI82" t="s">
        <v>35</v>
      </c>
      <c r="AJ82" t="s">
        <v>43</v>
      </c>
      <c r="AK82">
        <v>9.0030000000000001</v>
      </c>
      <c r="AL82">
        <v>49.831000000000003</v>
      </c>
      <c r="AM82" t="s">
        <v>42</v>
      </c>
      <c r="AN82">
        <v>80.784999999999997</v>
      </c>
      <c r="AO82">
        <v>4.6689999999999996</v>
      </c>
      <c r="AP82" t="s">
        <v>51</v>
      </c>
      <c r="AQ82">
        <v>86.016999999999996</v>
      </c>
      <c r="AR82">
        <v>8.77</v>
      </c>
      <c r="AS82" t="s">
        <v>43</v>
      </c>
      <c r="AT82">
        <v>99.870999999999995</v>
      </c>
      <c r="AU82">
        <v>0.434</v>
      </c>
      <c r="AV82" t="s">
        <v>43</v>
      </c>
      <c r="AW82">
        <v>122.24</v>
      </c>
      <c r="AX82">
        <v>13.298999999999999</v>
      </c>
    </row>
    <row r="83" spans="1:78" x14ac:dyDescent="0.2">
      <c r="A83" t="s">
        <v>36</v>
      </c>
      <c r="B83" t="s">
        <v>37</v>
      </c>
      <c r="C83" t="s">
        <v>38</v>
      </c>
      <c r="D83">
        <v>14</v>
      </c>
      <c r="E83">
        <v>6443</v>
      </c>
      <c r="F83" t="s">
        <v>46</v>
      </c>
      <c r="G83" t="s">
        <v>39</v>
      </c>
      <c r="H83">
        <v>156.06</v>
      </c>
      <c r="I83" t="s">
        <v>40</v>
      </c>
      <c r="J83" t="s">
        <v>50</v>
      </c>
      <c r="K83" t="b">
        <v>0</v>
      </c>
      <c r="L83" t="b">
        <v>0</v>
      </c>
      <c r="M83" t="b">
        <v>0</v>
      </c>
      <c r="N83" t="b">
        <v>0</v>
      </c>
      <c r="O83" t="b">
        <v>0</v>
      </c>
      <c r="P83" t="b">
        <v>0</v>
      </c>
      <c r="Q83" t="b">
        <v>0</v>
      </c>
      <c r="R83" t="b">
        <v>0</v>
      </c>
      <c r="S83" t="b">
        <v>0</v>
      </c>
      <c r="U83">
        <v>4</v>
      </c>
      <c r="V83">
        <v>6</v>
      </c>
      <c r="W83">
        <v>10</v>
      </c>
      <c r="X83">
        <v>23.157599999999999</v>
      </c>
      <c r="Y83" t="b">
        <v>1</v>
      </c>
      <c r="Z83" t="b">
        <v>1</v>
      </c>
      <c r="AA83" t="b">
        <v>0</v>
      </c>
      <c r="AB83">
        <v>0</v>
      </c>
      <c r="AC83" t="s">
        <v>34</v>
      </c>
      <c r="AD83">
        <v>0</v>
      </c>
      <c r="AE83" t="s">
        <v>43</v>
      </c>
      <c r="AF83">
        <v>0</v>
      </c>
      <c r="AG83">
        <v>182.77600000000001</v>
      </c>
      <c r="AH83">
        <v>3</v>
      </c>
      <c r="AI83" t="s">
        <v>51</v>
      </c>
      <c r="AJ83">
        <v>2.6859999999999999</v>
      </c>
      <c r="AK83">
        <v>1.4890000000000001</v>
      </c>
      <c r="AL83">
        <v>1</v>
      </c>
      <c r="AM83" t="s">
        <v>43</v>
      </c>
      <c r="AN83">
        <v>5.8040000000000003</v>
      </c>
      <c r="AO83">
        <v>0.96799999999999997</v>
      </c>
      <c r="AP83">
        <v>5</v>
      </c>
      <c r="AQ83" t="s">
        <v>43</v>
      </c>
      <c r="AR83">
        <v>7.7039999999999997</v>
      </c>
      <c r="AS83">
        <v>1.768</v>
      </c>
      <c r="AU83" t="s">
        <v>35</v>
      </c>
      <c r="AV83" t="s">
        <v>43</v>
      </c>
      <c r="AW83">
        <v>22.74</v>
      </c>
      <c r="AX83">
        <v>5.6559999999999997</v>
      </c>
      <c r="AY83" t="s">
        <v>43</v>
      </c>
      <c r="AZ83">
        <v>32.363999999999997</v>
      </c>
      <c r="BA83">
        <v>5.7220000000000004</v>
      </c>
      <c r="BB83" t="s">
        <v>43</v>
      </c>
      <c r="BC83">
        <v>45.781999999999996</v>
      </c>
      <c r="BD83">
        <v>5.4809999999999999</v>
      </c>
      <c r="BE83" t="s">
        <v>42</v>
      </c>
      <c r="BF83">
        <v>63.494999999999997</v>
      </c>
      <c r="BG83">
        <v>9.4890000000000008</v>
      </c>
      <c r="BH83" t="s">
        <v>43</v>
      </c>
      <c r="BI83">
        <v>75.046999999999997</v>
      </c>
      <c r="BJ83">
        <v>3.831</v>
      </c>
      <c r="BK83" t="s">
        <v>51</v>
      </c>
      <c r="BL83">
        <v>87.171000000000006</v>
      </c>
      <c r="BM83">
        <v>6.8920000000000003</v>
      </c>
      <c r="BN83" t="s">
        <v>42</v>
      </c>
      <c r="BO83">
        <v>94.885999999999996</v>
      </c>
      <c r="BP83">
        <v>3.5390000000000001</v>
      </c>
      <c r="BQ83" t="s">
        <v>43</v>
      </c>
      <c r="BR83">
        <v>100.41200000000001</v>
      </c>
      <c r="BS83">
        <v>16.992999999999999</v>
      </c>
    </row>
    <row r="84" spans="1:78" x14ac:dyDescent="0.2">
      <c r="A84" t="s">
        <v>36</v>
      </c>
      <c r="B84" t="s">
        <v>28</v>
      </c>
      <c r="C84" t="s">
        <v>52</v>
      </c>
      <c r="D84">
        <v>14</v>
      </c>
      <c r="E84">
        <v>2811</v>
      </c>
      <c r="F84" t="s">
        <v>49</v>
      </c>
      <c r="G84" t="s">
        <v>39</v>
      </c>
      <c r="H84">
        <v>140.76</v>
      </c>
      <c r="I84" t="s">
        <v>40</v>
      </c>
      <c r="J84" t="s">
        <v>41</v>
      </c>
      <c r="K84" t="b">
        <v>0</v>
      </c>
      <c r="L84" t="b">
        <v>0</v>
      </c>
      <c r="M84" t="b">
        <v>0</v>
      </c>
      <c r="N84" t="b">
        <v>0</v>
      </c>
      <c r="O84" t="b">
        <v>0</v>
      </c>
      <c r="P84" t="b">
        <v>0</v>
      </c>
      <c r="Q84" t="b">
        <v>0</v>
      </c>
      <c r="R84" t="b">
        <v>0</v>
      </c>
      <c r="S84" t="b">
        <v>0</v>
      </c>
      <c r="U84">
        <v>2</v>
      </c>
      <c r="V84">
        <v>13</v>
      </c>
      <c r="W84">
        <v>15</v>
      </c>
      <c r="X84">
        <v>6.8236666666666599</v>
      </c>
      <c r="Y84" t="b">
        <v>1</v>
      </c>
      <c r="Z84" t="b">
        <v>1</v>
      </c>
      <c r="AA84" t="b">
        <v>1</v>
      </c>
      <c r="AB84">
        <v>1</v>
      </c>
      <c r="AC84" t="s">
        <v>34</v>
      </c>
      <c r="AD84">
        <v>0</v>
      </c>
      <c r="AE84" t="s">
        <v>43</v>
      </c>
      <c r="AF84">
        <v>0</v>
      </c>
      <c r="AG84">
        <v>28.195</v>
      </c>
      <c r="AH84">
        <v>4</v>
      </c>
      <c r="AI84" t="s">
        <v>43</v>
      </c>
      <c r="AJ84">
        <v>8.5820000000000007</v>
      </c>
      <c r="AK84">
        <v>2.4359999999999999</v>
      </c>
      <c r="AM84" t="s">
        <v>35</v>
      </c>
      <c r="AN84" t="s">
        <v>51</v>
      </c>
      <c r="AO84">
        <v>19.776</v>
      </c>
      <c r="AP84">
        <v>6.0250000000000004</v>
      </c>
      <c r="AQ84" t="s">
        <v>43</v>
      </c>
      <c r="AR84">
        <v>31.911000000000001</v>
      </c>
      <c r="AS84">
        <v>6.2770000000000001</v>
      </c>
      <c r="AT84" t="s">
        <v>43</v>
      </c>
      <c r="AU84">
        <v>39.573</v>
      </c>
      <c r="AV84">
        <v>2.0840000000000001</v>
      </c>
      <c r="AW84" t="s">
        <v>43</v>
      </c>
      <c r="AX84">
        <v>43.277999999999999</v>
      </c>
      <c r="AY84">
        <v>1.569</v>
      </c>
      <c r="AZ84" t="s">
        <v>43</v>
      </c>
      <c r="BA84">
        <v>53.762</v>
      </c>
      <c r="BB84">
        <v>8.6440000000000001</v>
      </c>
      <c r="BC84" t="s">
        <v>43</v>
      </c>
      <c r="BD84">
        <v>69.304000000000002</v>
      </c>
      <c r="BE84">
        <v>4.4640000000000004</v>
      </c>
      <c r="BF84" t="s">
        <v>43</v>
      </c>
      <c r="BG84">
        <v>79.75</v>
      </c>
      <c r="BH84">
        <v>3.5209999999999999</v>
      </c>
      <c r="BI84" t="s">
        <v>43</v>
      </c>
      <c r="BJ84">
        <v>87.927000000000007</v>
      </c>
      <c r="BK84">
        <v>4.5490000000000004</v>
      </c>
      <c r="BL84" t="s">
        <v>43</v>
      </c>
      <c r="BM84">
        <v>95.378</v>
      </c>
      <c r="BN84">
        <v>2.4540000000000002</v>
      </c>
      <c r="BO84" t="s">
        <v>43</v>
      </c>
      <c r="BP84">
        <v>102.625</v>
      </c>
      <c r="BQ84">
        <v>5.24</v>
      </c>
      <c r="BR84" t="s">
        <v>43</v>
      </c>
      <c r="BS84">
        <v>111.43600000000001</v>
      </c>
      <c r="BT84">
        <v>5.46</v>
      </c>
      <c r="BU84" t="s">
        <v>43</v>
      </c>
      <c r="BV84">
        <v>121.548</v>
      </c>
      <c r="BW84">
        <v>6.31</v>
      </c>
      <c r="BX84" t="s">
        <v>81</v>
      </c>
      <c r="BY84">
        <v>132.077</v>
      </c>
      <c r="BZ84">
        <v>15.127000000000001</v>
      </c>
    </row>
    <row r="85" spans="1:78" x14ac:dyDescent="0.2">
      <c r="A85" t="s">
        <v>36</v>
      </c>
      <c r="B85" t="s">
        <v>44</v>
      </c>
      <c r="C85" t="s">
        <v>78</v>
      </c>
      <c r="D85">
        <v>14</v>
      </c>
      <c r="E85">
        <v>492</v>
      </c>
      <c r="F85" t="s">
        <v>46</v>
      </c>
      <c r="G85" t="s">
        <v>30</v>
      </c>
      <c r="H85">
        <v>0</v>
      </c>
      <c r="I85" t="s">
        <v>40</v>
      </c>
      <c r="J85" t="s">
        <v>32</v>
      </c>
      <c r="K85" t="b">
        <v>1</v>
      </c>
      <c r="L85" t="b">
        <v>0</v>
      </c>
      <c r="M85" t="b">
        <v>0</v>
      </c>
      <c r="N85" t="b">
        <v>0</v>
      </c>
      <c r="O85" t="b">
        <v>0</v>
      </c>
      <c r="P85" t="b">
        <v>0</v>
      </c>
      <c r="Q85" t="b">
        <v>0</v>
      </c>
      <c r="R85" t="b">
        <v>0</v>
      </c>
      <c r="S85" t="b">
        <v>0</v>
      </c>
      <c r="U85">
        <v>1</v>
      </c>
      <c r="V85">
        <v>5</v>
      </c>
      <c r="W85">
        <v>6</v>
      </c>
      <c r="X85">
        <v>11.3485</v>
      </c>
      <c r="Y85" t="b">
        <v>1</v>
      </c>
      <c r="Z85" t="b">
        <v>1</v>
      </c>
      <c r="AA85" t="b">
        <v>0</v>
      </c>
      <c r="AB85">
        <v>0</v>
      </c>
      <c r="AC85" t="s">
        <v>34</v>
      </c>
      <c r="AD85">
        <v>0</v>
      </c>
      <c r="AE85" t="s">
        <v>43</v>
      </c>
      <c r="AF85">
        <v>0</v>
      </c>
      <c r="AG85">
        <v>34.527000000000001</v>
      </c>
      <c r="AI85" t="s">
        <v>35</v>
      </c>
      <c r="AJ85" t="s">
        <v>51</v>
      </c>
      <c r="AK85">
        <v>37.22</v>
      </c>
      <c r="AL85">
        <v>16.483000000000001</v>
      </c>
      <c r="AM85" t="s">
        <v>42</v>
      </c>
      <c r="AN85">
        <v>84.787999999999997</v>
      </c>
      <c r="AO85">
        <v>9.4329999999999998</v>
      </c>
      <c r="AP85" t="s">
        <v>43</v>
      </c>
      <c r="AQ85">
        <v>95.185000000000002</v>
      </c>
      <c r="AR85">
        <v>3.2389999999999999</v>
      </c>
      <c r="AS85" t="s">
        <v>43</v>
      </c>
      <c r="AT85">
        <v>110.56</v>
      </c>
      <c r="AU85">
        <v>1.7390000000000001</v>
      </c>
      <c r="AV85" t="s">
        <v>43</v>
      </c>
      <c r="AW85">
        <v>116.33199999999999</v>
      </c>
      <c r="AX85">
        <v>0.56999999999999995</v>
      </c>
      <c r="AY85" t="s">
        <v>43</v>
      </c>
      <c r="AZ85">
        <v>123.03</v>
      </c>
      <c r="BA85">
        <v>11.532999999999999</v>
      </c>
    </row>
    <row r="86" spans="1:78" x14ac:dyDescent="0.2">
      <c r="A86" t="s">
        <v>36</v>
      </c>
      <c r="B86" t="s">
        <v>28</v>
      </c>
      <c r="C86" t="s">
        <v>79</v>
      </c>
      <c r="D86">
        <v>14</v>
      </c>
      <c r="E86">
        <v>2811</v>
      </c>
      <c r="F86" t="s">
        <v>49</v>
      </c>
      <c r="G86" t="s">
        <v>39</v>
      </c>
      <c r="H86">
        <v>144.71299999999999</v>
      </c>
      <c r="I86" t="s">
        <v>40</v>
      </c>
      <c r="J86" t="s">
        <v>41</v>
      </c>
      <c r="K86" t="b">
        <v>0</v>
      </c>
      <c r="L86" t="b">
        <v>0</v>
      </c>
      <c r="M86" t="b">
        <v>0</v>
      </c>
      <c r="N86" t="b">
        <v>0</v>
      </c>
      <c r="O86" t="b">
        <v>0</v>
      </c>
      <c r="P86" t="b">
        <v>0</v>
      </c>
      <c r="Q86" t="b">
        <v>0</v>
      </c>
      <c r="R86" t="b">
        <v>0</v>
      </c>
      <c r="S86" t="b">
        <v>0</v>
      </c>
      <c r="U86">
        <v>0</v>
      </c>
      <c r="V86">
        <v>13</v>
      </c>
      <c r="W86">
        <v>13</v>
      </c>
      <c r="X86">
        <v>5.4809999999999999</v>
      </c>
      <c r="Y86" t="b">
        <v>1</v>
      </c>
      <c r="Z86" t="b">
        <v>1</v>
      </c>
      <c r="AA86" t="b">
        <v>1</v>
      </c>
      <c r="AB86">
        <v>1</v>
      </c>
      <c r="AC86" t="s">
        <v>34</v>
      </c>
      <c r="AD86">
        <v>-1</v>
      </c>
      <c r="AE86" t="s">
        <v>42</v>
      </c>
      <c r="AF86">
        <v>11.089</v>
      </c>
      <c r="AG86">
        <v>1.6739999999999999</v>
      </c>
      <c r="AI86" t="s">
        <v>35</v>
      </c>
      <c r="AJ86" t="s">
        <v>51</v>
      </c>
      <c r="AK86">
        <v>23.986000000000001</v>
      </c>
      <c r="AL86">
        <v>2.718</v>
      </c>
      <c r="AM86" t="s">
        <v>43</v>
      </c>
      <c r="AN86">
        <v>31.42</v>
      </c>
      <c r="AO86">
        <v>7.57</v>
      </c>
      <c r="AP86" t="s">
        <v>43</v>
      </c>
      <c r="AQ86">
        <v>41.337000000000003</v>
      </c>
      <c r="AR86">
        <v>1.0660000000000001</v>
      </c>
      <c r="AS86" t="s">
        <v>43</v>
      </c>
      <c r="AT86">
        <v>43.82</v>
      </c>
      <c r="AU86">
        <v>2.1709999999999998</v>
      </c>
      <c r="AV86" t="s">
        <v>43</v>
      </c>
      <c r="AW86">
        <v>54.292999999999999</v>
      </c>
      <c r="AX86">
        <v>8.6980000000000004</v>
      </c>
      <c r="AY86" t="s">
        <v>43</v>
      </c>
      <c r="AZ86">
        <v>70.031999999999996</v>
      </c>
      <c r="BA86">
        <v>4.2039999999999997</v>
      </c>
      <c r="BB86" t="s">
        <v>43</v>
      </c>
      <c r="BC86">
        <v>80.242000000000004</v>
      </c>
      <c r="BD86">
        <v>3.7210000000000001</v>
      </c>
      <c r="BE86" t="s">
        <v>43</v>
      </c>
      <c r="BF86">
        <v>85.492000000000004</v>
      </c>
      <c r="BG86">
        <v>7.8239999999999998</v>
      </c>
      <c r="BH86" t="s">
        <v>43</v>
      </c>
      <c r="BI86">
        <v>95.447000000000003</v>
      </c>
      <c r="BJ86">
        <v>2.8839999999999999</v>
      </c>
      <c r="BK86" t="s">
        <v>43</v>
      </c>
      <c r="BL86">
        <v>103.49299999999999</v>
      </c>
      <c r="BM86">
        <v>4.7149999999999999</v>
      </c>
      <c r="BN86" t="s">
        <v>43</v>
      </c>
      <c r="BO86">
        <v>111.758</v>
      </c>
      <c r="BP86">
        <v>3.7829999999999999</v>
      </c>
      <c r="BQ86" t="s">
        <v>43</v>
      </c>
      <c r="BR86">
        <v>121.81100000000001</v>
      </c>
      <c r="BS86">
        <v>6.4809999999999999</v>
      </c>
      <c r="BT86" t="s">
        <v>81</v>
      </c>
      <c r="BU86">
        <v>133.49799999999999</v>
      </c>
      <c r="BV86">
        <v>15.417999999999999</v>
      </c>
    </row>
    <row r="87" spans="1:78" x14ac:dyDescent="0.2">
      <c r="A87" t="s">
        <v>36</v>
      </c>
      <c r="B87" t="s">
        <v>28</v>
      </c>
      <c r="C87" t="s">
        <v>52</v>
      </c>
      <c r="D87">
        <v>15</v>
      </c>
      <c r="E87">
        <v>8532</v>
      </c>
      <c r="F87" t="s">
        <v>46</v>
      </c>
      <c r="G87" t="s">
        <v>30</v>
      </c>
      <c r="H87">
        <v>0</v>
      </c>
      <c r="I87" t="s">
        <v>54</v>
      </c>
      <c r="J87" t="s">
        <v>32</v>
      </c>
      <c r="K87" t="b">
        <v>0</v>
      </c>
      <c r="L87" t="b">
        <v>0</v>
      </c>
      <c r="M87" t="b">
        <v>0</v>
      </c>
      <c r="N87" t="b">
        <v>0</v>
      </c>
      <c r="O87" t="b">
        <v>0</v>
      </c>
      <c r="P87" t="b">
        <v>0</v>
      </c>
      <c r="Q87" t="b">
        <v>0</v>
      </c>
      <c r="R87" t="b">
        <v>0</v>
      </c>
      <c r="S87" t="b">
        <v>0</v>
      </c>
      <c r="T87" t="s">
        <v>92</v>
      </c>
      <c r="U87">
        <v>0</v>
      </c>
      <c r="V87">
        <v>6</v>
      </c>
      <c r="W87">
        <v>6</v>
      </c>
      <c r="X87">
        <v>21.341666666666601</v>
      </c>
      <c r="Y87" t="b">
        <v>1</v>
      </c>
      <c r="Z87" t="b">
        <v>1</v>
      </c>
      <c r="AA87" t="b">
        <v>0</v>
      </c>
      <c r="AB87">
        <v>0</v>
      </c>
      <c r="AC87" t="s">
        <v>34</v>
      </c>
      <c r="AE87" t="s">
        <v>35</v>
      </c>
      <c r="AF87" t="s">
        <v>51</v>
      </c>
      <c r="AG87">
        <v>0</v>
      </c>
      <c r="AH87">
        <v>83.986999999999995</v>
      </c>
      <c r="AI87" t="s">
        <v>51</v>
      </c>
      <c r="AJ87">
        <v>37.392000000000003</v>
      </c>
      <c r="AK87">
        <v>9.8960000000000008</v>
      </c>
      <c r="AL87" t="s">
        <v>51</v>
      </c>
      <c r="AM87">
        <v>66.034999999999997</v>
      </c>
      <c r="AN87">
        <v>11.032</v>
      </c>
      <c r="AO87" t="s">
        <v>51</v>
      </c>
      <c r="AP87">
        <v>88.117999999999995</v>
      </c>
      <c r="AQ87">
        <v>8.39</v>
      </c>
      <c r="AR87" t="s">
        <v>51</v>
      </c>
      <c r="AS87">
        <v>108.001</v>
      </c>
      <c r="AT87">
        <v>10.101000000000001</v>
      </c>
      <c r="AU87" t="s">
        <v>43</v>
      </c>
      <c r="AV87">
        <v>126.83199999999999</v>
      </c>
      <c r="AW87">
        <v>4.6440000000000001</v>
      </c>
      <c r="AX87" t="s">
        <v>42</v>
      </c>
      <c r="AY87">
        <v>142.655</v>
      </c>
      <c r="AZ87">
        <v>11.744999999999999</v>
      </c>
    </row>
    <row r="88" spans="1:78" x14ac:dyDescent="0.2">
      <c r="A88" t="s">
        <v>36</v>
      </c>
      <c r="B88" t="s">
        <v>44</v>
      </c>
      <c r="C88" t="s">
        <v>78</v>
      </c>
      <c r="D88">
        <v>15</v>
      </c>
      <c r="E88">
        <v>4131</v>
      </c>
      <c r="F88" t="s">
        <v>49</v>
      </c>
      <c r="G88" t="s">
        <v>39</v>
      </c>
      <c r="H88">
        <v>0</v>
      </c>
      <c r="I88" t="s">
        <v>40</v>
      </c>
      <c r="J88" t="s">
        <v>32</v>
      </c>
      <c r="K88" t="b">
        <v>0</v>
      </c>
      <c r="L88" t="b">
        <v>0</v>
      </c>
      <c r="M88" t="b">
        <v>0</v>
      </c>
      <c r="N88" t="b">
        <v>0</v>
      </c>
      <c r="O88" t="b">
        <v>0</v>
      </c>
      <c r="P88" t="b">
        <v>0</v>
      </c>
      <c r="Q88" t="b">
        <v>0</v>
      </c>
      <c r="R88" t="b">
        <v>0</v>
      </c>
      <c r="S88" t="b">
        <v>0</v>
      </c>
      <c r="U88">
        <v>1</v>
      </c>
      <c r="V88">
        <v>6</v>
      </c>
      <c r="W88">
        <v>7</v>
      </c>
      <c r="X88">
        <v>10.3167142857142</v>
      </c>
      <c r="Y88" t="b">
        <v>1</v>
      </c>
      <c r="Z88" t="b">
        <v>0</v>
      </c>
      <c r="AA88" t="b">
        <v>0</v>
      </c>
      <c r="AB88">
        <v>0</v>
      </c>
      <c r="AC88" t="s">
        <v>34</v>
      </c>
      <c r="AD88">
        <v>0</v>
      </c>
      <c r="AE88" t="s">
        <v>43</v>
      </c>
      <c r="AF88">
        <v>0</v>
      </c>
      <c r="AG88">
        <v>37.768999999999998</v>
      </c>
      <c r="AI88" t="s">
        <v>35</v>
      </c>
      <c r="AJ88" t="s">
        <v>43</v>
      </c>
      <c r="AK88">
        <v>17.555</v>
      </c>
      <c r="AL88">
        <v>8.9380000000000006</v>
      </c>
      <c r="AM88" t="s">
        <v>43</v>
      </c>
      <c r="AN88">
        <v>28.108000000000001</v>
      </c>
      <c r="AO88">
        <v>3.7789999999999999</v>
      </c>
      <c r="AP88" t="s">
        <v>43</v>
      </c>
      <c r="AQ88">
        <v>36.122999999999998</v>
      </c>
      <c r="AR88">
        <v>5.8070000000000004</v>
      </c>
      <c r="AS88" t="s">
        <v>43</v>
      </c>
      <c r="AT88">
        <v>48.753999999999998</v>
      </c>
      <c r="AU88">
        <v>1.9239999999999999</v>
      </c>
      <c r="AV88" t="s">
        <v>43</v>
      </c>
      <c r="AW88">
        <v>61.856999999999999</v>
      </c>
      <c r="AX88">
        <v>8.7010000000000005</v>
      </c>
      <c r="AY88" t="s">
        <v>43</v>
      </c>
      <c r="AZ88">
        <v>75.825999999999993</v>
      </c>
      <c r="BA88">
        <v>5.2990000000000004</v>
      </c>
      <c r="BB88" t="s">
        <v>42</v>
      </c>
      <c r="BC88">
        <v>92.492999999999995</v>
      </c>
      <c r="BD88">
        <v>12.071</v>
      </c>
    </row>
    <row r="89" spans="1:78" x14ac:dyDescent="0.2">
      <c r="A89" t="s">
        <v>36</v>
      </c>
      <c r="B89" t="s">
        <v>47</v>
      </c>
      <c r="C89" t="s">
        <v>52</v>
      </c>
      <c r="D89">
        <v>15</v>
      </c>
      <c r="E89">
        <v>4060</v>
      </c>
      <c r="F89" t="s">
        <v>53</v>
      </c>
      <c r="G89" t="s">
        <v>39</v>
      </c>
      <c r="H89">
        <v>159.22200000000001</v>
      </c>
      <c r="I89" t="s">
        <v>40</v>
      </c>
      <c r="J89" t="s">
        <v>50</v>
      </c>
      <c r="K89" t="b">
        <v>0</v>
      </c>
      <c r="L89" t="b">
        <v>0</v>
      </c>
      <c r="M89" t="b">
        <v>0</v>
      </c>
      <c r="N89" t="b">
        <v>0</v>
      </c>
      <c r="O89" t="b">
        <v>0</v>
      </c>
      <c r="P89" t="b">
        <v>0</v>
      </c>
      <c r="Q89" t="b">
        <v>0</v>
      </c>
      <c r="R89" t="b">
        <v>0</v>
      </c>
      <c r="S89" t="b">
        <v>0</v>
      </c>
      <c r="T89" t="s">
        <v>93</v>
      </c>
      <c r="U89">
        <v>1</v>
      </c>
      <c r="V89">
        <v>3</v>
      </c>
      <c r="W89">
        <v>4</v>
      </c>
      <c r="X89">
        <v>27.099</v>
      </c>
      <c r="Y89" t="b">
        <v>1</v>
      </c>
      <c r="Z89" t="b">
        <v>0</v>
      </c>
      <c r="AA89" t="b">
        <v>0</v>
      </c>
      <c r="AB89">
        <v>0</v>
      </c>
      <c r="AC89" t="s">
        <v>34</v>
      </c>
      <c r="AD89">
        <v>0</v>
      </c>
      <c r="AE89" t="s">
        <v>43</v>
      </c>
      <c r="AF89">
        <v>0</v>
      </c>
      <c r="AG89">
        <v>107.589</v>
      </c>
      <c r="AI89" t="s">
        <v>35</v>
      </c>
      <c r="AJ89" t="s">
        <v>43</v>
      </c>
      <c r="AK89">
        <v>33.478999999999999</v>
      </c>
      <c r="AL89">
        <v>0.28599999999999998</v>
      </c>
      <c r="AM89" t="s">
        <v>43</v>
      </c>
      <c r="AN89">
        <v>41.411000000000001</v>
      </c>
      <c r="AO89">
        <v>0.27</v>
      </c>
      <c r="AP89" t="s">
        <v>43</v>
      </c>
      <c r="AQ89">
        <v>63.06</v>
      </c>
      <c r="AR89">
        <v>0.251</v>
      </c>
      <c r="AS89" t="s">
        <v>42</v>
      </c>
      <c r="AT89">
        <v>107.934</v>
      </c>
      <c r="AU89">
        <v>11.234</v>
      </c>
    </row>
    <row r="90" spans="1:78" x14ac:dyDescent="0.2">
      <c r="A90" t="s">
        <v>36</v>
      </c>
      <c r="B90" t="s">
        <v>63</v>
      </c>
      <c r="C90" t="s">
        <v>79</v>
      </c>
      <c r="D90">
        <v>15</v>
      </c>
      <c r="E90">
        <v>3712</v>
      </c>
      <c r="F90" t="s">
        <v>53</v>
      </c>
      <c r="G90" t="s">
        <v>39</v>
      </c>
      <c r="H90">
        <v>135.40299999999999</v>
      </c>
      <c r="I90" t="s">
        <v>57</v>
      </c>
      <c r="J90" t="s">
        <v>41</v>
      </c>
      <c r="K90" t="b">
        <v>0</v>
      </c>
      <c r="L90" t="b">
        <v>0</v>
      </c>
      <c r="M90" t="b">
        <v>0</v>
      </c>
      <c r="N90" t="b">
        <v>0</v>
      </c>
      <c r="O90" t="b">
        <v>0</v>
      </c>
      <c r="P90" t="b">
        <v>0</v>
      </c>
      <c r="Q90" t="b">
        <v>0</v>
      </c>
      <c r="R90" t="b">
        <v>0</v>
      </c>
      <c r="S90" t="b">
        <v>0</v>
      </c>
      <c r="U90">
        <v>1</v>
      </c>
      <c r="V90">
        <v>1</v>
      </c>
      <c r="W90">
        <v>2</v>
      </c>
      <c r="X90">
        <v>60.677499999999903</v>
      </c>
      <c r="Y90" t="b">
        <v>1</v>
      </c>
      <c r="Z90" t="b">
        <v>0</v>
      </c>
      <c r="AA90" t="b">
        <v>0</v>
      </c>
      <c r="AB90">
        <v>0</v>
      </c>
      <c r="AC90" t="s">
        <v>34</v>
      </c>
      <c r="AD90">
        <v>0</v>
      </c>
      <c r="AE90" t="s">
        <v>43</v>
      </c>
      <c r="AF90">
        <v>0</v>
      </c>
      <c r="AG90">
        <v>109.95399999999999</v>
      </c>
      <c r="AI90" t="s">
        <v>35</v>
      </c>
      <c r="AJ90" t="s">
        <v>42</v>
      </c>
      <c r="AK90">
        <v>31.079000000000001</v>
      </c>
      <c r="AL90">
        <v>6.1180000000000003</v>
      </c>
      <c r="AM90" t="s">
        <v>43</v>
      </c>
      <c r="AN90">
        <v>49.646000000000001</v>
      </c>
      <c r="AO90">
        <v>11.401</v>
      </c>
      <c r="AP90" t="s">
        <v>42</v>
      </c>
      <c r="AQ90">
        <v>81.265000000000001</v>
      </c>
      <c r="AR90">
        <v>18.584</v>
      </c>
    </row>
    <row r="91" spans="1:78" x14ac:dyDescent="0.2">
      <c r="A91" t="s">
        <v>36</v>
      </c>
      <c r="B91" t="s">
        <v>28</v>
      </c>
      <c r="C91" t="s">
        <v>52</v>
      </c>
      <c r="D91">
        <v>16</v>
      </c>
      <c r="E91">
        <v>1318</v>
      </c>
      <c r="F91" t="s">
        <v>46</v>
      </c>
      <c r="G91" t="s">
        <v>39</v>
      </c>
      <c r="H91">
        <v>138.376</v>
      </c>
      <c r="I91" t="s">
        <v>40</v>
      </c>
      <c r="J91" t="s">
        <v>41</v>
      </c>
      <c r="K91" t="b">
        <v>0</v>
      </c>
      <c r="L91" t="b">
        <v>0</v>
      </c>
      <c r="M91" t="b">
        <v>0</v>
      </c>
      <c r="N91" t="b">
        <v>0</v>
      </c>
      <c r="O91" t="b">
        <v>0</v>
      </c>
      <c r="P91" t="b">
        <v>0</v>
      </c>
      <c r="Q91" t="b">
        <v>0</v>
      </c>
      <c r="R91" t="b">
        <v>0</v>
      </c>
      <c r="S91" t="b">
        <v>0</v>
      </c>
      <c r="U91">
        <v>4</v>
      </c>
      <c r="V91">
        <v>6</v>
      </c>
      <c r="W91">
        <v>10</v>
      </c>
      <c r="X91">
        <v>10.064499999999899</v>
      </c>
      <c r="Y91" t="b">
        <v>1</v>
      </c>
      <c r="Z91" t="b">
        <v>1</v>
      </c>
      <c r="AA91" t="b">
        <v>0</v>
      </c>
      <c r="AB91">
        <v>0</v>
      </c>
      <c r="AC91" t="s">
        <v>34</v>
      </c>
      <c r="AD91">
        <v>0</v>
      </c>
      <c r="AE91" t="s">
        <v>43</v>
      </c>
      <c r="AF91">
        <v>0</v>
      </c>
      <c r="AG91">
        <v>55.085000000000001</v>
      </c>
      <c r="AH91">
        <v>-1</v>
      </c>
      <c r="AI91" t="s">
        <v>43</v>
      </c>
      <c r="AJ91">
        <v>7.0940000000000003</v>
      </c>
      <c r="AK91">
        <v>1.605</v>
      </c>
      <c r="AL91">
        <v>-2</v>
      </c>
      <c r="AM91" t="s">
        <v>43</v>
      </c>
      <c r="AN91">
        <v>11.084</v>
      </c>
      <c r="AO91">
        <v>1.071</v>
      </c>
      <c r="AP91">
        <v>-3</v>
      </c>
      <c r="AQ91" t="s">
        <v>43</v>
      </c>
      <c r="AR91">
        <v>15.407999999999999</v>
      </c>
      <c r="AS91">
        <v>1.403</v>
      </c>
      <c r="AU91" t="s">
        <v>35</v>
      </c>
      <c r="AV91" t="s">
        <v>51</v>
      </c>
      <c r="AW91">
        <v>25.02</v>
      </c>
      <c r="AX91">
        <v>3.8879999999999999</v>
      </c>
      <c r="AY91" t="s">
        <v>51</v>
      </c>
      <c r="AZ91">
        <v>48.241999999999997</v>
      </c>
      <c r="BA91">
        <v>11.064</v>
      </c>
      <c r="BB91" t="s">
        <v>51</v>
      </c>
      <c r="BC91">
        <v>67.677000000000007</v>
      </c>
      <c r="BD91">
        <v>8.4629999999999992</v>
      </c>
      <c r="BE91" t="s">
        <v>51</v>
      </c>
      <c r="BF91">
        <v>82.62</v>
      </c>
      <c r="BG91">
        <v>8.2319999999999993</v>
      </c>
      <c r="BH91" t="s">
        <v>42</v>
      </c>
      <c r="BI91">
        <v>100.114</v>
      </c>
      <c r="BJ91">
        <v>7.18</v>
      </c>
      <c r="BK91" t="s">
        <v>51</v>
      </c>
      <c r="BL91">
        <v>113.523</v>
      </c>
      <c r="BM91">
        <v>1.9530000000000001</v>
      </c>
      <c r="BN91" t="s">
        <v>43</v>
      </c>
      <c r="BO91">
        <v>122.336</v>
      </c>
      <c r="BP91">
        <v>7.8810000000000002</v>
      </c>
    </row>
    <row r="92" spans="1:78" x14ac:dyDescent="0.2">
      <c r="A92" t="s">
        <v>36</v>
      </c>
      <c r="B92" t="s">
        <v>44</v>
      </c>
      <c r="C92" t="s">
        <v>78</v>
      </c>
      <c r="D92">
        <v>16</v>
      </c>
      <c r="E92">
        <v>4513</v>
      </c>
      <c r="F92" t="s">
        <v>53</v>
      </c>
      <c r="G92" t="s">
        <v>30</v>
      </c>
      <c r="H92">
        <v>119.869</v>
      </c>
      <c r="I92" t="s">
        <v>54</v>
      </c>
      <c r="J92" t="s">
        <v>41</v>
      </c>
      <c r="K92" t="b">
        <v>0</v>
      </c>
      <c r="L92" t="b">
        <v>0</v>
      </c>
      <c r="M92" t="b">
        <v>0</v>
      </c>
      <c r="N92" t="b">
        <v>0</v>
      </c>
      <c r="O92" t="b">
        <v>0</v>
      </c>
      <c r="P92" t="b">
        <v>0</v>
      </c>
      <c r="Q92" t="b">
        <v>0</v>
      </c>
      <c r="R92" t="b">
        <v>0</v>
      </c>
      <c r="S92" t="b">
        <v>0</v>
      </c>
      <c r="U92">
        <v>1</v>
      </c>
      <c r="V92">
        <v>4</v>
      </c>
      <c r="W92">
        <v>5</v>
      </c>
      <c r="X92">
        <v>13.997999999999999</v>
      </c>
      <c r="Y92" t="b">
        <v>1</v>
      </c>
      <c r="Z92" t="b">
        <v>0</v>
      </c>
      <c r="AA92" t="b">
        <v>0</v>
      </c>
      <c r="AB92">
        <v>0</v>
      </c>
      <c r="AC92" t="s">
        <v>34</v>
      </c>
      <c r="AD92">
        <v>0</v>
      </c>
      <c r="AE92" t="s">
        <v>43</v>
      </c>
      <c r="AF92">
        <v>0</v>
      </c>
      <c r="AG92">
        <v>47.472000000000001</v>
      </c>
      <c r="AI92" t="s">
        <v>35</v>
      </c>
      <c r="AJ92" t="s">
        <v>43</v>
      </c>
      <c r="AK92">
        <v>25.838000000000001</v>
      </c>
      <c r="AL92">
        <v>7.5289999999999999</v>
      </c>
      <c r="AM92" t="s">
        <v>43</v>
      </c>
      <c r="AN92">
        <v>38.844999999999999</v>
      </c>
      <c r="AO92">
        <v>4.4870000000000001</v>
      </c>
      <c r="AP92" t="s">
        <v>43</v>
      </c>
      <c r="AQ92">
        <v>55.387999999999998</v>
      </c>
      <c r="AR92">
        <v>4.8490000000000002</v>
      </c>
      <c r="AS92" t="s">
        <v>42</v>
      </c>
      <c r="AT92">
        <v>69.325999999999993</v>
      </c>
      <c r="AU92">
        <v>5.7949999999999999</v>
      </c>
      <c r="AV92" t="s">
        <v>42</v>
      </c>
      <c r="AW92">
        <v>81.786000000000001</v>
      </c>
      <c r="AX92">
        <v>18.486999999999998</v>
      </c>
      <c r="AY92" t="s">
        <v>43</v>
      </c>
      <c r="AZ92">
        <v>109.66200000000001</v>
      </c>
      <c r="BA92">
        <v>5.6529999999999996</v>
      </c>
    </row>
    <row r="93" spans="1:78" x14ac:dyDescent="0.2">
      <c r="A93" t="s">
        <v>36</v>
      </c>
      <c r="B93" t="s">
        <v>37</v>
      </c>
      <c r="C93" t="s">
        <v>45</v>
      </c>
      <c r="D93">
        <v>16</v>
      </c>
      <c r="E93">
        <v>9613</v>
      </c>
      <c r="F93" t="s">
        <v>53</v>
      </c>
      <c r="G93" t="s">
        <v>30</v>
      </c>
      <c r="H93">
        <v>0</v>
      </c>
      <c r="I93" t="s">
        <v>57</v>
      </c>
      <c r="J93" t="s">
        <v>32</v>
      </c>
      <c r="K93" t="b">
        <v>0</v>
      </c>
      <c r="L93" t="b">
        <v>0</v>
      </c>
      <c r="M93" t="b">
        <v>0</v>
      </c>
      <c r="N93" t="b">
        <v>0</v>
      </c>
      <c r="O93" t="b">
        <v>0</v>
      </c>
      <c r="P93" t="b">
        <v>0</v>
      </c>
      <c r="Q93" t="b">
        <v>0</v>
      </c>
      <c r="R93" t="b">
        <v>0</v>
      </c>
      <c r="S93" t="b">
        <v>0</v>
      </c>
      <c r="U93">
        <v>1</v>
      </c>
      <c r="V93">
        <v>3</v>
      </c>
      <c r="W93">
        <v>4</v>
      </c>
      <c r="X93">
        <v>25.771000000000001</v>
      </c>
      <c r="Y93" t="b">
        <v>1</v>
      </c>
      <c r="Z93" t="b">
        <v>0</v>
      </c>
      <c r="AA93" t="b">
        <v>0</v>
      </c>
      <c r="AB93">
        <v>0</v>
      </c>
      <c r="AC93" t="s">
        <v>34</v>
      </c>
      <c r="AD93">
        <v>0</v>
      </c>
      <c r="AE93" t="s">
        <v>43</v>
      </c>
      <c r="AF93">
        <v>0</v>
      </c>
      <c r="AG93">
        <v>65.040999999999997</v>
      </c>
      <c r="AI93" t="s">
        <v>35</v>
      </c>
      <c r="AJ93" t="s">
        <v>43</v>
      </c>
      <c r="AK93">
        <v>29.869</v>
      </c>
      <c r="AL93">
        <v>13.23</v>
      </c>
      <c r="AM93" t="s">
        <v>43</v>
      </c>
      <c r="AN93">
        <v>60.427</v>
      </c>
      <c r="AO93">
        <v>16.672999999999998</v>
      </c>
      <c r="AP93" t="s">
        <v>42</v>
      </c>
      <c r="AQ93">
        <v>93.643000000000001</v>
      </c>
      <c r="AR93">
        <v>12.68</v>
      </c>
      <c r="AS93" t="s">
        <v>43</v>
      </c>
      <c r="AT93">
        <v>120.057</v>
      </c>
      <c r="AU93">
        <v>8.14</v>
      </c>
    </row>
    <row r="94" spans="1:78" x14ac:dyDescent="0.2">
      <c r="A94" t="s">
        <v>36</v>
      </c>
      <c r="B94" t="s">
        <v>55</v>
      </c>
      <c r="C94" t="s">
        <v>64</v>
      </c>
      <c r="D94">
        <v>16</v>
      </c>
      <c r="E94">
        <v>6343</v>
      </c>
      <c r="F94" t="s">
        <v>66</v>
      </c>
      <c r="G94" t="s">
        <v>30</v>
      </c>
      <c r="H94">
        <v>0</v>
      </c>
      <c r="I94" t="s">
        <v>54</v>
      </c>
      <c r="J94" t="s">
        <v>32</v>
      </c>
      <c r="K94" t="b">
        <v>0</v>
      </c>
      <c r="L94" t="b">
        <v>0</v>
      </c>
      <c r="M94" t="b">
        <v>0</v>
      </c>
      <c r="N94" t="b">
        <v>0</v>
      </c>
      <c r="O94" t="b">
        <v>0</v>
      </c>
      <c r="P94" t="b">
        <v>0</v>
      </c>
      <c r="Q94" t="b">
        <v>0</v>
      </c>
      <c r="R94" t="b">
        <v>0</v>
      </c>
      <c r="S94" t="b">
        <v>0</v>
      </c>
      <c r="U94">
        <v>0</v>
      </c>
      <c r="V94">
        <v>6</v>
      </c>
      <c r="W94">
        <v>6</v>
      </c>
      <c r="X94">
        <v>2.5386666666666602</v>
      </c>
      <c r="Y94" t="b">
        <v>1</v>
      </c>
      <c r="Z94" t="b">
        <v>1</v>
      </c>
      <c r="AA94" t="b">
        <v>0</v>
      </c>
      <c r="AB94">
        <v>0</v>
      </c>
      <c r="AC94" t="s">
        <v>34</v>
      </c>
      <c r="AE94" t="s">
        <v>35</v>
      </c>
      <c r="AF94" t="s">
        <v>43</v>
      </c>
      <c r="AG94">
        <v>13.609</v>
      </c>
      <c r="AH94">
        <v>0.46300000000000002</v>
      </c>
      <c r="AI94" t="s">
        <v>43</v>
      </c>
      <c r="AJ94">
        <v>21.800999999999998</v>
      </c>
      <c r="AK94">
        <v>6.3849999999999998</v>
      </c>
      <c r="AL94" t="s">
        <v>51</v>
      </c>
      <c r="AM94">
        <v>42.975999999999999</v>
      </c>
      <c r="AN94">
        <v>0.96099999999999997</v>
      </c>
      <c r="AO94" t="s">
        <v>51</v>
      </c>
      <c r="AP94">
        <v>58.643999999999998</v>
      </c>
      <c r="AQ94">
        <v>4.3369999999999997</v>
      </c>
      <c r="AR94" t="s">
        <v>51</v>
      </c>
      <c r="AS94">
        <v>107.54600000000001</v>
      </c>
      <c r="AT94">
        <v>0.24199999999999999</v>
      </c>
      <c r="AU94" t="s">
        <v>51</v>
      </c>
      <c r="AV94">
        <v>113.301</v>
      </c>
      <c r="AW94">
        <v>2.8439999999999999</v>
      </c>
    </row>
    <row r="95" spans="1:78" x14ac:dyDescent="0.2">
      <c r="A95" t="s">
        <v>36</v>
      </c>
      <c r="B95" t="s">
        <v>63</v>
      </c>
      <c r="C95" t="s">
        <v>79</v>
      </c>
      <c r="D95">
        <v>16</v>
      </c>
      <c r="E95">
        <v>1595</v>
      </c>
      <c r="F95" t="s">
        <v>66</v>
      </c>
      <c r="G95" t="s">
        <v>39</v>
      </c>
      <c r="H95">
        <v>132.721</v>
      </c>
      <c r="I95" t="s">
        <v>40</v>
      </c>
      <c r="J95" t="s">
        <v>50</v>
      </c>
      <c r="K95" t="b">
        <v>0</v>
      </c>
      <c r="L95" t="b">
        <v>0</v>
      </c>
      <c r="M95" t="b">
        <v>0</v>
      </c>
      <c r="N95" t="b">
        <v>0</v>
      </c>
      <c r="O95" t="b">
        <v>0</v>
      </c>
      <c r="P95" t="b">
        <v>0</v>
      </c>
      <c r="Q95" t="b">
        <v>0</v>
      </c>
      <c r="R95" t="b">
        <v>0</v>
      </c>
      <c r="S95" t="b">
        <v>0</v>
      </c>
      <c r="T95" t="s">
        <v>94</v>
      </c>
      <c r="U95">
        <v>0</v>
      </c>
      <c r="V95">
        <v>4</v>
      </c>
      <c r="W95">
        <v>4</v>
      </c>
      <c r="X95">
        <v>6.8579999999999997</v>
      </c>
      <c r="Y95" t="b">
        <v>1</v>
      </c>
      <c r="Z95" t="b">
        <v>1</v>
      </c>
      <c r="AA95" t="b">
        <v>0</v>
      </c>
      <c r="AB95">
        <v>0</v>
      </c>
      <c r="AC95" t="s">
        <v>34</v>
      </c>
      <c r="AE95" t="s">
        <v>35</v>
      </c>
      <c r="AF95" t="s">
        <v>42</v>
      </c>
      <c r="AG95">
        <v>0</v>
      </c>
      <c r="AH95">
        <v>155.35499999999999</v>
      </c>
      <c r="AI95" t="s">
        <v>51</v>
      </c>
      <c r="AJ95">
        <v>34.777999999999999</v>
      </c>
      <c r="AK95">
        <v>5.4349999999999996</v>
      </c>
      <c r="AL95" t="s">
        <v>51</v>
      </c>
      <c r="AM95">
        <v>54.862000000000002</v>
      </c>
      <c r="AN95">
        <v>6.0209999999999999</v>
      </c>
      <c r="AO95" t="s">
        <v>42</v>
      </c>
      <c r="AP95">
        <v>67.912999999999997</v>
      </c>
      <c r="AQ95">
        <v>7.3819999999999997</v>
      </c>
      <c r="AR95" t="s">
        <v>43</v>
      </c>
      <c r="AS95">
        <v>92.864000000000004</v>
      </c>
      <c r="AT95">
        <v>9.1020000000000003</v>
      </c>
      <c r="AU95" t="s">
        <v>43</v>
      </c>
      <c r="AV95">
        <v>115.435</v>
      </c>
      <c r="AW95">
        <v>6.8739999999999997</v>
      </c>
      <c r="AX95" t="s">
        <v>42</v>
      </c>
      <c r="AY95">
        <v>124.902</v>
      </c>
      <c r="AZ95">
        <v>6.4980000000000002</v>
      </c>
    </row>
    <row r="96" spans="1:78" x14ac:dyDescent="0.2">
      <c r="A96" t="s">
        <v>36</v>
      </c>
      <c r="B96" t="s">
        <v>47</v>
      </c>
      <c r="C96" t="s">
        <v>52</v>
      </c>
      <c r="D96">
        <v>16</v>
      </c>
      <c r="E96">
        <v>4980</v>
      </c>
      <c r="F96" t="s">
        <v>46</v>
      </c>
      <c r="G96" t="s">
        <v>39</v>
      </c>
      <c r="H96">
        <v>0</v>
      </c>
      <c r="I96" t="s">
        <v>40</v>
      </c>
      <c r="J96" t="s">
        <v>32</v>
      </c>
      <c r="K96" t="b">
        <v>0</v>
      </c>
      <c r="L96" t="b">
        <v>1</v>
      </c>
      <c r="M96" t="b">
        <v>0</v>
      </c>
      <c r="N96" t="b">
        <v>0</v>
      </c>
      <c r="O96" t="b">
        <v>0</v>
      </c>
      <c r="P96" t="b">
        <v>0</v>
      </c>
      <c r="Q96" t="b">
        <v>0</v>
      </c>
      <c r="R96" t="b">
        <v>0</v>
      </c>
      <c r="S96" t="b">
        <v>0</v>
      </c>
      <c r="T96" t="s">
        <v>95</v>
      </c>
      <c r="U96">
        <v>1</v>
      </c>
      <c r="V96">
        <v>3</v>
      </c>
      <c r="W96">
        <v>4</v>
      </c>
      <c r="X96">
        <v>16.907</v>
      </c>
      <c r="Y96" t="b">
        <v>1</v>
      </c>
      <c r="Z96" t="b">
        <v>0</v>
      </c>
      <c r="AA96" t="b">
        <v>0</v>
      </c>
      <c r="AB96">
        <v>0</v>
      </c>
      <c r="AC96" t="s">
        <v>34</v>
      </c>
      <c r="AD96">
        <v>0</v>
      </c>
      <c r="AE96" t="s">
        <v>43</v>
      </c>
      <c r="AF96">
        <v>0</v>
      </c>
      <c r="AG96">
        <v>57.802999999999997</v>
      </c>
      <c r="AH96">
        <v>2</v>
      </c>
      <c r="AI96" t="s">
        <v>42</v>
      </c>
      <c r="AJ96">
        <v>20.704999999999998</v>
      </c>
      <c r="AK96">
        <v>0.745</v>
      </c>
      <c r="AM96" t="s">
        <v>35</v>
      </c>
      <c r="AN96" t="s">
        <v>42</v>
      </c>
      <c r="AO96">
        <v>28.521999999999998</v>
      </c>
      <c r="AP96">
        <v>0.248</v>
      </c>
      <c r="AQ96" t="s">
        <v>43</v>
      </c>
      <c r="AR96">
        <v>34.552</v>
      </c>
      <c r="AS96">
        <v>0.47</v>
      </c>
      <c r="AT96" t="s">
        <v>42</v>
      </c>
      <c r="AU96">
        <v>40.716999999999999</v>
      </c>
      <c r="AV96">
        <v>6.5030000000000001</v>
      </c>
      <c r="AW96" t="s">
        <v>43</v>
      </c>
      <c r="AX96">
        <v>56.552999999999997</v>
      </c>
      <c r="AY96">
        <v>9.1189999999999998</v>
      </c>
      <c r="AZ96" t="s">
        <v>43</v>
      </c>
      <c r="BA96">
        <v>74.519000000000005</v>
      </c>
      <c r="BB96">
        <v>0.23599999999999999</v>
      </c>
      <c r="BC96" t="s">
        <v>42</v>
      </c>
      <c r="BD96">
        <v>113.02</v>
      </c>
      <c r="BE96">
        <v>0.20300000000000001</v>
      </c>
    </row>
    <row r="97" spans="1:76" x14ac:dyDescent="0.2">
      <c r="A97" t="s">
        <v>36</v>
      </c>
      <c r="B97" t="s">
        <v>28</v>
      </c>
      <c r="C97" t="s">
        <v>52</v>
      </c>
      <c r="D97">
        <v>17</v>
      </c>
      <c r="E97">
        <v>5920</v>
      </c>
      <c r="F97" t="s">
        <v>53</v>
      </c>
      <c r="G97" t="s">
        <v>39</v>
      </c>
      <c r="H97">
        <v>144.755</v>
      </c>
      <c r="I97" t="s">
        <v>40</v>
      </c>
      <c r="J97" t="s">
        <v>41</v>
      </c>
      <c r="K97" t="b">
        <v>0</v>
      </c>
      <c r="L97" t="b">
        <v>0</v>
      </c>
      <c r="M97" t="b">
        <v>0</v>
      </c>
      <c r="N97" t="b">
        <v>0</v>
      </c>
      <c r="O97" t="b">
        <v>0</v>
      </c>
      <c r="P97" t="b">
        <v>0</v>
      </c>
      <c r="Q97" t="b">
        <v>0</v>
      </c>
      <c r="R97" t="b">
        <v>0</v>
      </c>
      <c r="S97" t="b">
        <v>0</v>
      </c>
      <c r="T97" t="s">
        <v>96</v>
      </c>
      <c r="U97">
        <v>1</v>
      </c>
      <c r="V97">
        <v>1</v>
      </c>
      <c r="W97">
        <v>2</v>
      </c>
      <c r="X97">
        <v>31.139499999999899</v>
      </c>
      <c r="Y97" t="b">
        <v>1</v>
      </c>
      <c r="Z97" t="b">
        <v>0</v>
      </c>
      <c r="AA97" t="b">
        <v>0</v>
      </c>
      <c r="AB97">
        <v>0</v>
      </c>
      <c r="AC97" t="s">
        <v>34</v>
      </c>
      <c r="AD97">
        <v>0</v>
      </c>
      <c r="AE97" t="s">
        <v>43</v>
      </c>
      <c r="AF97">
        <v>0</v>
      </c>
      <c r="AG97">
        <v>57.866999999999997</v>
      </c>
      <c r="AI97" t="s">
        <v>35</v>
      </c>
      <c r="AJ97" t="s">
        <v>43</v>
      </c>
      <c r="AK97">
        <v>24.538</v>
      </c>
      <c r="AL97">
        <v>4.4119999999999999</v>
      </c>
      <c r="AM97" t="s">
        <v>42</v>
      </c>
      <c r="AN97">
        <v>52.168999999999997</v>
      </c>
      <c r="AO97">
        <v>16.948</v>
      </c>
      <c r="AP97" t="s">
        <v>42</v>
      </c>
      <c r="AQ97">
        <v>76.408000000000001</v>
      </c>
      <c r="AR97">
        <v>9.5519999999999996</v>
      </c>
    </row>
    <row r="98" spans="1:76" x14ac:dyDescent="0.2">
      <c r="A98" t="s">
        <v>36</v>
      </c>
      <c r="B98" t="s">
        <v>44</v>
      </c>
      <c r="C98" t="s">
        <v>78</v>
      </c>
      <c r="D98">
        <v>17</v>
      </c>
      <c r="E98">
        <v>2811</v>
      </c>
      <c r="F98" t="s">
        <v>49</v>
      </c>
      <c r="G98" t="s">
        <v>39</v>
      </c>
      <c r="H98">
        <v>140.41999999999999</v>
      </c>
      <c r="I98" t="s">
        <v>40</v>
      </c>
      <c r="J98" t="s">
        <v>41</v>
      </c>
      <c r="K98" t="b">
        <v>0</v>
      </c>
      <c r="L98" t="b">
        <v>0</v>
      </c>
      <c r="M98" t="b">
        <v>0</v>
      </c>
      <c r="N98" t="b">
        <v>0</v>
      </c>
      <c r="O98" t="b">
        <v>0</v>
      </c>
      <c r="P98" t="b">
        <v>0</v>
      </c>
      <c r="Q98" t="b">
        <v>0</v>
      </c>
      <c r="R98" t="b">
        <v>0</v>
      </c>
      <c r="S98" t="b">
        <v>0</v>
      </c>
      <c r="U98">
        <v>2</v>
      </c>
      <c r="V98">
        <v>11</v>
      </c>
      <c r="W98">
        <v>13</v>
      </c>
      <c r="X98">
        <v>7.5439999999999996</v>
      </c>
      <c r="Y98" t="b">
        <v>1</v>
      </c>
      <c r="Z98" t="b">
        <v>1</v>
      </c>
      <c r="AA98" t="b">
        <v>1</v>
      </c>
      <c r="AB98">
        <v>1</v>
      </c>
      <c r="AC98" t="s">
        <v>34</v>
      </c>
      <c r="AD98">
        <v>0</v>
      </c>
      <c r="AE98" t="s">
        <v>43</v>
      </c>
      <c r="AF98">
        <v>0</v>
      </c>
      <c r="AG98">
        <v>35.368000000000002</v>
      </c>
      <c r="AH98">
        <v>-1</v>
      </c>
      <c r="AI98" t="s">
        <v>43</v>
      </c>
      <c r="AJ98">
        <v>10.846</v>
      </c>
      <c r="AK98">
        <v>0.97599999999999998</v>
      </c>
      <c r="AL98">
        <v>-2</v>
      </c>
      <c r="AM98" t="s">
        <v>42</v>
      </c>
      <c r="AN98">
        <v>13.922000000000001</v>
      </c>
      <c r="AO98">
        <v>2.637</v>
      </c>
      <c r="AQ98" t="s">
        <v>35</v>
      </c>
      <c r="AR98" t="s">
        <v>51</v>
      </c>
      <c r="AS98">
        <v>20.808</v>
      </c>
      <c r="AT98">
        <v>4.3650000000000002</v>
      </c>
      <c r="AU98" t="s">
        <v>51</v>
      </c>
      <c r="AV98">
        <v>27.582999999999998</v>
      </c>
      <c r="AW98">
        <v>5.7389999999999999</v>
      </c>
      <c r="AX98" t="s">
        <v>51</v>
      </c>
      <c r="AY98">
        <v>38.765999999999998</v>
      </c>
      <c r="AZ98">
        <v>4.165</v>
      </c>
      <c r="BA98" t="s">
        <v>43</v>
      </c>
      <c r="BB98">
        <v>49.103000000000002</v>
      </c>
      <c r="BC98">
        <v>4.2640000000000002</v>
      </c>
      <c r="BD98" t="s">
        <v>43</v>
      </c>
      <c r="BE98">
        <v>63.707000000000001</v>
      </c>
      <c r="BF98">
        <v>10.557</v>
      </c>
      <c r="BG98" t="s">
        <v>43</v>
      </c>
      <c r="BH98">
        <v>79.918999999999997</v>
      </c>
      <c r="BI98">
        <v>3.1030000000000002</v>
      </c>
      <c r="BJ98" t="s">
        <v>43</v>
      </c>
      <c r="BK98">
        <v>97.956000000000003</v>
      </c>
      <c r="BL98">
        <v>6.6849999999999996</v>
      </c>
      <c r="BM98" t="s">
        <v>43</v>
      </c>
      <c r="BN98">
        <v>107.818</v>
      </c>
      <c r="BO98">
        <v>1.8160000000000001</v>
      </c>
      <c r="BP98" t="s">
        <v>43</v>
      </c>
      <c r="BQ98">
        <v>113.11799999999999</v>
      </c>
      <c r="BR98">
        <v>3.375</v>
      </c>
      <c r="BS98" t="s">
        <v>43</v>
      </c>
      <c r="BT98">
        <v>118.56699999999999</v>
      </c>
      <c r="BU98">
        <v>3.4409999999999998</v>
      </c>
      <c r="BV98" t="s">
        <v>81</v>
      </c>
      <c r="BW98">
        <v>134.678</v>
      </c>
      <c r="BX98">
        <v>14.218</v>
      </c>
    </row>
    <row r="99" spans="1:76" x14ac:dyDescent="0.2">
      <c r="A99" t="s">
        <v>36</v>
      </c>
      <c r="B99" t="s">
        <v>37</v>
      </c>
      <c r="C99" t="s">
        <v>45</v>
      </c>
      <c r="D99">
        <v>17</v>
      </c>
      <c r="E99">
        <v>3574</v>
      </c>
      <c r="F99" t="s">
        <v>53</v>
      </c>
      <c r="G99" t="s">
        <v>39</v>
      </c>
      <c r="H99">
        <v>0</v>
      </c>
      <c r="I99" t="s">
        <v>40</v>
      </c>
      <c r="J99" t="s">
        <v>32</v>
      </c>
      <c r="K99" t="b">
        <v>0</v>
      </c>
      <c r="L99" t="b">
        <v>0</v>
      </c>
      <c r="M99" t="b">
        <v>0</v>
      </c>
      <c r="N99" t="b">
        <v>0</v>
      </c>
      <c r="O99" t="b">
        <v>0</v>
      </c>
      <c r="P99" t="b">
        <v>0</v>
      </c>
      <c r="Q99" t="b">
        <v>0</v>
      </c>
      <c r="R99" t="b">
        <v>0</v>
      </c>
      <c r="S99" t="b">
        <v>0</v>
      </c>
      <c r="T99" t="s">
        <v>97</v>
      </c>
      <c r="U99">
        <v>1</v>
      </c>
      <c r="V99">
        <v>4</v>
      </c>
      <c r="W99">
        <v>5</v>
      </c>
      <c r="X99">
        <v>40.644199999999998</v>
      </c>
      <c r="Y99" t="b">
        <v>1</v>
      </c>
      <c r="Z99" t="b">
        <v>0</v>
      </c>
      <c r="AA99" t="b">
        <v>0</v>
      </c>
      <c r="AB99">
        <v>0</v>
      </c>
      <c r="AC99" t="s">
        <v>34</v>
      </c>
      <c r="AD99">
        <v>0</v>
      </c>
      <c r="AE99" t="s">
        <v>43</v>
      </c>
      <c r="AF99">
        <v>0</v>
      </c>
      <c r="AG99">
        <v>144.233</v>
      </c>
      <c r="AI99" t="s">
        <v>35</v>
      </c>
      <c r="AJ99" t="s">
        <v>43</v>
      </c>
      <c r="AK99">
        <v>26.062000000000001</v>
      </c>
      <c r="AL99">
        <v>10.451000000000001</v>
      </c>
      <c r="AM99" t="s">
        <v>43</v>
      </c>
      <c r="AN99">
        <v>54.12</v>
      </c>
      <c r="AO99">
        <v>9.952</v>
      </c>
      <c r="AP99" t="s">
        <v>42</v>
      </c>
      <c r="AQ99">
        <v>80.915000000000006</v>
      </c>
      <c r="AR99">
        <v>8.2560000000000002</v>
      </c>
      <c r="AS99" t="s">
        <v>43</v>
      </c>
      <c r="AT99">
        <v>94.870999999999995</v>
      </c>
      <c r="AU99">
        <v>2</v>
      </c>
      <c r="AV99" t="s">
        <v>43</v>
      </c>
      <c r="AW99">
        <v>114.934</v>
      </c>
      <c r="AX99">
        <v>36.585000000000001</v>
      </c>
    </row>
    <row r="100" spans="1:76" x14ac:dyDescent="0.2">
      <c r="A100" t="s">
        <v>36</v>
      </c>
      <c r="B100" t="s">
        <v>47</v>
      </c>
      <c r="C100" t="s">
        <v>52</v>
      </c>
      <c r="D100">
        <v>17</v>
      </c>
      <c r="E100">
        <v>3876</v>
      </c>
      <c r="F100" t="s">
        <v>49</v>
      </c>
      <c r="G100" t="s">
        <v>30</v>
      </c>
      <c r="H100">
        <v>160.428</v>
      </c>
      <c r="I100" t="s">
        <v>57</v>
      </c>
      <c r="J100" t="s">
        <v>41</v>
      </c>
      <c r="K100" t="b">
        <v>0</v>
      </c>
      <c r="L100" t="b">
        <v>0</v>
      </c>
      <c r="M100" t="b">
        <v>0</v>
      </c>
      <c r="N100" t="b">
        <v>0</v>
      </c>
      <c r="O100" t="b">
        <v>0</v>
      </c>
      <c r="P100" t="b">
        <v>0</v>
      </c>
      <c r="Q100" t="b">
        <v>0</v>
      </c>
      <c r="R100" t="b">
        <v>0</v>
      </c>
      <c r="S100" t="b">
        <v>0</v>
      </c>
      <c r="T100" t="s">
        <v>98</v>
      </c>
      <c r="U100">
        <v>0</v>
      </c>
      <c r="V100">
        <v>1</v>
      </c>
      <c r="W100">
        <v>1</v>
      </c>
      <c r="X100">
        <v>14.62</v>
      </c>
      <c r="Y100" t="b">
        <v>1</v>
      </c>
      <c r="Z100" t="b">
        <v>0</v>
      </c>
      <c r="AA100" t="b">
        <v>0</v>
      </c>
      <c r="AB100">
        <v>0</v>
      </c>
      <c r="AC100" t="s">
        <v>34</v>
      </c>
      <c r="AD100">
        <v>0</v>
      </c>
      <c r="AE100" t="s">
        <v>42</v>
      </c>
      <c r="AF100">
        <v>0</v>
      </c>
      <c r="AG100">
        <v>87.658000000000001</v>
      </c>
      <c r="AI100" t="s">
        <v>35</v>
      </c>
      <c r="AJ100" t="s">
        <v>43</v>
      </c>
      <c r="AK100">
        <v>39.554000000000002</v>
      </c>
      <c r="AL100">
        <v>14.62</v>
      </c>
      <c r="AM100" t="s">
        <v>42</v>
      </c>
      <c r="AN100">
        <v>73.322999999999993</v>
      </c>
      <c r="AO100">
        <v>13.468999999999999</v>
      </c>
    </row>
    <row r="101" spans="1:76" x14ac:dyDescent="0.2">
      <c r="A101" t="s">
        <v>36</v>
      </c>
      <c r="B101" t="s">
        <v>63</v>
      </c>
      <c r="C101" t="s">
        <v>79</v>
      </c>
      <c r="D101">
        <v>17</v>
      </c>
      <c r="E101">
        <v>2147</v>
      </c>
      <c r="F101" t="s">
        <v>46</v>
      </c>
      <c r="G101" t="s">
        <v>39</v>
      </c>
      <c r="H101">
        <v>145.393</v>
      </c>
      <c r="I101" t="s">
        <v>40</v>
      </c>
      <c r="J101" t="s">
        <v>41</v>
      </c>
      <c r="K101" t="b">
        <v>1</v>
      </c>
      <c r="L101" t="b">
        <v>0</v>
      </c>
      <c r="M101" t="b">
        <v>0</v>
      </c>
      <c r="N101" t="b">
        <v>0</v>
      </c>
      <c r="O101" t="b">
        <v>0</v>
      </c>
      <c r="P101" t="b">
        <v>1</v>
      </c>
      <c r="Q101" t="b">
        <v>0</v>
      </c>
      <c r="R101" t="b">
        <v>0</v>
      </c>
      <c r="S101" t="b">
        <v>0</v>
      </c>
      <c r="T101" t="s">
        <v>99</v>
      </c>
      <c r="U101">
        <v>2</v>
      </c>
      <c r="V101">
        <v>1</v>
      </c>
      <c r="W101">
        <v>3</v>
      </c>
      <c r="X101">
        <v>40.731333333333303</v>
      </c>
      <c r="Y101" t="b">
        <v>1</v>
      </c>
      <c r="Z101" t="b">
        <v>0</v>
      </c>
      <c r="AA101" t="b">
        <v>0</v>
      </c>
      <c r="AB101">
        <v>0</v>
      </c>
      <c r="AC101" t="s">
        <v>34</v>
      </c>
      <c r="AD101">
        <v>0</v>
      </c>
      <c r="AE101" t="s">
        <v>43</v>
      </c>
      <c r="AF101">
        <v>0</v>
      </c>
      <c r="AG101">
        <v>109.01600000000001</v>
      </c>
      <c r="AH101">
        <v>-2</v>
      </c>
      <c r="AI101" t="s">
        <v>43</v>
      </c>
      <c r="AJ101">
        <v>6.4850000000000003</v>
      </c>
      <c r="AK101">
        <v>3.6440000000000001</v>
      </c>
      <c r="AM101" t="s">
        <v>35</v>
      </c>
      <c r="AN101" t="s">
        <v>43</v>
      </c>
      <c r="AO101">
        <v>21.501000000000001</v>
      </c>
      <c r="AP101">
        <v>9.5340000000000007</v>
      </c>
      <c r="AQ101" t="s">
        <v>42</v>
      </c>
      <c r="AR101">
        <v>46.167999999999999</v>
      </c>
      <c r="AS101">
        <v>5.968</v>
      </c>
      <c r="AT101" t="s">
        <v>42</v>
      </c>
      <c r="AU101">
        <v>52.591999999999999</v>
      </c>
      <c r="AV101">
        <v>6.0780000000000003</v>
      </c>
      <c r="AW101" t="s">
        <v>42</v>
      </c>
      <c r="AX101">
        <v>73.772999999999996</v>
      </c>
      <c r="AY101">
        <v>8.2970000000000006</v>
      </c>
    </row>
    <row r="102" spans="1:76" x14ac:dyDescent="0.2">
      <c r="A102" t="s">
        <v>36</v>
      </c>
      <c r="B102" t="s">
        <v>55</v>
      </c>
      <c r="C102" t="s">
        <v>64</v>
      </c>
      <c r="D102">
        <v>17</v>
      </c>
      <c r="E102">
        <v>5468</v>
      </c>
      <c r="F102" t="s">
        <v>53</v>
      </c>
      <c r="G102" t="s">
        <v>30</v>
      </c>
      <c r="H102">
        <v>0</v>
      </c>
      <c r="I102" t="s">
        <v>57</v>
      </c>
      <c r="J102" t="s">
        <v>32</v>
      </c>
      <c r="K102" t="b">
        <v>0</v>
      </c>
      <c r="L102" t="b">
        <v>0</v>
      </c>
      <c r="M102" t="b">
        <v>0</v>
      </c>
      <c r="N102" t="b">
        <v>0</v>
      </c>
      <c r="O102" t="b">
        <v>0</v>
      </c>
      <c r="P102" t="b">
        <v>0</v>
      </c>
      <c r="Q102" t="b">
        <v>0</v>
      </c>
      <c r="R102" t="b">
        <v>0</v>
      </c>
      <c r="S102" t="b">
        <v>0</v>
      </c>
      <c r="U102">
        <v>1</v>
      </c>
      <c r="V102">
        <v>5</v>
      </c>
      <c r="W102">
        <v>6</v>
      </c>
      <c r="X102">
        <v>24.123166666666599</v>
      </c>
      <c r="Y102" t="b">
        <v>1</v>
      </c>
      <c r="Z102" t="b">
        <v>1</v>
      </c>
      <c r="AA102" t="b">
        <v>0</v>
      </c>
      <c r="AB102">
        <v>0</v>
      </c>
      <c r="AC102" t="s">
        <v>34</v>
      </c>
      <c r="AD102">
        <v>0</v>
      </c>
      <c r="AE102" t="s">
        <v>43</v>
      </c>
      <c r="AF102">
        <v>0</v>
      </c>
      <c r="AG102">
        <v>60.045999999999999</v>
      </c>
      <c r="AI102" t="s">
        <v>35</v>
      </c>
      <c r="AJ102" t="s">
        <v>51</v>
      </c>
      <c r="AK102">
        <v>43.177</v>
      </c>
      <c r="AL102">
        <v>1.2</v>
      </c>
      <c r="AM102" t="s">
        <v>43</v>
      </c>
      <c r="AN102">
        <v>55.222999999999999</v>
      </c>
      <c r="AO102">
        <v>12.432</v>
      </c>
      <c r="AP102" t="s">
        <v>51</v>
      </c>
      <c r="AQ102">
        <v>68.08</v>
      </c>
      <c r="AR102">
        <v>31.69</v>
      </c>
      <c r="AS102" t="s">
        <v>51</v>
      </c>
      <c r="AT102">
        <v>100.43300000000001</v>
      </c>
      <c r="AU102">
        <v>1.3260000000000001</v>
      </c>
      <c r="AV102" t="s">
        <v>51</v>
      </c>
      <c r="AW102">
        <v>102.09699999999999</v>
      </c>
      <c r="AX102">
        <v>38.045000000000002</v>
      </c>
    </row>
    <row r="103" spans="1:76" x14ac:dyDescent="0.2">
      <c r="A103" t="s">
        <v>36</v>
      </c>
      <c r="B103" t="s">
        <v>55</v>
      </c>
      <c r="C103" t="s">
        <v>64</v>
      </c>
      <c r="D103">
        <v>18</v>
      </c>
      <c r="E103">
        <v>6443</v>
      </c>
      <c r="F103" t="s">
        <v>46</v>
      </c>
      <c r="G103" t="s">
        <v>39</v>
      </c>
      <c r="H103">
        <v>0</v>
      </c>
      <c r="I103" t="s">
        <v>54</v>
      </c>
      <c r="J103" t="s">
        <v>32</v>
      </c>
      <c r="K103" t="b">
        <v>0</v>
      </c>
      <c r="L103" t="b">
        <v>0</v>
      </c>
      <c r="M103" t="b">
        <v>0</v>
      </c>
      <c r="N103" t="b">
        <v>0</v>
      </c>
      <c r="O103" t="b">
        <v>0</v>
      </c>
      <c r="P103" t="b">
        <v>0</v>
      </c>
      <c r="Q103" t="b">
        <v>0</v>
      </c>
      <c r="R103" t="b">
        <v>0</v>
      </c>
      <c r="S103" t="b">
        <v>0</v>
      </c>
      <c r="T103" t="s">
        <v>100</v>
      </c>
      <c r="U103">
        <v>1</v>
      </c>
      <c r="V103">
        <v>7</v>
      </c>
      <c r="W103">
        <v>8</v>
      </c>
      <c r="X103">
        <v>8.7571249999999896</v>
      </c>
      <c r="Y103" t="b">
        <v>1</v>
      </c>
      <c r="Z103" t="b">
        <v>1</v>
      </c>
      <c r="AA103" t="b">
        <v>0</v>
      </c>
      <c r="AB103">
        <v>0</v>
      </c>
      <c r="AC103" t="s">
        <v>34</v>
      </c>
      <c r="AD103">
        <v>0</v>
      </c>
      <c r="AE103" t="s">
        <v>43</v>
      </c>
      <c r="AF103">
        <v>0</v>
      </c>
      <c r="AG103">
        <v>31.54</v>
      </c>
      <c r="AH103">
        <v>5</v>
      </c>
      <c r="AI103" t="s">
        <v>42</v>
      </c>
      <c r="AJ103">
        <v>20.984999999999999</v>
      </c>
      <c r="AK103">
        <v>2.4700000000000002</v>
      </c>
      <c r="AM103" t="s">
        <v>35</v>
      </c>
      <c r="AN103" t="s">
        <v>43</v>
      </c>
      <c r="AO103">
        <v>28.884</v>
      </c>
      <c r="AP103">
        <v>0.86699999999999999</v>
      </c>
      <c r="AQ103" t="s">
        <v>42</v>
      </c>
      <c r="AR103">
        <v>43.454000000000001</v>
      </c>
      <c r="AS103">
        <v>1.0069999999999999</v>
      </c>
      <c r="AT103" t="s">
        <v>51</v>
      </c>
      <c r="AU103">
        <v>60.317999999999998</v>
      </c>
      <c r="AV103">
        <v>8.1059999999999999</v>
      </c>
      <c r="AW103" t="s">
        <v>43</v>
      </c>
      <c r="AX103">
        <v>79.506</v>
      </c>
      <c r="AY103">
        <v>6.6619999999999999</v>
      </c>
      <c r="AZ103" t="s">
        <v>43</v>
      </c>
      <c r="BA103">
        <v>96.349000000000004</v>
      </c>
      <c r="BB103">
        <v>5.6740000000000004</v>
      </c>
      <c r="BC103" t="s">
        <v>43</v>
      </c>
      <c r="BD103">
        <v>113.813</v>
      </c>
      <c r="BE103">
        <v>3.1320000000000001</v>
      </c>
      <c r="BF103" t="s">
        <v>51</v>
      </c>
      <c r="BG103">
        <v>119.044</v>
      </c>
      <c r="BH103">
        <v>9.2910000000000004</v>
      </c>
      <c r="BI103" t="s">
        <v>43</v>
      </c>
      <c r="BJ103">
        <v>135.17500000000001</v>
      </c>
      <c r="BK103">
        <v>4.7850000000000001</v>
      </c>
    </row>
    <row r="104" spans="1:76" x14ac:dyDescent="0.2">
      <c r="A104" t="s">
        <v>36</v>
      </c>
      <c r="B104" t="s">
        <v>47</v>
      </c>
      <c r="C104" t="s">
        <v>52</v>
      </c>
      <c r="D104">
        <v>18</v>
      </c>
      <c r="E104">
        <v>492</v>
      </c>
      <c r="F104" t="s">
        <v>53</v>
      </c>
      <c r="G104" t="s">
        <v>30</v>
      </c>
      <c r="H104">
        <v>155.23599999999999</v>
      </c>
      <c r="I104" t="s">
        <v>54</v>
      </c>
      <c r="J104" t="s">
        <v>41</v>
      </c>
      <c r="K104" t="b">
        <v>0</v>
      </c>
      <c r="L104" t="b">
        <v>0</v>
      </c>
      <c r="M104" t="b">
        <v>0</v>
      </c>
      <c r="N104" t="b">
        <v>0</v>
      </c>
      <c r="O104" t="b">
        <v>0</v>
      </c>
      <c r="P104" t="b">
        <v>0</v>
      </c>
      <c r="Q104" t="b">
        <v>0</v>
      </c>
      <c r="R104" t="b">
        <v>0</v>
      </c>
      <c r="S104" t="b">
        <v>0</v>
      </c>
      <c r="U104">
        <v>1</v>
      </c>
      <c r="V104">
        <v>5</v>
      </c>
      <c r="W104">
        <v>6</v>
      </c>
      <c r="X104">
        <v>25.317999999999898</v>
      </c>
      <c r="Y104" t="b">
        <v>1</v>
      </c>
      <c r="Z104" t="b">
        <v>0</v>
      </c>
      <c r="AA104" t="b">
        <v>0</v>
      </c>
      <c r="AB104">
        <v>0</v>
      </c>
      <c r="AC104" t="s">
        <v>34</v>
      </c>
      <c r="AD104">
        <v>0</v>
      </c>
      <c r="AE104" t="s">
        <v>43</v>
      </c>
      <c r="AF104">
        <v>0</v>
      </c>
      <c r="AG104">
        <v>128.06700000000001</v>
      </c>
      <c r="AI104" t="s">
        <v>35</v>
      </c>
      <c r="AJ104" t="s">
        <v>42</v>
      </c>
      <c r="AK104">
        <v>53.695</v>
      </c>
      <c r="AL104">
        <v>0.31900000000000001</v>
      </c>
      <c r="AM104" t="s">
        <v>43</v>
      </c>
      <c r="AN104">
        <v>55.295999999999999</v>
      </c>
      <c r="AO104">
        <v>0.379</v>
      </c>
      <c r="AP104" t="s">
        <v>43</v>
      </c>
      <c r="AQ104">
        <v>60.106000000000002</v>
      </c>
      <c r="AR104">
        <v>10.7</v>
      </c>
      <c r="AS104" t="s">
        <v>43</v>
      </c>
      <c r="AT104">
        <v>78.385000000000005</v>
      </c>
      <c r="AU104">
        <v>2.4950000000000001</v>
      </c>
      <c r="AV104" t="s">
        <v>43</v>
      </c>
      <c r="AW104">
        <v>92.433000000000007</v>
      </c>
      <c r="AX104">
        <v>6.6020000000000003</v>
      </c>
      <c r="AY104" t="s">
        <v>43</v>
      </c>
      <c r="AZ104">
        <v>121.017</v>
      </c>
      <c r="BA104">
        <v>3.665</v>
      </c>
    </row>
    <row r="105" spans="1:76" x14ac:dyDescent="0.2">
      <c r="A105" t="s">
        <v>36</v>
      </c>
      <c r="B105" t="s">
        <v>37</v>
      </c>
      <c r="C105" t="s">
        <v>45</v>
      </c>
      <c r="D105">
        <v>18</v>
      </c>
      <c r="E105">
        <v>4125</v>
      </c>
      <c r="F105" t="s">
        <v>49</v>
      </c>
      <c r="G105" t="s">
        <v>39</v>
      </c>
      <c r="H105">
        <v>157.584</v>
      </c>
      <c r="I105" t="s">
        <v>40</v>
      </c>
      <c r="J105" t="s">
        <v>50</v>
      </c>
      <c r="K105" t="b">
        <v>0</v>
      </c>
      <c r="L105" t="b">
        <v>0</v>
      </c>
      <c r="M105" t="b">
        <v>0</v>
      </c>
      <c r="N105" t="b">
        <v>0</v>
      </c>
      <c r="O105" t="b">
        <v>0</v>
      </c>
      <c r="P105" t="b">
        <v>0</v>
      </c>
      <c r="Q105" t="b">
        <v>0</v>
      </c>
      <c r="R105" t="b">
        <v>0</v>
      </c>
      <c r="S105" t="b">
        <v>0</v>
      </c>
      <c r="U105">
        <v>0</v>
      </c>
      <c r="V105">
        <v>7</v>
      </c>
      <c r="W105">
        <v>7</v>
      </c>
      <c r="X105">
        <v>1.1782857142857099</v>
      </c>
      <c r="Y105" t="b">
        <v>1</v>
      </c>
      <c r="Z105" t="b">
        <v>1</v>
      </c>
      <c r="AA105" t="b">
        <v>0</v>
      </c>
      <c r="AB105">
        <v>0</v>
      </c>
      <c r="AC105" t="s">
        <v>34</v>
      </c>
      <c r="AE105" t="s">
        <v>35</v>
      </c>
      <c r="AF105" t="s">
        <v>51</v>
      </c>
      <c r="AG105">
        <v>28.574999999999999</v>
      </c>
      <c r="AH105">
        <v>0.52100000000000002</v>
      </c>
      <c r="AI105" t="s">
        <v>51</v>
      </c>
      <c r="AJ105">
        <v>41.488</v>
      </c>
      <c r="AK105">
        <v>0.47099999999999997</v>
      </c>
      <c r="AL105" t="s">
        <v>51</v>
      </c>
      <c r="AM105">
        <v>56.747999999999998</v>
      </c>
      <c r="AN105">
        <v>0.53900000000000003</v>
      </c>
      <c r="AO105" t="s">
        <v>51</v>
      </c>
      <c r="AP105">
        <v>66.652000000000001</v>
      </c>
      <c r="AQ105">
        <v>0.40200000000000002</v>
      </c>
      <c r="AR105" t="s">
        <v>43</v>
      </c>
      <c r="AS105">
        <v>89.284000000000006</v>
      </c>
      <c r="AT105">
        <v>0.61599999999999999</v>
      </c>
      <c r="AU105" t="s">
        <v>51</v>
      </c>
      <c r="AV105">
        <v>125.69</v>
      </c>
      <c r="AW105">
        <v>0.376</v>
      </c>
      <c r="AX105" t="s">
        <v>43</v>
      </c>
      <c r="AY105">
        <v>142.839</v>
      </c>
      <c r="AZ105">
        <v>5.3230000000000004</v>
      </c>
    </row>
    <row r="106" spans="1:76" x14ac:dyDescent="0.2">
      <c r="A106" t="s">
        <v>36</v>
      </c>
      <c r="B106" t="s">
        <v>44</v>
      </c>
      <c r="C106" t="s">
        <v>78</v>
      </c>
      <c r="D106">
        <v>18</v>
      </c>
      <c r="E106">
        <v>4692</v>
      </c>
      <c r="F106" t="s">
        <v>49</v>
      </c>
      <c r="G106" t="s">
        <v>30</v>
      </c>
      <c r="H106">
        <v>133.88999999999999</v>
      </c>
      <c r="I106" t="s">
        <v>31</v>
      </c>
      <c r="J106" t="s">
        <v>41</v>
      </c>
      <c r="K106" t="b">
        <v>0</v>
      </c>
      <c r="L106" t="b">
        <v>0</v>
      </c>
      <c r="M106" t="b">
        <v>0</v>
      </c>
      <c r="N106" t="b">
        <v>0</v>
      </c>
      <c r="O106" t="b">
        <v>0</v>
      </c>
      <c r="P106" t="b">
        <v>1</v>
      </c>
      <c r="Q106" t="b">
        <v>0</v>
      </c>
      <c r="R106" t="b">
        <v>0</v>
      </c>
      <c r="S106" t="b">
        <v>0</v>
      </c>
      <c r="T106" t="s">
        <v>101</v>
      </c>
      <c r="U106">
        <v>2</v>
      </c>
      <c r="V106">
        <v>11</v>
      </c>
      <c r="W106">
        <v>13</v>
      </c>
      <c r="X106">
        <v>7.5439999999999996</v>
      </c>
      <c r="Y106" t="b">
        <v>1</v>
      </c>
      <c r="Z106" t="b">
        <v>1</v>
      </c>
      <c r="AA106" t="b">
        <v>1</v>
      </c>
      <c r="AB106">
        <v>1</v>
      </c>
      <c r="AC106" t="s">
        <v>34</v>
      </c>
      <c r="AE106" t="s">
        <v>35</v>
      </c>
    </row>
    <row r="107" spans="1:76" x14ac:dyDescent="0.2">
      <c r="A107" t="s">
        <v>36</v>
      </c>
      <c r="B107" t="s">
        <v>28</v>
      </c>
      <c r="C107" t="s">
        <v>52</v>
      </c>
      <c r="D107">
        <v>18</v>
      </c>
      <c r="E107">
        <v>6831</v>
      </c>
      <c r="F107" t="s">
        <v>53</v>
      </c>
      <c r="G107" t="s">
        <v>39</v>
      </c>
      <c r="H107">
        <v>140.12899999999999</v>
      </c>
      <c r="I107" t="s">
        <v>40</v>
      </c>
      <c r="J107" t="s">
        <v>41</v>
      </c>
      <c r="K107" t="b">
        <v>0</v>
      </c>
      <c r="L107" t="b">
        <v>0</v>
      </c>
      <c r="M107" t="b">
        <v>0</v>
      </c>
      <c r="N107" t="b">
        <v>0</v>
      </c>
      <c r="O107" t="b">
        <v>0</v>
      </c>
      <c r="P107" t="b">
        <v>0</v>
      </c>
      <c r="Q107" t="b">
        <v>0</v>
      </c>
      <c r="R107" t="b">
        <v>0</v>
      </c>
      <c r="S107" t="b">
        <v>0</v>
      </c>
      <c r="U107">
        <v>0</v>
      </c>
      <c r="V107">
        <v>5</v>
      </c>
      <c r="W107">
        <v>5</v>
      </c>
      <c r="X107">
        <v>7.2762000000000002</v>
      </c>
      <c r="Y107" t="b">
        <v>1</v>
      </c>
      <c r="Z107" t="b">
        <v>0</v>
      </c>
      <c r="AA107" t="b">
        <v>0</v>
      </c>
      <c r="AB107">
        <v>0</v>
      </c>
      <c r="AC107" t="s">
        <v>34</v>
      </c>
      <c r="AD107">
        <v>0</v>
      </c>
      <c r="AE107" t="s">
        <v>42</v>
      </c>
      <c r="AF107">
        <v>0</v>
      </c>
      <c r="AG107">
        <v>37.654000000000003</v>
      </c>
      <c r="AH107">
        <v>-3</v>
      </c>
      <c r="AI107" t="s">
        <v>42</v>
      </c>
      <c r="AJ107">
        <v>9.0960000000000001</v>
      </c>
      <c r="AK107">
        <v>2.9420000000000002</v>
      </c>
      <c r="AM107" t="s">
        <v>35</v>
      </c>
      <c r="AN107" t="s">
        <v>43</v>
      </c>
      <c r="AO107">
        <v>22.713999999999999</v>
      </c>
      <c r="AP107">
        <v>5.1559999999999997</v>
      </c>
      <c r="AQ107" t="s">
        <v>42</v>
      </c>
      <c r="AR107">
        <v>31.742999999999999</v>
      </c>
      <c r="AS107">
        <v>2.6859999999999999</v>
      </c>
      <c r="AT107" t="s">
        <v>42</v>
      </c>
      <c r="AU107">
        <v>37.241999999999997</v>
      </c>
      <c r="AV107">
        <v>2.75</v>
      </c>
      <c r="AW107" t="s">
        <v>42</v>
      </c>
      <c r="AX107">
        <v>43.966999999999999</v>
      </c>
      <c r="AY107">
        <v>1.4359999999999999</v>
      </c>
      <c r="AZ107" t="s">
        <v>43</v>
      </c>
      <c r="BA107">
        <v>50.81</v>
      </c>
      <c r="BB107">
        <v>6.2729999999999997</v>
      </c>
      <c r="BC107" t="s">
        <v>42</v>
      </c>
      <c r="BD107">
        <v>69.302000000000007</v>
      </c>
      <c r="BE107">
        <v>8.2289999999999992</v>
      </c>
      <c r="BF107" t="s">
        <v>43</v>
      </c>
      <c r="BG107">
        <v>81.066000000000003</v>
      </c>
      <c r="BH107">
        <v>2.1539999999999999</v>
      </c>
      <c r="BI107" t="s">
        <v>43</v>
      </c>
      <c r="BJ107">
        <v>91.399000000000001</v>
      </c>
      <c r="BK107">
        <v>12.702999999999999</v>
      </c>
      <c r="BL107" t="s">
        <v>43</v>
      </c>
      <c r="BM107">
        <v>115.476</v>
      </c>
      <c r="BN107">
        <v>10.095000000000001</v>
      </c>
    </row>
    <row r="108" spans="1:76" x14ac:dyDescent="0.2">
      <c r="A108" t="s">
        <v>36</v>
      </c>
      <c r="B108" t="s">
        <v>63</v>
      </c>
      <c r="C108" t="s">
        <v>79</v>
      </c>
      <c r="D108">
        <v>18</v>
      </c>
      <c r="E108">
        <v>4061</v>
      </c>
      <c r="F108" t="s">
        <v>46</v>
      </c>
      <c r="G108" t="s">
        <v>39</v>
      </c>
      <c r="H108">
        <v>125.774</v>
      </c>
      <c r="I108" t="s">
        <v>40</v>
      </c>
      <c r="J108" t="s">
        <v>41</v>
      </c>
      <c r="K108" t="b">
        <v>0</v>
      </c>
      <c r="L108" t="b">
        <v>0</v>
      </c>
      <c r="M108" t="b">
        <v>0</v>
      </c>
      <c r="N108" t="b">
        <v>0</v>
      </c>
      <c r="O108" t="b">
        <v>0</v>
      </c>
      <c r="P108" t="b">
        <v>0</v>
      </c>
      <c r="Q108" t="b">
        <v>0</v>
      </c>
      <c r="R108" t="b">
        <v>0</v>
      </c>
      <c r="S108" t="b">
        <v>0</v>
      </c>
      <c r="U108">
        <v>0</v>
      </c>
      <c r="V108">
        <v>3</v>
      </c>
      <c r="W108">
        <v>3</v>
      </c>
      <c r="X108">
        <v>60.284666666666602</v>
      </c>
      <c r="Y108" t="b">
        <v>0</v>
      </c>
      <c r="Z108" t="b">
        <v>1</v>
      </c>
      <c r="AA108" t="b">
        <v>0</v>
      </c>
      <c r="AB108">
        <v>0</v>
      </c>
      <c r="AC108" t="s">
        <v>34</v>
      </c>
      <c r="AE108" t="s">
        <v>35</v>
      </c>
      <c r="AF108" t="s">
        <v>51</v>
      </c>
      <c r="AG108">
        <v>0</v>
      </c>
      <c r="AH108">
        <v>141.71799999999999</v>
      </c>
      <c r="AI108" t="s">
        <v>51</v>
      </c>
      <c r="AJ108">
        <v>32.468000000000004</v>
      </c>
      <c r="AK108">
        <v>24.216999999999999</v>
      </c>
      <c r="AL108" t="s">
        <v>51</v>
      </c>
      <c r="AM108">
        <v>73.251999999999995</v>
      </c>
      <c r="AN108">
        <v>14.919</v>
      </c>
      <c r="AO108" t="s">
        <v>42</v>
      </c>
      <c r="AP108">
        <v>112.672</v>
      </c>
      <c r="AQ108">
        <v>9.6059999999999999</v>
      </c>
    </row>
    <row r="109" spans="1:76" x14ac:dyDescent="0.2">
      <c r="A109" t="s">
        <v>36</v>
      </c>
      <c r="B109" t="s">
        <v>55</v>
      </c>
      <c r="C109" t="s">
        <v>64</v>
      </c>
      <c r="D109">
        <v>19</v>
      </c>
      <c r="E109">
        <v>4513</v>
      </c>
      <c r="F109" t="s">
        <v>46</v>
      </c>
      <c r="G109" t="s">
        <v>30</v>
      </c>
      <c r="H109">
        <v>0</v>
      </c>
      <c r="I109" t="s">
        <v>54</v>
      </c>
      <c r="J109" t="s">
        <v>50</v>
      </c>
      <c r="K109" t="b">
        <v>0</v>
      </c>
      <c r="L109" t="b">
        <v>0</v>
      </c>
      <c r="M109" t="b">
        <v>0</v>
      </c>
      <c r="N109" t="b">
        <v>0</v>
      </c>
      <c r="O109" t="b">
        <v>0</v>
      </c>
      <c r="P109" t="b">
        <v>0</v>
      </c>
      <c r="Q109" t="b">
        <v>0</v>
      </c>
      <c r="R109" t="b">
        <v>0</v>
      </c>
      <c r="S109" t="b">
        <v>0</v>
      </c>
      <c r="T109" t="s">
        <v>102</v>
      </c>
      <c r="U109">
        <v>0</v>
      </c>
      <c r="V109">
        <v>6</v>
      </c>
      <c r="W109">
        <v>6</v>
      </c>
      <c r="X109">
        <v>1.3216666666666601</v>
      </c>
      <c r="Y109" t="b">
        <v>1</v>
      </c>
      <c r="Z109" t="b">
        <v>0</v>
      </c>
      <c r="AA109" t="b">
        <v>0</v>
      </c>
      <c r="AB109">
        <v>0</v>
      </c>
      <c r="AC109" t="s">
        <v>34</v>
      </c>
      <c r="AD109">
        <v>0</v>
      </c>
      <c r="AE109" t="s">
        <v>42</v>
      </c>
      <c r="AF109">
        <v>0</v>
      </c>
      <c r="AG109">
        <v>54.124000000000002</v>
      </c>
      <c r="AI109" t="s">
        <v>35</v>
      </c>
      <c r="AJ109" t="s">
        <v>43</v>
      </c>
      <c r="AK109">
        <v>28.79</v>
      </c>
      <c r="AL109">
        <v>3.0110000000000001</v>
      </c>
      <c r="AM109" t="s">
        <v>43</v>
      </c>
      <c r="AN109">
        <v>46.280999999999999</v>
      </c>
      <c r="AO109">
        <v>0.86099999999999999</v>
      </c>
      <c r="AP109" t="s">
        <v>43</v>
      </c>
      <c r="AQ109">
        <v>48.218000000000004</v>
      </c>
      <c r="AR109">
        <v>0.77200000000000002</v>
      </c>
      <c r="AS109" t="s">
        <v>43</v>
      </c>
      <c r="AT109">
        <v>58.276000000000003</v>
      </c>
      <c r="AU109">
        <v>0.53500000000000003</v>
      </c>
      <c r="AV109" t="s">
        <v>43</v>
      </c>
      <c r="AW109">
        <v>68.906000000000006</v>
      </c>
      <c r="AX109">
        <v>0.92800000000000005</v>
      </c>
      <c r="AY109" t="s">
        <v>42</v>
      </c>
      <c r="AZ109">
        <v>91.436999999999998</v>
      </c>
      <c r="BA109">
        <v>1.2310000000000001</v>
      </c>
      <c r="BB109" t="s">
        <v>43</v>
      </c>
      <c r="BC109">
        <v>109.334</v>
      </c>
      <c r="BD109">
        <v>1.823</v>
      </c>
    </row>
    <row r="110" spans="1:76" x14ac:dyDescent="0.2">
      <c r="A110" t="s">
        <v>36</v>
      </c>
      <c r="B110" t="s">
        <v>47</v>
      </c>
      <c r="C110" t="s">
        <v>52</v>
      </c>
      <c r="D110">
        <v>19</v>
      </c>
      <c r="E110">
        <v>4089</v>
      </c>
      <c r="F110" t="s">
        <v>53</v>
      </c>
      <c r="G110" t="s">
        <v>39</v>
      </c>
      <c r="H110">
        <v>0</v>
      </c>
      <c r="I110" t="s">
        <v>40</v>
      </c>
      <c r="J110" t="s">
        <v>32</v>
      </c>
      <c r="K110" t="b">
        <v>0</v>
      </c>
      <c r="L110" t="b">
        <v>0</v>
      </c>
      <c r="M110" t="b">
        <v>0</v>
      </c>
      <c r="N110" t="b">
        <v>0</v>
      </c>
      <c r="O110" t="b">
        <v>0</v>
      </c>
      <c r="P110" t="b">
        <v>0</v>
      </c>
      <c r="Q110" t="b">
        <v>0</v>
      </c>
      <c r="R110" t="b">
        <v>0</v>
      </c>
      <c r="S110" t="b">
        <v>0</v>
      </c>
      <c r="T110" t="s">
        <v>103</v>
      </c>
      <c r="U110">
        <v>1</v>
      </c>
      <c r="V110">
        <v>4</v>
      </c>
      <c r="W110">
        <v>5</v>
      </c>
      <c r="X110">
        <v>1.9625999999999999</v>
      </c>
      <c r="Y110" t="b">
        <v>1</v>
      </c>
      <c r="Z110" t="b">
        <v>1</v>
      </c>
      <c r="AA110" t="b">
        <v>0</v>
      </c>
      <c r="AB110">
        <v>0</v>
      </c>
      <c r="AC110" t="s">
        <v>34</v>
      </c>
      <c r="AD110">
        <v>0</v>
      </c>
      <c r="AE110" t="s">
        <v>42</v>
      </c>
      <c r="AF110">
        <v>0</v>
      </c>
      <c r="AG110">
        <v>48.600999999999999</v>
      </c>
      <c r="AH110">
        <v>3</v>
      </c>
      <c r="AI110" t="s">
        <v>43</v>
      </c>
      <c r="AJ110">
        <v>9.1189999999999998</v>
      </c>
      <c r="AK110">
        <v>1.4990000000000001</v>
      </c>
      <c r="AM110" t="s">
        <v>35</v>
      </c>
      <c r="AN110" t="s">
        <v>42</v>
      </c>
      <c r="AO110">
        <v>22.969000000000001</v>
      </c>
      <c r="AP110">
        <v>10.233000000000001</v>
      </c>
      <c r="AQ110" t="s">
        <v>51</v>
      </c>
      <c r="AR110">
        <v>36.302</v>
      </c>
      <c r="AS110">
        <v>6.8010000000000002</v>
      </c>
      <c r="AT110" t="s">
        <v>51</v>
      </c>
      <c r="AU110">
        <v>66.150000000000006</v>
      </c>
      <c r="AV110">
        <v>0.28699999999999998</v>
      </c>
      <c r="AW110" t="s">
        <v>51</v>
      </c>
      <c r="AX110">
        <v>77.052000000000007</v>
      </c>
      <c r="AY110">
        <v>1.0049999999999999</v>
      </c>
      <c r="AZ110" t="s">
        <v>42</v>
      </c>
      <c r="BA110">
        <v>91.188000000000002</v>
      </c>
      <c r="BB110">
        <v>0.26600000000000001</v>
      </c>
      <c r="BC110" t="s">
        <v>42</v>
      </c>
      <c r="BD110">
        <v>99.138000000000005</v>
      </c>
      <c r="BE110">
        <v>0.28599999999999998</v>
      </c>
      <c r="BF110" t="s">
        <v>42</v>
      </c>
      <c r="BG110">
        <v>113.78700000000001</v>
      </c>
      <c r="BH110">
        <v>0.51800000000000002</v>
      </c>
      <c r="BI110" t="s">
        <v>51</v>
      </c>
      <c r="BJ110">
        <v>144.78700000000001</v>
      </c>
      <c r="BK110">
        <v>0.221</v>
      </c>
    </row>
    <row r="111" spans="1:76" x14ac:dyDescent="0.2">
      <c r="A111" t="s">
        <v>36</v>
      </c>
      <c r="B111" t="s">
        <v>37</v>
      </c>
      <c r="C111" t="s">
        <v>45</v>
      </c>
      <c r="D111">
        <v>19</v>
      </c>
      <c r="E111">
        <v>9438</v>
      </c>
      <c r="F111" t="s">
        <v>49</v>
      </c>
      <c r="G111" t="s">
        <v>39</v>
      </c>
      <c r="H111">
        <v>152.39400000000001</v>
      </c>
      <c r="I111" t="s">
        <v>57</v>
      </c>
      <c r="J111" t="s">
        <v>41</v>
      </c>
      <c r="K111" t="b">
        <v>0</v>
      </c>
      <c r="L111" t="b">
        <v>0</v>
      </c>
      <c r="M111" t="b">
        <v>0</v>
      </c>
      <c r="N111" t="b">
        <v>0</v>
      </c>
      <c r="O111" t="b">
        <v>0</v>
      </c>
      <c r="P111" t="b">
        <v>0</v>
      </c>
      <c r="Q111" t="b">
        <v>0</v>
      </c>
      <c r="R111" t="b">
        <v>0</v>
      </c>
      <c r="S111" t="b">
        <v>0</v>
      </c>
      <c r="T111" t="s">
        <v>104</v>
      </c>
      <c r="U111">
        <v>0</v>
      </c>
      <c r="V111">
        <v>1</v>
      </c>
      <c r="W111">
        <v>1</v>
      </c>
      <c r="X111">
        <v>32.103000000000002</v>
      </c>
      <c r="Y111" t="b">
        <v>1</v>
      </c>
      <c r="Z111" t="b">
        <v>0</v>
      </c>
      <c r="AA111" t="b">
        <v>0</v>
      </c>
      <c r="AB111">
        <v>0</v>
      </c>
      <c r="AC111" t="s">
        <v>34</v>
      </c>
      <c r="AE111" t="s">
        <v>35</v>
      </c>
      <c r="AF111" t="s">
        <v>43</v>
      </c>
      <c r="AG111">
        <v>24.465</v>
      </c>
      <c r="AH111">
        <v>32.103000000000002</v>
      </c>
      <c r="AI111" t="s">
        <v>42</v>
      </c>
      <c r="AJ111">
        <v>114.11499999999999</v>
      </c>
      <c r="AK111">
        <v>36.24</v>
      </c>
    </row>
    <row r="112" spans="1:76" x14ac:dyDescent="0.2">
      <c r="A112" t="s">
        <v>36</v>
      </c>
      <c r="B112" t="s">
        <v>44</v>
      </c>
      <c r="C112" t="s">
        <v>78</v>
      </c>
      <c r="D112">
        <v>19</v>
      </c>
      <c r="E112">
        <v>9680</v>
      </c>
      <c r="F112" t="s">
        <v>49</v>
      </c>
      <c r="G112" t="s">
        <v>30</v>
      </c>
      <c r="H112">
        <v>0</v>
      </c>
      <c r="I112" t="s">
        <v>40</v>
      </c>
      <c r="J112" t="s">
        <v>32</v>
      </c>
      <c r="K112" t="b">
        <v>0</v>
      </c>
      <c r="L112" t="b">
        <v>0</v>
      </c>
      <c r="M112" t="b">
        <v>0</v>
      </c>
      <c r="N112" t="b">
        <v>0</v>
      </c>
      <c r="O112" t="b">
        <v>0</v>
      </c>
      <c r="P112" t="b">
        <v>0</v>
      </c>
      <c r="Q112" t="b">
        <v>0</v>
      </c>
      <c r="R112" t="b">
        <v>0</v>
      </c>
      <c r="S112" t="b">
        <v>0</v>
      </c>
      <c r="U112">
        <v>0</v>
      </c>
      <c r="V112">
        <v>0</v>
      </c>
      <c r="W112">
        <v>0</v>
      </c>
      <c r="X112" t="s">
        <v>33</v>
      </c>
      <c r="Y112" t="b">
        <v>0</v>
      </c>
      <c r="Z112" t="b">
        <v>0</v>
      </c>
      <c r="AA112" t="b">
        <v>0</v>
      </c>
      <c r="AB112">
        <v>0</v>
      </c>
      <c r="AC112" t="s">
        <v>34</v>
      </c>
      <c r="AE112" t="s">
        <v>35</v>
      </c>
      <c r="AF112" t="s">
        <v>42</v>
      </c>
      <c r="AG112">
        <v>0</v>
      </c>
      <c r="AH112">
        <v>170.48099999999999</v>
      </c>
    </row>
    <row r="113" spans="1:69" x14ac:dyDescent="0.2">
      <c r="A113" t="s">
        <v>36</v>
      </c>
      <c r="B113" t="s">
        <v>63</v>
      </c>
      <c r="C113" t="s">
        <v>79</v>
      </c>
      <c r="D113">
        <v>19</v>
      </c>
      <c r="E113">
        <v>4980</v>
      </c>
      <c r="F113" t="s">
        <v>46</v>
      </c>
      <c r="G113" t="s">
        <v>39</v>
      </c>
      <c r="H113">
        <v>151.86500000000001</v>
      </c>
      <c r="I113" t="s">
        <v>40</v>
      </c>
      <c r="J113" t="s">
        <v>41</v>
      </c>
      <c r="K113" t="b">
        <v>0</v>
      </c>
      <c r="L113" t="b">
        <v>0</v>
      </c>
      <c r="M113" t="b">
        <v>0</v>
      </c>
      <c r="N113" t="b">
        <v>0</v>
      </c>
      <c r="O113" t="b">
        <v>0</v>
      </c>
      <c r="P113" t="b">
        <v>0</v>
      </c>
      <c r="Q113" t="b">
        <v>0</v>
      </c>
      <c r="R113" t="b">
        <v>0</v>
      </c>
      <c r="S113" t="b">
        <v>0</v>
      </c>
      <c r="U113">
        <v>2</v>
      </c>
      <c r="V113">
        <v>6</v>
      </c>
      <c r="W113">
        <v>8</v>
      </c>
      <c r="X113">
        <v>28.611750000000001</v>
      </c>
      <c r="Y113" t="b">
        <v>1</v>
      </c>
      <c r="Z113" t="b">
        <v>1</v>
      </c>
      <c r="AA113" t="b">
        <v>0</v>
      </c>
      <c r="AB113">
        <v>0</v>
      </c>
      <c r="AC113" t="s">
        <v>34</v>
      </c>
      <c r="AD113">
        <v>0</v>
      </c>
      <c r="AE113" t="s">
        <v>43</v>
      </c>
      <c r="AF113">
        <v>0</v>
      </c>
      <c r="AG113">
        <v>172.33799999999999</v>
      </c>
      <c r="AH113">
        <v>-2</v>
      </c>
      <c r="AI113" t="s">
        <v>43</v>
      </c>
      <c r="AJ113">
        <v>5.4279999999999999</v>
      </c>
      <c r="AK113">
        <v>4.9359999999999999</v>
      </c>
      <c r="AM113" t="s">
        <v>35</v>
      </c>
      <c r="AN113" t="s">
        <v>51</v>
      </c>
      <c r="AO113">
        <v>20.016999999999999</v>
      </c>
      <c r="AP113">
        <v>16.033999999999999</v>
      </c>
      <c r="AQ113" t="s">
        <v>42</v>
      </c>
      <c r="AR113">
        <v>40.201000000000001</v>
      </c>
      <c r="AS113">
        <v>8.218</v>
      </c>
      <c r="AT113" t="s">
        <v>51</v>
      </c>
      <c r="AU113">
        <v>50.485999999999997</v>
      </c>
      <c r="AV113">
        <v>0.9</v>
      </c>
      <c r="AW113" t="s">
        <v>51</v>
      </c>
      <c r="AX113">
        <v>58.701000000000001</v>
      </c>
      <c r="AY113">
        <v>0.98499999999999999</v>
      </c>
      <c r="AZ113" t="s">
        <v>42</v>
      </c>
      <c r="BA113">
        <v>61.853000000000002</v>
      </c>
      <c r="BB113">
        <v>5.6660000000000004</v>
      </c>
      <c r="BC113" t="s">
        <v>51</v>
      </c>
      <c r="BD113">
        <v>73.444000000000003</v>
      </c>
      <c r="BE113">
        <v>4.6239999999999997</v>
      </c>
      <c r="BF113" t="s">
        <v>42</v>
      </c>
      <c r="BG113">
        <v>92.494</v>
      </c>
      <c r="BH113">
        <v>6.9450000000000003</v>
      </c>
      <c r="BI113" t="s">
        <v>43</v>
      </c>
      <c r="BJ113">
        <v>103.123</v>
      </c>
      <c r="BK113">
        <v>6.8819999999999997</v>
      </c>
      <c r="BL113" t="s">
        <v>43</v>
      </c>
      <c r="BM113">
        <v>121.425</v>
      </c>
      <c r="BN113">
        <v>22.195</v>
      </c>
    </row>
    <row r="114" spans="1:69" x14ac:dyDescent="0.2">
      <c r="A114" t="s">
        <v>36</v>
      </c>
      <c r="B114" t="s">
        <v>28</v>
      </c>
      <c r="C114" t="s">
        <v>52</v>
      </c>
      <c r="D114">
        <v>19</v>
      </c>
      <c r="E114">
        <v>4104</v>
      </c>
      <c r="F114" t="s">
        <v>53</v>
      </c>
      <c r="G114" t="s">
        <v>39</v>
      </c>
      <c r="H114">
        <v>0</v>
      </c>
      <c r="I114" t="s">
        <v>57</v>
      </c>
      <c r="J114" t="s">
        <v>32</v>
      </c>
      <c r="K114" t="b">
        <v>0</v>
      </c>
      <c r="L114" t="b">
        <v>0</v>
      </c>
      <c r="M114" t="b">
        <v>0</v>
      </c>
      <c r="N114" t="b">
        <v>0</v>
      </c>
      <c r="O114" t="b">
        <v>0</v>
      </c>
      <c r="P114" t="b">
        <v>0</v>
      </c>
      <c r="Q114" t="b">
        <v>0</v>
      </c>
      <c r="R114" t="b">
        <v>0</v>
      </c>
      <c r="S114" t="b">
        <v>0</v>
      </c>
      <c r="T114" t="s">
        <v>105</v>
      </c>
      <c r="U114">
        <v>0</v>
      </c>
      <c r="V114">
        <v>0</v>
      </c>
      <c r="W114">
        <v>0</v>
      </c>
      <c r="X114" t="s">
        <v>33</v>
      </c>
      <c r="Y114" t="b">
        <v>0</v>
      </c>
      <c r="Z114" t="b">
        <v>0</v>
      </c>
      <c r="AA114" t="b">
        <v>0</v>
      </c>
      <c r="AB114">
        <v>0</v>
      </c>
      <c r="AC114" t="s">
        <v>34</v>
      </c>
      <c r="AD114">
        <v>0</v>
      </c>
      <c r="AE114" t="s">
        <v>42</v>
      </c>
      <c r="AF114">
        <v>0</v>
      </c>
      <c r="AG114">
        <v>60.218000000000004</v>
      </c>
      <c r="AI114" t="s">
        <v>35</v>
      </c>
    </row>
    <row r="115" spans="1:69" x14ac:dyDescent="0.2">
      <c r="A115" t="s">
        <v>36</v>
      </c>
      <c r="B115" t="s">
        <v>55</v>
      </c>
      <c r="C115" t="s">
        <v>64</v>
      </c>
      <c r="D115">
        <v>20</v>
      </c>
      <c r="E115">
        <v>6343</v>
      </c>
      <c r="F115" t="s">
        <v>66</v>
      </c>
      <c r="G115" t="s">
        <v>30</v>
      </c>
      <c r="H115">
        <v>153.37799999999999</v>
      </c>
      <c r="I115" t="s">
        <v>31</v>
      </c>
      <c r="J115" t="s">
        <v>32</v>
      </c>
      <c r="K115" t="b">
        <v>0</v>
      </c>
      <c r="L115" t="b">
        <v>0</v>
      </c>
      <c r="M115" t="b">
        <v>0</v>
      </c>
      <c r="N115" t="b">
        <v>0</v>
      </c>
      <c r="O115" t="b">
        <v>0</v>
      </c>
      <c r="P115" t="b">
        <v>0</v>
      </c>
      <c r="Q115" t="b">
        <v>0</v>
      </c>
      <c r="R115" t="b">
        <v>0</v>
      </c>
      <c r="S115" t="b">
        <v>0</v>
      </c>
      <c r="T115" t="s">
        <v>106</v>
      </c>
    </row>
    <row r="117" spans="1:69" x14ac:dyDescent="0.2">
      <c r="A117" t="s">
        <v>36</v>
      </c>
      <c r="B117" t="s">
        <v>47</v>
      </c>
      <c r="C117" t="s">
        <v>52</v>
      </c>
      <c r="D117">
        <v>20</v>
      </c>
      <c r="E117">
        <v>4060</v>
      </c>
      <c r="F117" t="s">
        <v>53</v>
      </c>
      <c r="G117" t="s">
        <v>39</v>
      </c>
      <c r="H117">
        <v>157.274</v>
      </c>
      <c r="I117" t="s">
        <v>54</v>
      </c>
      <c r="J117" t="s">
        <v>50</v>
      </c>
      <c r="K117" t="b">
        <v>0</v>
      </c>
      <c r="L117" t="b">
        <v>0</v>
      </c>
      <c r="M117" t="b">
        <v>0</v>
      </c>
      <c r="N117" t="b">
        <v>0</v>
      </c>
      <c r="O117" t="b">
        <v>0</v>
      </c>
      <c r="P117" t="b">
        <v>0</v>
      </c>
      <c r="Q117" t="b">
        <v>0</v>
      </c>
      <c r="R117" t="b">
        <v>0</v>
      </c>
      <c r="S117" t="b">
        <v>0</v>
      </c>
      <c r="U117">
        <v>0</v>
      </c>
      <c r="V117">
        <v>6</v>
      </c>
      <c r="W117">
        <v>6</v>
      </c>
      <c r="X117">
        <v>4.5908333333333298</v>
      </c>
      <c r="Y117" t="b">
        <v>1</v>
      </c>
      <c r="Z117" t="b">
        <v>0</v>
      </c>
      <c r="AA117" t="b">
        <v>0</v>
      </c>
      <c r="AB117">
        <v>0</v>
      </c>
      <c r="AC117" t="s">
        <v>34</v>
      </c>
      <c r="AE117" t="s">
        <v>35</v>
      </c>
      <c r="AF117" t="s">
        <v>43</v>
      </c>
      <c r="AG117">
        <v>25.599</v>
      </c>
      <c r="AH117">
        <v>10.333</v>
      </c>
      <c r="AI117" t="s">
        <v>43</v>
      </c>
      <c r="AJ117">
        <v>40.363</v>
      </c>
      <c r="AK117">
        <v>0.25</v>
      </c>
      <c r="AL117" t="s">
        <v>43</v>
      </c>
      <c r="AM117">
        <v>60.643999999999998</v>
      </c>
      <c r="AN117">
        <v>0.23499999999999999</v>
      </c>
      <c r="AO117" t="s">
        <v>43</v>
      </c>
      <c r="AP117">
        <v>83.69</v>
      </c>
      <c r="AQ117">
        <v>5.1120000000000001</v>
      </c>
      <c r="AR117" t="s">
        <v>43</v>
      </c>
      <c r="AS117">
        <v>96.498999999999995</v>
      </c>
      <c r="AT117">
        <v>7.9470000000000001</v>
      </c>
      <c r="AU117" t="s">
        <v>43</v>
      </c>
      <c r="AV117">
        <v>120.946</v>
      </c>
      <c r="AW117">
        <v>3.6680000000000001</v>
      </c>
    </row>
    <row r="118" spans="1:69" x14ac:dyDescent="0.2">
      <c r="A118" t="s">
        <v>36</v>
      </c>
      <c r="B118" t="s">
        <v>37</v>
      </c>
      <c r="C118" t="s">
        <v>45</v>
      </c>
      <c r="D118">
        <v>20</v>
      </c>
      <c r="E118">
        <v>2811</v>
      </c>
      <c r="F118" t="s">
        <v>49</v>
      </c>
      <c r="G118" t="s">
        <v>39</v>
      </c>
      <c r="H118">
        <v>141.01599999999999</v>
      </c>
      <c r="I118" t="s">
        <v>57</v>
      </c>
      <c r="J118" t="s">
        <v>41</v>
      </c>
      <c r="K118" t="b">
        <v>0</v>
      </c>
      <c r="L118" t="b">
        <v>0</v>
      </c>
      <c r="M118" t="b">
        <v>0</v>
      </c>
      <c r="N118" t="b">
        <v>0</v>
      </c>
      <c r="O118" t="b">
        <v>0</v>
      </c>
      <c r="P118" t="b">
        <v>0</v>
      </c>
      <c r="Q118" t="b">
        <v>0</v>
      </c>
      <c r="R118" t="b">
        <v>0</v>
      </c>
      <c r="S118" t="b">
        <v>0</v>
      </c>
      <c r="U118">
        <v>2</v>
      </c>
      <c r="V118">
        <v>7</v>
      </c>
      <c r="W118">
        <v>9</v>
      </c>
      <c r="X118">
        <v>60.396444444444398</v>
      </c>
      <c r="Y118" t="b">
        <v>1</v>
      </c>
      <c r="Z118" t="b">
        <v>0</v>
      </c>
      <c r="AA118" t="b">
        <v>1</v>
      </c>
      <c r="AB118">
        <v>1</v>
      </c>
      <c r="AC118" t="s">
        <v>34</v>
      </c>
      <c r="AD118">
        <v>0</v>
      </c>
      <c r="AE118" t="s">
        <v>43</v>
      </c>
      <c r="AF118">
        <v>0</v>
      </c>
      <c r="AG118">
        <v>508.58300000000003</v>
      </c>
      <c r="AH118">
        <v>1</v>
      </c>
      <c r="AI118" t="s">
        <v>43</v>
      </c>
      <c r="AJ118">
        <v>17.771000000000001</v>
      </c>
      <c r="AK118">
        <v>0.76200000000000001</v>
      </c>
      <c r="AM118" t="s">
        <v>35</v>
      </c>
      <c r="AN118" t="s">
        <v>43</v>
      </c>
      <c r="AO118">
        <v>36.207999999999998</v>
      </c>
      <c r="AP118">
        <v>0.317</v>
      </c>
      <c r="AQ118" t="s">
        <v>43</v>
      </c>
      <c r="AR118">
        <v>43.744999999999997</v>
      </c>
      <c r="AS118">
        <v>0.28499999999999998</v>
      </c>
      <c r="AT118" t="s">
        <v>43</v>
      </c>
      <c r="AU118">
        <v>59.857999999999997</v>
      </c>
      <c r="AV118">
        <v>0.4</v>
      </c>
      <c r="AW118" t="s">
        <v>43</v>
      </c>
      <c r="AX118">
        <v>63.417999999999999</v>
      </c>
      <c r="AY118">
        <v>0.218</v>
      </c>
      <c r="AZ118" t="s">
        <v>42</v>
      </c>
      <c r="BA118">
        <v>73.938000000000002</v>
      </c>
      <c r="BB118">
        <v>0.23400000000000001</v>
      </c>
      <c r="BC118" t="s">
        <v>42</v>
      </c>
      <c r="BD118">
        <v>83.242000000000004</v>
      </c>
      <c r="BE118">
        <v>1.946</v>
      </c>
      <c r="BF118" t="s">
        <v>43</v>
      </c>
      <c r="BG118">
        <v>88.051000000000002</v>
      </c>
      <c r="BH118">
        <v>3.7120000000000002</v>
      </c>
      <c r="BI118" t="s">
        <v>43</v>
      </c>
      <c r="BJ118">
        <v>101.017</v>
      </c>
      <c r="BK118">
        <v>6.109</v>
      </c>
      <c r="BL118" t="s">
        <v>42</v>
      </c>
      <c r="BM118">
        <v>115.496</v>
      </c>
      <c r="BN118">
        <v>3.0129999999999999</v>
      </c>
      <c r="BO118" t="s">
        <v>81</v>
      </c>
      <c r="BP118">
        <v>122.504</v>
      </c>
      <c r="BQ118">
        <v>23.181999999999999</v>
      </c>
    </row>
    <row r="119" spans="1:69" x14ac:dyDescent="0.2">
      <c r="A119" t="s">
        <v>36</v>
      </c>
      <c r="B119" t="s">
        <v>28</v>
      </c>
      <c r="C119" t="s">
        <v>52</v>
      </c>
      <c r="D119">
        <v>20</v>
      </c>
      <c r="E119">
        <v>9613</v>
      </c>
      <c r="F119" t="s">
        <v>46</v>
      </c>
      <c r="G119" t="s">
        <v>30</v>
      </c>
      <c r="H119">
        <v>0</v>
      </c>
      <c r="I119" t="s">
        <v>57</v>
      </c>
      <c r="J119" t="s">
        <v>32</v>
      </c>
      <c r="K119" t="b">
        <v>0</v>
      </c>
      <c r="L119" t="b">
        <v>0</v>
      </c>
      <c r="M119" t="b">
        <v>0</v>
      </c>
      <c r="N119" t="b">
        <v>0</v>
      </c>
      <c r="O119" t="b">
        <v>0</v>
      </c>
      <c r="P119" t="b">
        <v>0</v>
      </c>
      <c r="Q119" t="b">
        <v>0</v>
      </c>
      <c r="R119" t="b">
        <v>0</v>
      </c>
      <c r="S119" t="b">
        <v>0</v>
      </c>
      <c r="T119" t="s">
        <v>107</v>
      </c>
      <c r="U119">
        <v>1</v>
      </c>
      <c r="V119">
        <v>2</v>
      </c>
      <c r="W119">
        <v>3</v>
      </c>
      <c r="X119">
        <v>24.844999999999999</v>
      </c>
      <c r="Y119" t="b">
        <v>1</v>
      </c>
      <c r="Z119" t="b">
        <v>0</v>
      </c>
      <c r="AA119" t="b">
        <v>0</v>
      </c>
      <c r="AB119">
        <v>0</v>
      </c>
      <c r="AC119" t="s">
        <v>34</v>
      </c>
      <c r="AD119">
        <v>0</v>
      </c>
      <c r="AE119" t="s">
        <v>43</v>
      </c>
      <c r="AF119">
        <v>0</v>
      </c>
      <c r="AG119">
        <v>43.481999999999999</v>
      </c>
      <c r="AI119" t="s">
        <v>35</v>
      </c>
      <c r="AJ119" t="s">
        <v>42</v>
      </c>
      <c r="AK119">
        <v>35.567</v>
      </c>
      <c r="AL119">
        <v>32.018999999999998</v>
      </c>
      <c r="AM119" t="s">
        <v>43</v>
      </c>
      <c r="AN119">
        <v>77.393000000000001</v>
      </c>
      <c r="AO119">
        <v>17.035</v>
      </c>
      <c r="AP119" t="s">
        <v>43</v>
      </c>
      <c r="AQ119">
        <v>108.259</v>
      </c>
      <c r="AR119">
        <v>14.018000000000001</v>
      </c>
    </row>
    <row r="120" spans="1:69" x14ac:dyDescent="0.2">
      <c r="A120" t="s">
        <v>36</v>
      </c>
      <c r="B120" t="s">
        <v>44</v>
      </c>
      <c r="C120" t="s">
        <v>78</v>
      </c>
      <c r="D120">
        <v>20</v>
      </c>
      <c r="E120">
        <v>1595</v>
      </c>
      <c r="F120" t="s">
        <v>49</v>
      </c>
      <c r="G120" t="s">
        <v>39</v>
      </c>
      <c r="H120">
        <v>145.04300000000001</v>
      </c>
      <c r="I120" t="s">
        <v>40</v>
      </c>
      <c r="J120" t="s">
        <v>41</v>
      </c>
      <c r="K120" t="b">
        <v>0</v>
      </c>
      <c r="L120" t="b">
        <v>0</v>
      </c>
      <c r="M120" t="b">
        <v>0</v>
      </c>
      <c r="N120" t="b">
        <v>0</v>
      </c>
      <c r="O120" t="b">
        <v>0</v>
      </c>
      <c r="P120" t="b">
        <v>0</v>
      </c>
      <c r="Q120" t="b">
        <v>0</v>
      </c>
      <c r="R120" t="b">
        <v>0</v>
      </c>
      <c r="S120" t="b">
        <v>0</v>
      </c>
      <c r="U120">
        <v>1</v>
      </c>
      <c r="V120">
        <v>5</v>
      </c>
      <c r="W120">
        <v>6</v>
      </c>
      <c r="X120">
        <v>8.8973333333333304</v>
      </c>
      <c r="Y120" t="b">
        <v>1</v>
      </c>
      <c r="Z120" t="b">
        <v>0</v>
      </c>
      <c r="AA120" t="b">
        <v>0</v>
      </c>
      <c r="AB120">
        <v>0</v>
      </c>
      <c r="AC120" t="s">
        <v>34</v>
      </c>
      <c r="AD120">
        <v>0</v>
      </c>
      <c r="AE120" t="s">
        <v>43</v>
      </c>
      <c r="AF120">
        <v>0</v>
      </c>
      <c r="AG120">
        <v>23.094000000000001</v>
      </c>
      <c r="AI120" t="s">
        <v>35</v>
      </c>
      <c r="AJ120" t="s">
        <v>42</v>
      </c>
      <c r="AK120">
        <v>7.3879999999999999</v>
      </c>
      <c r="AL120">
        <v>20.629000000000001</v>
      </c>
      <c r="AM120" t="s">
        <v>43</v>
      </c>
      <c r="AN120">
        <v>29.867000000000001</v>
      </c>
      <c r="AO120">
        <v>3.01</v>
      </c>
      <c r="AP120" t="s">
        <v>43</v>
      </c>
      <c r="AQ120">
        <v>35.267000000000003</v>
      </c>
      <c r="AR120">
        <v>2.5070000000000001</v>
      </c>
      <c r="AS120" t="s">
        <v>42</v>
      </c>
      <c r="AT120">
        <v>60.527000000000001</v>
      </c>
      <c r="AU120">
        <v>16.337</v>
      </c>
      <c r="AV120" t="s">
        <v>42</v>
      </c>
      <c r="AW120">
        <v>79.069999999999993</v>
      </c>
      <c r="AX120">
        <v>2.302</v>
      </c>
      <c r="AY120" t="s">
        <v>43</v>
      </c>
      <c r="AZ120">
        <v>86.227000000000004</v>
      </c>
      <c r="BA120">
        <v>11.625</v>
      </c>
      <c r="BB120" t="s">
        <v>43</v>
      </c>
      <c r="BC120">
        <v>111.268</v>
      </c>
      <c r="BD120">
        <v>10.547000000000001</v>
      </c>
      <c r="BE120" t="s">
        <v>43</v>
      </c>
      <c r="BF120">
        <v>125.754</v>
      </c>
      <c r="BG120">
        <v>2.601</v>
      </c>
    </row>
    <row r="121" spans="1:69" x14ac:dyDescent="0.2">
      <c r="A121" t="s">
        <v>36</v>
      </c>
      <c r="B121" t="s">
        <v>63</v>
      </c>
      <c r="C121" t="s">
        <v>79</v>
      </c>
      <c r="D121">
        <v>20</v>
      </c>
      <c r="E121">
        <v>3574</v>
      </c>
      <c r="F121" t="s">
        <v>53</v>
      </c>
      <c r="G121" t="s">
        <v>39</v>
      </c>
      <c r="H121">
        <v>0</v>
      </c>
      <c r="I121" t="s">
        <v>40</v>
      </c>
      <c r="J121" t="s">
        <v>32</v>
      </c>
      <c r="K121" t="b">
        <v>0</v>
      </c>
      <c r="L121" t="b">
        <v>0</v>
      </c>
      <c r="M121" t="b">
        <v>0</v>
      </c>
      <c r="N121" t="b">
        <v>0</v>
      </c>
      <c r="O121" t="b">
        <v>0</v>
      </c>
      <c r="P121" t="b">
        <v>0</v>
      </c>
      <c r="Q121" t="b">
        <v>0</v>
      </c>
      <c r="R121" t="b">
        <v>0</v>
      </c>
      <c r="S121" t="b">
        <v>0</v>
      </c>
      <c r="U121">
        <v>1</v>
      </c>
      <c r="V121">
        <v>4</v>
      </c>
      <c r="W121">
        <v>5</v>
      </c>
      <c r="X121">
        <v>21.361999999999998</v>
      </c>
      <c r="Y121" t="b">
        <v>1</v>
      </c>
      <c r="Z121" t="b">
        <v>0</v>
      </c>
      <c r="AA121" t="b">
        <v>0</v>
      </c>
      <c r="AB121">
        <v>0</v>
      </c>
      <c r="AC121" t="s">
        <v>34</v>
      </c>
      <c r="AD121">
        <v>0</v>
      </c>
      <c r="AE121" t="s">
        <v>43</v>
      </c>
      <c r="AF121">
        <v>0</v>
      </c>
      <c r="AG121">
        <v>79.441999999999993</v>
      </c>
      <c r="AI121" t="s">
        <v>35</v>
      </c>
      <c r="AJ121" t="s">
        <v>43</v>
      </c>
      <c r="AK121">
        <v>24.834</v>
      </c>
      <c r="AL121">
        <v>6.8570000000000002</v>
      </c>
      <c r="AM121" t="s">
        <v>42</v>
      </c>
      <c r="AN121">
        <v>53.902000000000001</v>
      </c>
      <c r="AO121">
        <v>12.909000000000001</v>
      </c>
      <c r="AP121" t="s">
        <v>43</v>
      </c>
      <c r="AQ121">
        <v>69.66</v>
      </c>
      <c r="AR121">
        <v>0.88500000000000001</v>
      </c>
      <c r="AS121" t="s">
        <v>43</v>
      </c>
      <c r="AT121">
        <v>87.510999999999996</v>
      </c>
      <c r="AU121">
        <v>10.265000000000001</v>
      </c>
      <c r="AV121" t="s">
        <v>43</v>
      </c>
      <c r="AW121">
        <v>125.845</v>
      </c>
      <c r="AX121">
        <v>9.3610000000000007</v>
      </c>
    </row>
    <row r="122" spans="1:69" x14ac:dyDescent="0.2">
      <c r="A122" t="s">
        <v>36</v>
      </c>
      <c r="B122" t="s">
        <v>44</v>
      </c>
      <c r="C122" t="s">
        <v>45</v>
      </c>
      <c r="D122">
        <v>5</v>
      </c>
      <c r="E122">
        <v>4089</v>
      </c>
      <c r="F122" t="s">
        <v>53</v>
      </c>
      <c r="G122" t="s">
        <v>39</v>
      </c>
      <c r="H122">
        <v>156.07</v>
      </c>
      <c r="I122" t="s">
        <v>40</v>
      </c>
      <c r="J122" t="s">
        <v>50</v>
      </c>
      <c r="K122" t="b">
        <v>0</v>
      </c>
      <c r="L122" t="b">
        <v>0</v>
      </c>
      <c r="M122" t="b">
        <v>0</v>
      </c>
      <c r="N122" t="b">
        <v>0</v>
      </c>
      <c r="O122" t="b">
        <v>0</v>
      </c>
      <c r="P122" t="b">
        <v>0</v>
      </c>
      <c r="Q122" t="b">
        <v>0</v>
      </c>
      <c r="R122" t="b">
        <v>0</v>
      </c>
      <c r="S122" t="b">
        <v>0</v>
      </c>
      <c r="T122" t="s">
        <v>73</v>
      </c>
      <c r="U122">
        <v>0</v>
      </c>
      <c r="V122">
        <v>8</v>
      </c>
      <c r="W122">
        <v>8</v>
      </c>
      <c r="X122">
        <v>6.2641249999999999</v>
      </c>
      <c r="Y122" t="b">
        <v>1</v>
      </c>
      <c r="Z122" t="b">
        <v>1</v>
      </c>
      <c r="AA122" t="b">
        <v>0</v>
      </c>
      <c r="AB122">
        <v>0</v>
      </c>
      <c r="AC122" t="s">
        <v>34</v>
      </c>
      <c r="AE122" t="s">
        <v>35</v>
      </c>
      <c r="AF122" t="s">
        <v>51</v>
      </c>
      <c r="AG122">
        <v>22.381</v>
      </c>
      <c r="AH122">
        <v>11.568</v>
      </c>
      <c r="AI122" t="s">
        <v>43</v>
      </c>
      <c r="AJ122">
        <v>48.813000000000002</v>
      </c>
      <c r="AK122">
        <v>3.694</v>
      </c>
      <c r="AL122" t="s">
        <v>43</v>
      </c>
      <c r="AM122">
        <v>61.433</v>
      </c>
      <c r="AN122">
        <v>3.0569999999999999</v>
      </c>
      <c r="AO122" t="s">
        <v>51</v>
      </c>
      <c r="AP122">
        <v>77.471999999999994</v>
      </c>
      <c r="AQ122">
        <v>10.14</v>
      </c>
      <c r="AR122" t="s">
        <v>43</v>
      </c>
      <c r="AS122">
        <v>94.948999999999998</v>
      </c>
      <c r="AT122">
        <v>4.8259999999999996</v>
      </c>
      <c r="AU122" t="s">
        <v>43</v>
      </c>
      <c r="AV122">
        <v>104.863</v>
      </c>
      <c r="AW122">
        <v>5.23</v>
      </c>
      <c r="AX122" t="s">
        <v>43</v>
      </c>
      <c r="AY122">
        <v>116.997</v>
      </c>
      <c r="AZ122">
        <v>2.9830000000000001</v>
      </c>
      <c r="BA122" t="s">
        <v>43</v>
      </c>
      <c r="BB122">
        <v>129.05699999999999</v>
      </c>
      <c r="BC122">
        <v>8.6150000000000002</v>
      </c>
    </row>
    <row r="123" spans="1:69" x14ac:dyDescent="0.2">
      <c r="A123" t="s">
        <v>36</v>
      </c>
      <c r="B123" t="s">
        <v>28</v>
      </c>
      <c r="C123" t="s">
        <v>52</v>
      </c>
      <c r="D123">
        <v>5</v>
      </c>
      <c r="E123">
        <v>5920</v>
      </c>
      <c r="F123" t="s">
        <v>66</v>
      </c>
      <c r="G123" t="s">
        <v>39</v>
      </c>
      <c r="H123">
        <v>138.154</v>
      </c>
      <c r="I123" t="s">
        <v>40</v>
      </c>
      <c r="J123" t="s">
        <v>41</v>
      </c>
      <c r="K123" t="b">
        <v>0</v>
      </c>
      <c r="L123" t="b">
        <v>0</v>
      </c>
      <c r="M123" t="b">
        <v>0</v>
      </c>
      <c r="N123" t="b">
        <v>0</v>
      </c>
      <c r="O123" t="b">
        <v>0</v>
      </c>
      <c r="P123" t="b">
        <v>0</v>
      </c>
      <c r="Q123" t="b">
        <v>0</v>
      </c>
      <c r="R123" t="b">
        <v>0</v>
      </c>
      <c r="S123" t="b">
        <v>0</v>
      </c>
      <c r="T123" t="s">
        <v>72</v>
      </c>
      <c r="U123">
        <v>0</v>
      </c>
      <c r="V123">
        <v>1</v>
      </c>
      <c r="W123">
        <v>1</v>
      </c>
      <c r="X123">
        <v>231.37100000000001</v>
      </c>
      <c r="Y123" t="b">
        <v>1</v>
      </c>
      <c r="Z123" t="b">
        <v>0</v>
      </c>
      <c r="AA123" t="b">
        <v>0</v>
      </c>
      <c r="AB123">
        <v>0</v>
      </c>
      <c r="AC123" t="s">
        <v>34</v>
      </c>
      <c r="AE123" t="s">
        <v>35</v>
      </c>
      <c r="AF123" t="s">
        <v>43</v>
      </c>
      <c r="AG123">
        <v>0</v>
      </c>
      <c r="AH123">
        <v>231.37100000000001</v>
      </c>
    </row>
    <row r="124" spans="1:69" x14ac:dyDescent="0.2">
      <c r="A124" t="s">
        <v>36</v>
      </c>
      <c r="B124" t="s">
        <v>63</v>
      </c>
      <c r="C124" t="s">
        <v>64</v>
      </c>
      <c r="D124">
        <v>5</v>
      </c>
      <c r="E124">
        <v>6343</v>
      </c>
      <c r="F124" t="s">
        <v>66</v>
      </c>
      <c r="G124" t="s">
        <v>39</v>
      </c>
      <c r="H124">
        <v>148.38200000000001</v>
      </c>
      <c r="I124" t="s">
        <v>54</v>
      </c>
      <c r="J124" t="s">
        <v>41</v>
      </c>
      <c r="K124" t="b">
        <v>0</v>
      </c>
      <c r="L124" t="b">
        <v>0</v>
      </c>
      <c r="M124" t="b">
        <v>0</v>
      </c>
      <c r="N124" t="b">
        <v>0</v>
      </c>
      <c r="O124" t="b">
        <v>0</v>
      </c>
      <c r="P124" t="b">
        <v>0</v>
      </c>
      <c r="Q124" t="b">
        <v>0</v>
      </c>
      <c r="R124" t="b">
        <v>0</v>
      </c>
      <c r="S124" t="b">
        <v>0</v>
      </c>
      <c r="T124" t="s">
        <v>71</v>
      </c>
      <c r="U124">
        <v>1</v>
      </c>
      <c r="V124">
        <v>5</v>
      </c>
      <c r="W124">
        <v>6</v>
      </c>
      <c r="X124">
        <v>3.8078333333333299</v>
      </c>
      <c r="Y124" t="b">
        <v>1</v>
      </c>
      <c r="Z124" t="b">
        <v>1</v>
      </c>
      <c r="AA124" t="b">
        <v>0</v>
      </c>
      <c r="AB124">
        <v>0</v>
      </c>
      <c r="AC124" t="s">
        <v>34</v>
      </c>
      <c r="AD124">
        <v>-3</v>
      </c>
      <c r="AE124" t="s">
        <v>51</v>
      </c>
      <c r="AF124">
        <v>26.3</v>
      </c>
      <c r="AG124">
        <v>2.3730000000000002</v>
      </c>
      <c r="AI124" t="s">
        <v>35</v>
      </c>
      <c r="AJ124" t="s">
        <v>51</v>
      </c>
      <c r="AK124">
        <v>32.164000000000001</v>
      </c>
      <c r="AL124">
        <v>1.37</v>
      </c>
      <c r="AM124" t="s">
        <v>43</v>
      </c>
      <c r="AN124">
        <v>37.564999999999998</v>
      </c>
      <c r="AO124">
        <v>1.4670000000000001</v>
      </c>
      <c r="AP124" t="s">
        <v>51</v>
      </c>
      <c r="AQ124">
        <v>70.353999999999999</v>
      </c>
      <c r="AR124">
        <v>1.536</v>
      </c>
      <c r="AS124" t="s">
        <v>51</v>
      </c>
      <c r="AT124">
        <v>82.186000000000007</v>
      </c>
      <c r="AU124">
        <v>6.7290000000000001</v>
      </c>
      <c r="AV124" t="s">
        <v>51</v>
      </c>
      <c r="AW124">
        <v>109.05500000000001</v>
      </c>
      <c r="AX124">
        <v>9.3719999999999999</v>
      </c>
    </row>
    <row r="125" spans="1:69" x14ac:dyDescent="0.2">
      <c r="A125" t="s">
        <v>36</v>
      </c>
      <c r="B125" t="s">
        <v>37</v>
      </c>
      <c r="C125" t="s">
        <v>38</v>
      </c>
      <c r="D125">
        <v>5</v>
      </c>
      <c r="E125">
        <v>4060</v>
      </c>
      <c r="F125" t="s">
        <v>49</v>
      </c>
      <c r="G125" t="s">
        <v>30</v>
      </c>
      <c r="H125">
        <v>126.075</v>
      </c>
      <c r="I125" t="s">
        <v>54</v>
      </c>
      <c r="J125" t="s">
        <v>41</v>
      </c>
      <c r="K125" t="b">
        <v>0</v>
      </c>
      <c r="L125" t="b">
        <v>0</v>
      </c>
      <c r="M125" t="b">
        <v>0</v>
      </c>
      <c r="N125" t="b">
        <v>0</v>
      </c>
      <c r="O125" t="b">
        <v>0</v>
      </c>
      <c r="P125" t="b">
        <v>0</v>
      </c>
      <c r="Q125" t="b">
        <v>0</v>
      </c>
      <c r="R125" t="b">
        <v>0</v>
      </c>
      <c r="S125" t="b">
        <v>0</v>
      </c>
      <c r="T125" t="s">
        <v>70</v>
      </c>
      <c r="U125">
        <v>0</v>
      </c>
      <c r="V125">
        <v>2</v>
      </c>
      <c r="W125">
        <v>2</v>
      </c>
      <c r="X125">
        <v>6.6310000000000002</v>
      </c>
      <c r="Y125" t="b">
        <v>1</v>
      </c>
      <c r="Z125" t="b">
        <v>0</v>
      </c>
      <c r="AA125" t="b">
        <v>0</v>
      </c>
      <c r="AB125">
        <v>0</v>
      </c>
      <c r="AC125" t="s">
        <v>34</v>
      </c>
      <c r="AD125">
        <v>0</v>
      </c>
      <c r="AE125" t="s">
        <v>42</v>
      </c>
      <c r="AF125">
        <v>0</v>
      </c>
      <c r="AG125">
        <v>61.155999999999999</v>
      </c>
      <c r="AI125" t="s">
        <v>35</v>
      </c>
      <c r="AJ125" t="s">
        <v>43</v>
      </c>
      <c r="AK125">
        <v>24.718</v>
      </c>
      <c r="AL125">
        <v>5.3540000000000001</v>
      </c>
      <c r="AM125" t="s">
        <v>43</v>
      </c>
      <c r="AN125">
        <v>34.875999999999998</v>
      </c>
      <c r="AO125">
        <v>7.9080000000000004</v>
      </c>
      <c r="AP125" t="s">
        <v>42</v>
      </c>
      <c r="AQ125">
        <v>53.128</v>
      </c>
      <c r="AR125">
        <v>12.859</v>
      </c>
      <c r="AS125" t="s">
        <v>42</v>
      </c>
      <c r="AT125">
        <v>77.72</v>
      </c>
      <c r="AU125">
        <v>14.414999999999999</v>
      </c>
      <c r="AV125" t="s">
        <v>42</v>
      </c>
      <c r="AW125">
        <v>102.60299999999999</v>
      </c>
      <c r="AX125">
        <v>7.032</v>
      </c>
      <c r="AY125" t="s">
        <v>42</v>
      </c>
      <c r="AZ125">
        <v>114.46899999999999</v>
      </c>
      <c r="BA125">
        <v>0.253</v>
      </c>
      <c r="BB125" t="s">
        <v>42</v>
      </c>
      <c r="BC125">
        <v>119.387</v>
      </c>
      <c r="BD125">
        <v>0.97499999999999998</v>
      </c>
    </row>
    <row r="126" spans="1:69" x14ac:dyDescent="0.2">
      <c r="A126" t="s">
        <v>36</v>
      </c>
      <c r="B126" t="s">
        <v>47</v>
      </c>
      <c r="C126" t="s">
        <v>48</v>
      </c>
      <c r="D126">
        <v>5</v>
      </c>
      <c r="E126">
        <v>9438</v>
      </c>
      <c r="F126" t="s">
        <v>53</v>
      </c>
      <c r="G126" t="s">
        <v>30</v>
      </c>
      <c r="H126">
        <v>145.77099999999999</v>
      </c>
      <c r="I126" t="s">
        <v>57</v>
      </c>
      <c r="J126" t="s">
        <v>41</v>
      </c>
      <c r="K126" t="b">
        <v>0</v>
      </c>
      <c r="L126" t="b">
        <v>0</v>
      </c>
      <c r="M126" t="b">
        <v>0</v>
      </c>
      <c r="N126" t="b">
        <v>0</v>
      </c>
      <c r="O126" t="b">
        <v>0</v>
      </c>
      <c r="P126" t="b">
        <v>0</v>
      </c>
      <c r="Q126" t="b">
        <v>0</v>
      </c>
      <c r="R126" t="b">
        <v>0</v>
      </c>
      <c r="S126" t="b">
        <v>0</v>
      </c>
      <c r="T126" t="s">
        <v>69</v>
      </c>
      <c r="U126">
        <v>0</v>
      </c>
      <c r="V126">
        <v>0</v>
      </c>
      <c r="W126">
        <v>0</v>
      </c>
      <c r="X126" t="s">
        <v>33</v>
      </c>
      <c r="Y126" t="b">
        <v>0</v>
      </c>
      <c r="Z126" t="b">
        <v>0</v>
      </c>
      <c r="AA126" t="b">
        <v>0</v>
      </c>
      <c r="AB126">
        <v>0</v>
      </c>
      <c r="AC126" t="s">
        <v>34</v>
      </c>
      <c r="AD126">
        <v>0</v>
      </c>
      <c r="AE126" t="s">
        <v>42</v>
      </c>
      <c r="AF126">
        <v>0</v>
      </c>
      <c r="AG126">
        <v>343.56799999999998</v>
      </c>
      <c r="AI126" t="s">
        <v>35</v>
      </c>
      <c r="AJ126" t="s">
        <v>42</v>
      </c>
      <c r="AK126">
        <v>41.082999999999998</v>
      </c>
      <c r="AL126">
        <v>21.834</v>
      </c>
      <c r="AM126" t="s">
        <v>42</v>
      </c>
      <c r="AN126">
        <v>85.201999999999998</v>
      </c>
      <c r="AO126">
        <v>5.3159999999999998</v>
      </c>
      <c r="AP126" t="s">
        <v>42</v>
      </c>
      <c r="AQ126">
        <v>94.418999999999997</v>
      </c>
      <c r="AR126">
        <v>27.634</v>
      </c>
    </row>
    <row r="127" spans="1:69" x14ac:dyDescent="0.2">
      <c r="A127" t="s">
        <v>36</v>
      </c>
      <c r="B127" t="s">
        <v>55</v>
      </c>
      <c r="C127" t="s">
        <v>58</v>
      </c>
      <c r="D127">
        <v>5</v>
      </c>
      <c r="E127">
        <v>8532</v>
      </c>
      <c r="F127" t="s">
        <v>46</v>
      </c>
      <c r="G127" t="s">
        <v>39</v>
      </c>
      <c r="H127">
        <v>0</v>
      </c>
      <c r="I127" t="s">
        <v>40</v>
      </c>
      <c r="J127" t="s">
        <v>32</v>
      </c>
      <c r="K127" t="b">
        <v>0</v>
      </c>
      <c r="L127" t="b">
        <v>0</v>
      </c>
      <c r="M127" t="b">
        <v>0</v>
      </c>
      <c r="N127" t="b">
        <v>0</v>
      </c>
      <c r="O127" t="b">
        <v>0</v>
      </c>
      <c r="P127" t="b">
        <v>0</v>
      </c>
      <c r="Q127" t="b">
        <v>0</v>
      </c>
      <c r="R127" t="b">
        <v>0</v>
      </c>
      <c r="S127" t="b">
        <v>0</v>
      </c>
      <c r="U127">
        <v>0</v>
      </c>
      <c r="V127">
        <v>9</v>
      </c>
      <c r="W127">
        <v>9</v>
      </c>
      <c r="X127">
        <v>4.7457777777777697</v>
      </c>
      <c r="Y127" t="b">
        <v>1</v>
      </c>
      <c r="Z127" t="b">
        <v>0</v>
      </c>
      <c r="AA127" t="b">
        <v>0</v>
      </c>
      <c r="AB127">
        <v>0</v>
      </c>
      <c r="AC127" t="s">
        <v>34</v>
      </c>
      <c r="AD127">
        <v>0</v>
      </c>
      <c r="AE127" t="s">
        <v>42</v>
      </c>
      <c r="AF127">
        <v>0</v>
      </c>
      <c r="AG127">
        <v>302.97800000000001</v>
      </c>
      <c r="AI127" t="s">
        <v>35</v>
      </c>
      <c r="AJ127" t="s">
        <v>43</v>
      </c>
      <c r="AK127">
        <v>23.651</v>
      </c>
      <c r="AL127">
        <v>8.5609999999999999</v>
      </c>
      <c r="AM127" t="s">
        <v>43</v>
      </c>
      <c r="AN127">
        <v>33.094000000000001</v>
      </c>
      <c r="AO127">
        <v>0.69899999999999995</v>
      </c>
      <c r="AP127" t="s">
        <v>42</v>
      </c>
      <c r="AQ127">
        <v>34.904000000000003</v>
      </c>
      <c r="AR127">
        <v>0.39700000000000002</v>
      </c>
      <c r="AS127" t="s">
        <v>43</v>
      </c>
      <c r="AT127">
        <v>44.253999999999998</v>
      </c>
      <c r="AU127">
        <v>7.1589999999999998</v>
      </c>
      <c r="AV127" t="s">
        <v>43</v>
      </c>
      <c r="AW127">
        <v>64.72</v>
      </c>
      <c r="AX127">
        <v>8.7149999999999999</v>
      </c>
      <c r="AY127" t="s">
        <v>43</v>
      </c>
      <c r="AZ127">
        <v>75.572999999999993</v>
      </c>
      <c r="BA127">
        <v>2.0470000000000002</v>
      </c>
      <c r="BB127" t="s">
        <v>43</v>
      </c>
      <c r="BC127">
        <v>86.024000000000001</v>
      </c>
      <c r="BD127">
        <v>3.5249999999999999</v>
      </c>
      <c r="BE127" t="s">
        <v>43</v>
      </c>
      <c r="BF127">
        <v>107.548</v>
      </c>
      <c r="BG127">
        <v>3.133</v>
      </c>
      <c r="BH127" t="s">
        <v>43</v>
      </c>
      <c r="BI127">
        <v>138.05000000000001</v>
      </c>
      <c r="BJ127">
        <v>4.9530000000000003</v>
      </c>
      <c r="BK127" t="s">
        <v>43</v>
      </c>
      <c r="BL127">
        <v>146.06399999999999</v>
      </c>
      <c r="BM127">
        <v>3.92</v>
      </c>
    </row>
    <row r="128" spans="1:69" x14ac:dyDescent="0.2">
      <c r="A128" t="s">
        <v>36</v>
      </c>
      <c r="B128" t="s">
        <v>55</v>
      </c>
      <c r="C128" t="s">
        <v>64</v>
      </c>
      <c r="D128">
        <v>21</v>
      </c>
      <c r="E128">
        <v>2147</v>
      </c>
      <c r="F128" t="s">
        <v>66</v>
      </c>
      <c r="G128" t="s">
        <v>30</v>
      </c>
      <c r="H128">
        <v>0</v>
      </c>
      <c r="I128" t="s">
        <v>54</v>
      </c>
      <c r="J128" t="s">
        <v>32</v>
      </c>
      <c r="K128" t="b">
        <v>0</v>
      </c>
      <c r="L128" t="b">
        <v>0</v>
      </c>
      <c r="M128" t="b">
        <v>0</v>
      </c>
      <c r="N128" t="b">
        <v>0</v>
      </c>
      <c r="O128" t="b">
        <v>0</v>
      </c>
      <c r="P128" t="b">
        <v>0</v>
      </c>
      <c r="Q128" t="b">
        <v>0</v>
      </c>
      <c r="R128" t="b">
        <v>0</v>
      </c>
      <c r="S128" t="b">
        <v>0</v>
      </c>
      <c r="T128" t="s">
        <v>108</v>
      </c>
      <c r="U128">
        <v>0</v>
      </c>
      <c r="V128">
        <v>4</v>
      </c>
      <c r="W128">
        <v>4</v>
      </c>
      <c r="X128">
        <v>9.2327499999999993</v>
      </c>
      <c r="Y128" t="b">
        <v>1</v>
      </c>
      <c r="Z128" t="b">
        <v>1</v>
      </c>
      <c r="AA128" t="b">
        <v>0</v>
      </c>
      <c r="AB128">
        <v>0</v>
      </c>
      <c r="AC128" t="s">
        <v>34</v>
      </c>
      <c r="AE128" t="s">
        <v>35</v>
      </c>
      <c r="AF128" t="s">
        <v>43</v>
      </c>
      <c r="AG128">
        <v>33.42</v>
      </c>
      <c r="AH128">
        <v>1.0089999999999999</v>
      </c>
      <c r="AI128" t="s">
        <v>51</v>
      </c>
      <c r="AJ128">
        <v>49.091999999999999</v>
      </c>
      <c r="AK128">
        <v>0.35</v>
      </c>
      <c r="AL128" t="s">
        <v>51</v>
      </c>
      <c r="AM128">
        <v>52.883000000000003</v>
      </c>
      <c r="AN128">
        <v>9.0410000000000004</v>
      </c>
      <c r="AO128" t="s">
        <v>43</v>
      </c>
      <c r="AP128">
        <v>90.744</v>
      </c>
      <c r="AQ128">
        <v>26.530999999999999</v>
      </c>
    </row>
    <row r="129" spans="1:74" x14ac:dyDescent="0.2">
      <c r="A129" t="s">
        <v>36</v>
      </c>
      <c r="B129" t="s">
        <v>47</v>
      </c>
      <c r="C129" t="s">
        <v>52</v>
      </c>
      <c r="D129">
        <v>21</v>
      </c>
      <c r="E129">
        <v>6443</v>
      </c>
      <c r="F129" t="s">
        <v>46</v>
      </c>
      <c r="G129" t="s">
        <v>39</v>
      </c>
      <c r="H129">
        <v>0</v>
      </c>
      <c r="I129" t="s">
        <v>54</v>
      </c>
      <c r="J129" t="s">
        <v>32</v>
      </c>
      <c r="K129" t="b">
        <v>0</v>
      </c>
      <c r="L129" t="b">
        <v>0</v>
      </c>
      <c r="M129" t="b">
        <v>0</v>
      </c>
      <c r="N129" t="b">
        <v>0</v>
      </c>
      <c r="O129" t="b">
        <v>0</v>
      </c>
      <c r="P129" t="b">
        <v>0</v>
      </c>
      <c r="Q129" t="b">
        <v>0</v>
      </c>
      <c r="R129" t="b">
        <v>0</v>
      </c>
      <c r="S129" t="b">
        <v>0</v>
      </c>
      <c r="U129">
        <v>4</v>
      </c>
      <c r="V129">
        <v>9</v>
      </c>
      <c r="W129">
        <v>13</v>
      </c>
      <c r="X129">
        <v>20.355153846153801</v>
      </c>
      <c r="Y129" t="b">
        <v>1</v>
      </c>
      <c r="Z129" t="b">
        <v>1</v>
      </c>
      <c r="AA129" t="b">
        <v>0</v>
      </c>
      <c r="AB129">
        <v>0</v>
      </c>
      <c r="AC129" t="s">
        <v>34</v>
      </c>
      <c r="AD129">
        <v>0</v>
      </c>
      <c r="AE129" t="s">
        <v>43</v>
      </c>
      <c r="AF129">
        <v>0</v>
      </c>
      <c r="AG129">
        <v>206.113</v>
      </c>
      <c r="AH129">
        <v>2</v>
      </c>
      <c r="AI129" t="s">
        <v>43</v>
      </c>
      <c r="AJ129">
        <v>5.4820000000000002</v>
      </c>
      <c r="AK129">
        <v>1.0129999999999999</v>
      </c>
      <c r="AL129">
        <v>1</v>
      </c>
      <c r="AM129" t="s">
        <v>43</v>
      </c>
      <c r="AN129">
        <v>7.0129999999999999</v>
      </c>
      <c r="AO129">
        <v>1.0289999999999999</v>
      </c>
      <c r="AP129">
        <v>5</v>
      </c>
      <c r="AQ129" t="s">
        <v>43</v>
      </c>
      <c r="AR129">
        <v>9.8119999999999994</v>
      </c>
      <c r="AS129">
        <v>1.6339999999999999</v>
      </c>
      <c r="AU129" t="s">
        <v>35</v>
      </c>
      <c r="AV129" t="s">
        <v>51</v>
      </c>
      <c r="AW129">
        <v>22.776</v>
      </c>
      <c r="AX129">
        <v>4.6669999999999998</v>
      </c>
      <c r="AY129" t="s">
        <v>51</v>
      </c>
      <c r="AZ129">
        <v>35.792000000000002</v>
      </c>
      <c r="BA129">
        <v>7.5369999999999999</v>
      </c>
      <c r="BB129" t="s">
        <v>43</v>
      </c>
      <c r="BC129">
        <v>49.76</v>
      </c>
      <c r="BD129">
        <v>0.27100000000000002</v>
      </c>
      <c r="BE129" t="s">
        <v>51</v>
      </c>
      <c r="BF129">
        <v>52.53</v>
      </c>
      <c r="BG129">
        <v>8.3829999999999991</v>
      </c>
      <c r="BH129" t="s">
        <v>43</v>
      </c>
      <c r="BI129">
        <v>70.512</v>
      </c>
      <c r="BJ129">
        <v>2.8860000000000001</v>
      </c>
      <c r="BK129" t="s">
        <v>51</v>
      </c>
      <c r="BL129">
        <v>91.683000000000007</v>
      </c>
      <c r="BM129">
        <v>9.6639999999999997</v>
      </c>
      <c r="BN129" t="s">
        <v>51</v>
      </c>
      <c r="BO129">
        <v>112.449</v>
      </c>
      <c r="BP129">
        <v>14.132999999999999</v>
      </c>
      <c r="BQ129" t="s">
        <v>43</v>
      </c>
      <c r="BR129">
        <v>139.149</v>
      </c>
      <c r="BS129">
        <v>5.4539999999999997</v>
      </c>
      <c r="BT129" t="s">
        <v>43</v>
      </c>
      <c r="BU129">
        <v>153.05199999999999</v>
      </c>
      <c r="BV129">
        <v>1.833</v>
      </c>
    </row>
    <row r="130" spans="1:74" x14ac:dyDescent="0.2">
      <c r="A130" t="s">
        <v>36</v>
      </c>
      <c r="B130" t="s">
        <v>37</v>
      </c>
      <c r="C130" t="s">
        <v>45</v>
      </c>
      <c r="D130">
        <v>21</v>
      </c>
      <c r="E130">
        <v>6076</v>
      </c>
      <c r="F130" t="s">
        <v>66</v>
      </c>
      <c r="G130" t="s">
        <v>30</v>
      </c>
      <c r="H130">
        <v>0</v>
      </c>
      <c r="I130" t="s">
        <v>31</v>
      </c>
      <c r="J130" t="s">
        <v>32</v>
      </c>
      <c r="K130" t="b">
        <v>0</v>
      </c>
      <c r="L130" t="b">
        <v>1</v>
      </c>
      <c r="M130" t="b">
        <v>0</v>
      </c>
      <c r="N130" t="b">
        <v>0</v>
      </c>
      <c r="O130" t="b">
        <v>0</v>
      </c>
      <c r="P130" t="b">
        <v>0</v>
      </c>
      <c r="Q130" t="b">
        <v>0</v>
      </c>
      <c r="R130" t="b">
        <v>0</v>
      </c>
      <c r="S130" t="b">
        <v>0</v>
      </c>
      <c r="T130" t="s">
        <v>109</v>
      </c>
      <c r="U130">
        <v>2</v>
      </c>
      <c r="V130">
        <v>7</v>
      </c>
      <c r="W130">
        <v>9</v>
      </c>
      <c r="X130">
        <v>60.396444444444398</v>
      </c>
      <c r="Y130" t="b">
        <v>1</v>
      </c>
      <c r="Z130" t="b">
        <v>0</v>
      </c>
      <c r="AA130" t="b">
        <v>1</v>
      </c>
      <c r="AB130">
        <v>1</v>
      </c>
      <c r="AC130" t="s">
        <v>34</v>
      </c>
      <c r="AE130" t="s">
        <v>35</v>
      </c>
    </row>
    <row r="131" spans="1:74" x14ac:dyDescent="0.2">
      <c r="A131" t="s">
        <v>36</v>
      </c>
      <c r="B131" t="s">
        <v>44</v>
      </c>
      <c r="C131" t="s">
        <v>78</v>
      </c>
      <c r="D131">
        <v>21</v>
      </c>
      <c r="E131">
        <v>492</v>
      </c>
      <c r="F131" t="s">
        <v>53</v>
      </c>
      <c r="G131" t="s">
        <v>39</v>
      </c>
      <c r="H131">
        <v>158.988</v>
      </c>
      <c r="I131" t="s">
        <v>40</v>
      </c>
      <c r="J131" t="s">
        <v>41</v>
      </c>
      <c r="K131" t="b">
        <v>0</v>
      </c>
      <c r="L131" t="b">
        <v>0</v>
      </c>
      <c r="M131" t="b">
        <v>0</v>
      </c>
      <c r="N131" t="b">
        <v>0</v>
      </c>
      <c r="O131" t="b">
        <v>0</v>
      </c>
      <c r="P131" t="b">
        <v>0</v>
      </c>
      <c r="Q131" t="b">
        <v>0</v>
      </c>
      <c r="R131" t="b">
        <v>0</v>
      </c>
      <c r="S131" t="b">
        <v>0</v>
      </c>
      <c r="U131">
        <v>1</v>
      </c>
      <c r="V131">
        <v>5</v>
      </c>
      <c r="W131">
        <v>6</v>
      </c>
      <c r="X131">
        <v>34.326999999999998</v>
      </c>
      <c r="Y131" t="b">
        <v>1</v>
      </c>
      <c r="Z131" t="b">
        <v>1</v>
      </c>
      <c r="AA131" t="b">
        <v>0</v>
      </c>
      <c r="AB131">
        <v>0</v>
      </c>
      <c r="AC131" t="s">
        <v>34</v>
      </c>
      <c r="AD131">
        <v>0</v>
      </c>
      <c r="AE131" t="s">
        <v>43</v>
      </c>
      <c r="AF131">
        <v>0</v>
      </c>
      <c r="AG131">
        <v>147.827</v>
      </c>
      <c r="AI131" t="s">
        <v>35</v>
      </c>
      <c r="AJ131" t="s">
        <v>51</v>
      </c>
      <c r="AK131">
        <v>11.173999999999999</v>
      </c>
      <c r="AL131">
        <v>14.606</v>
      </c>
      <c r="AM131" t="s">
        <v>42</v>
      </c>
      <c r="AN131">
        <v>30.463000000000001</v>
      </c>
      <c r="AO131">
        <v>20.445</v>
      </c>
      <c r="AP131" t="s">
        <v>43</v>
      </c>
      <c r="AQ131">
        <v>53.993000000000002</v>
      </c>
      <c r="AR131">
        <v>1.2789999999999999</v>
      </c>
      <c r="AS131" t="s">
        <v>43</v>
      </c>
      <c r="AT131">
        <v>62.914999999999999</v>
      </c>
      <c r="AU131">
        <v>5.5960000000000001</v>
      </c>
      <c r="AV131" t="s">
        <v>43</v>
      </c>
      <c r="AW131">
        <v>84.215000000000003</v>
      </c>
      <c r="AX131">
        <v>20.302</v>
      </c>
      <c r="AY131" t="s">
        <v>43</v>
      </c>
      <c r="AZ131">
        <v>115.084</v>
      </c>
      <c r="BA131">
        <v>16.352</v>
      </c>
    </row>
    <row r="132" spans="1:74" x14ac:dyDescent="0.2">
      <c r="A132" t="s">
        <v>36</v>
      </c>
      <c r="B132" t="s">
        <v>28</v>
      </c>
      <c r="C132" t="s">
        <v>52</v>
      </c>
      <c r="D132">
        <v>21</v>
      </c>
      <c r="E132">
        <v>4061</v>
      </c>
      <c r="F132" t="s">
        <v>46</v>
      </c>
      <c r="G132" t="s">
        <v>30</v>
      </c>
      <c r="H132">
        <v>164.55</v>
      </c>
      <c r="I132" t="s">
        <v>40</v>
      </c>
      <c r="J132" t="s">
        <v>41</v>
      </c>
      <c r="K132" t="b">
        <v>0</v>
      </c>
      <c r="L132" t="b">
        <v>0</v>
      </c>
      <c r="M132" t="b">
        <v>0</v>
      </c>
      <c r="N132" t="b">
        <v>0</v>
      </c>
      <c r="O132" t="b">
        <v>0</v>
      </c>
      <c r="P132" t="b">
        <v>0</v>
      </c>
      <c r="Q132" t="b">
        <v>0</v>
      </c>
      <c r="R132" t="b">
        <v>0</v>
      </c>
      <c r="S132" t="b">
        <v>0</v>
      </c>
      <c r="U132">
        <v>0</v>
      </c>
      <c r="V132">
        <v>1</v>
      </c>
      <c r="W132">
        <v>1</v>
      </c>
      <c r="X132">
        <v>167.154</v>
      </c>
      <c r="Y132" t="b">
        <v>0</v>
      </c>
      <c r="Z132" t="b">
        <v>1</v>
      </c>
      <c r="AA132" t="b">
        <v>0</v>
      </c>
      <c r="AB132">
        <v>0</v>
      </c>
      <c r="AC132" t="s">
        <v>34</v>
      </c>
      <c r="AE132" t="s">
        <v>35</v>
      </c>
      <c r="AF132" t="s">
        <v>51</v>
      </c>
      <c r="AG132">
        <v>0</v>
      </c>
      <c r="AH132">
        <v>167.154</v>
      </c>
    </row>
    <row r="133" spans="1:74" x14ac:dyDescent="0.2">
      <c r="A133" t="s">
        <v>36</v>
      </c>
      <c r="B133" t="s">
        <v>63</v>
      </c>
      <c r="C133" t="s">
        <v>79</v>
      </c>
      <c r="D133">
        <v>21</v>
      </c>
      <c r="E133">
        <v>4131</v>
      </c>
      <c r="F133" t="s">
        <v>49</v>
      </c>
      <c r="G133" t="s">
        <v>39</v>
      </c>
      <c r="H133">
        <v>135.434</v>
      </c>
      <c r="I133" t="s">
        <v>40</v>
      </c>
      <c r="J133" t="s">
        <v>41</v>
      </c>
      <c r="K133" t="b">
        <v>0</v>
      </c>
      <c r="L133" t="b">
        <v>0</v>
      </c>
      <c r="M133" t="b">
        <v>0</v>
      </c>
      <c r="N133" t="b">
        <v>0</v>
      </c>
      <c r="O133" t="b">
        <v>0</v>
      </c>
      <c r="P133" t="b">
        <v>0</v>
      </c>
      <c r="Q133" t="b">
        <v>0</v>
      </c>
      <c r="R133" t="b">
        <v>0</v>
      </c>
      <c r="S133" t="b">
        <v>0</v>
      </c>
      <c r="U133">
        <v>1</v>
      </c>
      <c r="V133">
        <v>3</v>
      </c>
      <c r="W133">
        <v>4</v>
      </c>
      <c r="X133">
        <v>52.811250000000001</v>
      </c>
      <c r="Y133" t="b">
        <v>1</v>
      </c>
      <c r="Z133" t="b">
        <v>0</v>
      </c>
      <c r="AA133" t="b">
        <v>0</v>
      </c>
      <c r="AB133">
        <v>0</v>
      </c>
      <c r="AC133" t="s">
        <v>34</v>
      </c>
      <c r="AD133">
        <v>0</v>
      </c>
      <c r="AE133" t="s">
        <v>43</v>
      </c>
      <c r="AF133">
        <v>0</v>
      </c>
      <c r="AG133">
        <v>198.96</v>
      </c>
      <c r="AI133" t="s">
        <v>35</v>
      </c>
      <c r="AJ133" t="s">
        <v>43</v>
      </c>
      <c r="AK133">
        <v>37.478000000000002</v>
      </c>
      <c r="AL133">
        <v>6.9989999999999997</v>
      </c>
      <c r="AM133" t="s">
        <v>42</v>
      </c>
      <c r="AN133">
        <v>57.56</v>
      </c>
      <c r="AO133">
        <v>8.4019999999999992</v>
      </c>
      <c r="AP133" t="s">
        <v>43</v>
      </c>
      <c r="AQ133">
        <v>70.27</v>
      </c>
      <c r="AR133">
        <v>4.9800000000000004</v>
      </c>
      <c r="AS133" t="s">
        <v>43</v>
      </c>
      <c r="AT133">
        <v>105.947</v>
      </c>
      <c r="AU133">
        <v>0.30599999999999999</v>
      </c>
      <c r="AV133" t="s">
        <v>42</v>
      </c>
      <c r="AW133">
        <v>111.681</v>
      </c>
      <c r="AX133">
        <v>9.3000000000000007</v>
      </c>
      <c r="AY133" t="s">
        <v>42</v>
      </c>
      <c r="AZ133">
        <v>126.765</v>
      </c>
      <c r="BA133">
        <v>1.3720000000000001</v>
      </c>
    </row>
    <row r="134" spans="1:74" x14ac:dyDescent="0.2">
      <c r="A134" t="s">
        <v>36</v>
      </c>
      <c r="B134" t="s">
        <v>63</v>
      </c>
      <c r="C134" t="s">
        <v>58</v>
      </c>
      <c r="D134">
        <v>22</v>
      </c>
      <c r="E134">
        <v>4089</v>
      </c>
      <c r="F134" t="s">
        <v>46</v>
      </c>
      <c r="G134" t="s">
        <v>39</v>
      </c>
      <c r="H134">
        <v>0</v>
      </c>
      <c r="I134" t="s">
        <v>40</v>
      </c>
      <c r="J134" t="s">
        <v>32</v>
      </c>
      <c r="K134" t="b">
        <v>0</v>
      </c>
      <c r="L134" t="b">
        <v>0</v>
      </c>
      <c r="M134" t="b">
        <v>0</v>
      </c>
      <c r="N134" t="b">
        <v>0</v>
      </c>
      <c r="O134" t="b">
        <v>0</v>
      </c>
      <c r="P134" t="b">
        <v>0</v>
      </c>
      <c r="Q134" t="b">
        <v>0</v>
      </c>
      <c r="R134" t="b">
        <v>0</v>
      </c>
      <c r="S134" t="b">
        <v>0</v>
      </c>
      <c r="U134">
        <v>1</v>
      </c>
      <c r="V134">
        <v>5</v>
      </c>
      <c r="W134">
        <v>6</v>
      </c>
      <c r="X134">
        <v>174.1865</v>
      </c>
      <c r="Y134" t="b">
        <v>1</v>
      </c>
      <c r="Z134" t="b">
        <v>1</v>
      </c>
      <c r="AA134" t="b">
        <v>0</v>
      </c>
      <c r="AB134">
        <v>0</v>
      </c>
      <c r="AC134" t="s">
        <v>34</v>
      </c>
      <c r="AD134">
        <v>0</v>
      </c>
      <c r="AE134" t="s">
        <v>43</v>
      </c>
      <c r="AF134">
        <v>0</v>
      </c>
      <c r="AG134">
        <v>1022.982</v>
      </c>
      <c r="AI134" t="s">
        <v>35</v>
      </c>
      <c r="AJ134" t="s">
        <v>51</v>
      </c>
      <c r="AK134">
        <v>24.004000000000001</v>
      </c>
      <c r="AL134">
        <v>4.5439999999999996</v>
      </c>
      <c r="AM134" t="s">
        <v>51</v>
      </c>
      <c r="AN134">
        <v>38.314</v>
      </c>
      <c r="AO134">
        <v>1.726</v>
      </c>
      <c r="AP134" t="s">
        <v>42</v>
      </c>
      <c r="AQ134">
        <v>51.332000000000001</v>
      </c>
      <c r="AR134">
        <v>0.32200000000000001</v>
      </c>
      <c r="AS134" t="s">
        <v>42</v>
      </c>
      <c r="AT134">
        <v>53.976999999999997</v>
      </c>
      <c r="AU134">
        <v>2.0009999999999999</v>
      </c>
      <c r="AV134" t="s">
        <v>43</v>
      </c>
      <c r="AW134">
        <v>64.335999999999999</v>
      </c>
      <c r="AX134">
        <v>3.0649999999999999</v>
      </c>
      <c r="AY134" t="s">
        <v>42</v>
      </c>
      <c r="AZ134">
        <v>74.495000000000005</v>
      </c>
      <c r="BA134">
        <v>5.2149999999999999</v>
      </c>
      <c r="BB134" t="s">
        <v>51</v>
      </c>
      <c r="BC134">
        <v>87.825000000000003</v>
      </c>
      <c r="BD134">
        <v>6.6719999999999997</v>
      </c>
      <c r="BE134" t="s">
        <v>51</v>
      </c>
      <c r="BF134">
        <v>109.809</v>
      </c>
      <c r="BG134">
        <v>6.13</v>
      </c>
      <c r="BH134" t="s">
        <v>42</v>
      </c>
      <c r="BI134">
        <v>131.92500000000001</v>
      </c>
      <c r="BJ134">
        <v>10.084</v>
      </c>
    </row>
    <row r="135" spans="1:74" x14ac:dyDescent="0.2">
      <c r="A135" t="s">
        <v>36</v>
      </c>
      <c r="B135" t="s">
        <v>28</v>
      </c>
      <c r="C135" t="s">
        <v>48</v>
      </c>
      <c r="D135">
        <v>22</v>
      </c>
      <c r="E135">
        <v>4692</v>
      </c>
      <c r="F135" t="s">
        <v>49</v>
      </c>
      <c r="G135" t="s">
        <v>30</v>
      </c>
      <c r="H135">
        <v>0</v>
      </c>
      <c r="I135" t="s">
        <v>40</v>
      </c>
      <c r="J135" t="s">
        <v>32</v>
      </c>
      <c r="K135" t="b">
        <v>0</v>
      </c>
      <c r="L135" t="b">
        <v>0</v>
      </c>
      <c r="M135" t="b">
        <v>0</v>
      </c>
      <c r="N135" t="b">
        <v>0</v>
      </c>
      <c r="O135" t="b">
        <v>0</v>
      </c>
      <c r="P135" t="b">
        <v>0</v>
      </c>
      <c r="Q135" t="b">
        <v>0</v>
      </c>
      <c r="R135" t="b">
        <v>0</v>
      </c>
      <c r="S135" t="b">
        <v>0</v>
      </c>
      <c r="T135" t="s">
        <v>110</v>
      </c>
      <c r="U135">
        <v>0</v>
      </c>
      <c r="V135">
        <v>0</v>
      </c>
      <c r="W135">
        <v>0</v>
      </c>
      <c r="X135" t="s">
        <v>33</v>
      </c>
      <c r="Y135" t="b">
        <v>0</v>
      </c>
      <c r="Z135" t="b">
        <v>0</v>
      </c>
      <c r="AA135" t="b">
        <v>0</v>
      </c>
      <c r="AB135">
        <v>0</v>
      </c>
      <c r="AC135" t="s">
        <v>34</v>
      </c>
      <c r="AD135">
        <v>0</v>
      </c>
      <c r="AE135" t="s">
        <v>42</v>
      </c>
      <c r="AF135">
        <v>0</v>
      </c>
      <c r="AG135">
        <v>666.95899999999995</v>
      </c>
      <c r="AI135" t="s">
        <v>35</v>
      </c>
    </row>
    <row r="136" spans="1:74" x14ac:dyDescent="0.2">
      <c r="A136" t="s">
        <v>36</v>
      </c>
      <c r="B136" t="s">
        <v>44</v>
      </c>
      <c r="C136" t="s">
        <v>38</v>
      </c>
      <c r="D136">
        <v>22</v>
      </c>
      <c r="E136">
        <v>4104</v>
      </c>
      <c r="F136" t="s">
        <v>53</v>
      </c>
      <c r="G136" t="s">
        <v>39</v>
      </c>
      <c r="H136">
        <v>131.38</v>
      </c>
      <c r="I136" t="s">
        <v>57</v>
      </c>
      <c r="J136" t="s">
        <v>50</v>
      </c>
      <c r="K136" t="b">
        <v>0</v>
      </c>
      <c r="L136" t="b">
        <v>0</v>
      </c>
      <c r="M136" t="b">
        <v>0</v>
      </c>
      <c r="N136" t="b">
        <v>0</v>
      </c>
      <c r="O136" t="b">
        <v>0</v>
      </c>
      <c r="P136" t="b">
        <v>0</v>
      </c>
      <c r="Q136" t="b">
        <v>0</v>
      </c>
      <c r="R136" t="b">
        <v>0</v>
      </c>
      <c r="S136" t="b">
        <v>0</v>
      </c>
      <c r="U136">
        <v>1</v>
      </c>
      <c r="V136">
        <v>0</v>
      </c>
      <c r="W136">
        <v>1</v>
      </c>
      <c r="X136">
        <v>642.43899999999996</v>
      </c>
      <c r="Y136" t="b">
        <v>1</v>
      </c>
      <c r="Z136" t="b">
        <v>0</v>
      </c>
      <c r="AA136" t="b">
        <v>0</v>
      </c>
      <c r="AB136">
        <v>0</v>
      </c>
      <c r="AC136" t="s">
        <v>34</v>
      </c>
      <c r="AD136">
        <v>0</v>
      </c>
      <c r="AE136" t="s">
        <v>43</v>
      </c>
      <c r="AF136">
        <v>0</v>
      </c>
      <c r="AG136">
        <v>642.43899999999996</v>
      </c>
      <c r="AI136" t="s">
        <v>35</v>
      </c>
      <c r="AJ136" t="s">
        <v>42</v>
      </c>
      <c r="AK136">
        <v>89.613</v>
      </c>
      <c r="AL136">
        <v>0.435</v>
      </c>
    </row>
    <row r="137" spans="1:74" x14ac:dyDescent="0.2">
      <c r="A137" t="s">
        <v>36</v>
      </c>
      <c r="B137" t="s">
        <v>55</v>
      </c>
      <c r="C137" t="s">
        <v>64</v>
      </c>
      <c r="D137">
        <v>22</v>
      </c>
      <c r="E137">
        <v>5920</v>
      </c>
      <c r="F137" t="s">
        <v>53</v>
      </c>
      <c r="G137" t="s">
        <v>30</v>
      </c>
      <c r="H137">
        <v>0</v>
      </c>
      <c r="I137" t="s">
        <v>54</v>
      </c>
      <c r="J137" t="s">
        <v>32</v>
      </c>
      <c r="K137" t="b">
        <v>0</v>
      </c>
      <c r="L137" t="b">
        <v>0</v>
      </c>
      <c r="M137" t="b">
        <v>0</v>
      </c>
      <c r="N137" t="b">
        <v>0</v>
      </c>
      <c r="O137" t="b">
        <v>0</v>
      </c>
      <c r="P137" t="b">
        <v>0</v>
      </c>
      <c r="Q137" t="b">
        <v>0</v>
      </c>
      <c r="R137" t="b">
        <v>0</v>
      </c>
      <c r="S137" t="b">
        <v>0</v>
      </c>
      <c r="T137" t="s">
        <v>111</v>
      </c>
      <c r="U137">
        <v>0</v>
      </c>
      <c r="V137">
        <v>2</v>
      </c>
      <c r="W137">
        <v>2</v>
      </c>
      <c r="X137">
        <v>0.98550000000000004</v>
      </c>
      <c r="Y137" t="b">
        <v>1</v>
      </c>
      <c r="Z137" t="b">
        <v>0</v>
      </c>
      <c r="AA137" t="b">
        <v>0</v>
      </c>
      <c r="AB137">
        <v>0</v>
      </c>
      <c r="AC137" t="s">
        <v>34</v>
      </c>
      <c r="AE137" t="s">
        <v>35</v>
      </c>
      <c r="AF137" t="s">
        <v>43</v>
      </c>
      <c r="AG137">
        <v>27.245000000000001</v>
      </c>
      <c r="AH137">
        <v>1.6930000000000001</v>
      </c>
      <c r="AI137" t="s">
        <v>43</v>
      </c>
      <c r="AJ137">
        <v>81.42</v>
      </c>
      <c r="AK137">
        <v>0.27800000000000002</v>
      </c>
    </row>
    <row r="138" spans="1:74" x14ac:dyDescent="0.2">
      <c r="A138" t="s">
        <v>36</v>
      </c>
      <c r="B138" t="s">
        <v>47</v>
      </c>
      <c r="C138" t="s">
        <v>52</v>
      </c>
      <c r="D138">
        <v>22</v>
      </c>
      <c r="E138">
        <v>9680</v>
      </c>
      <c r="F138" t="s">
        <v>49</v>
      </c>
      <c r="G138" t="s">
        <v>30</v>
      </c>
      <c r="H138">
        <v>0</v>
      </c>
      <c r="I138" t="s">
        <v>31</v>
      </c>
      <c r="J138" t="s">
        <v>32</v>
      </c>
      <c r="K138" t="b">
        <v>0</v>
      </c>
      <c r="L138" t="b">
        <v>0</v>
      </c>
      <c r="M138" t="b">
        <v>0</v>
      </c>
      <c r="N138" t="b">
        <v>0</v>
      </c>
      <c r="O138" t="b">
        <v>0</v>
      </c>
      <c r="P138" t="b">
        <v>0</v>
      </c>
      <c r="Q138" t="b">
        <v>1</v>
      </c>
      <c r="R138" t="b">
        <v>0</v>
      </c>
      <c r="S138" t="b">
        <v>0</v>
      </c>
      <c r="T138" t="s">
        <v>112</v>
      </c>
      <c r="U138">
        <v>4</v>
      </c>
      <c r="V138">
        <v>9</v>
      </c>
      <c r="W138">
        <v>13</v>
      </c>
      <c r="X138">
        <v>20.355153846153801</v>
      </c>
      <c r="Y138" t="b">
        <v>1</v>
      </c>
      <c r="Z138" t="b">
        <v>1</v>
      </c>
      <c r="AA138" t="b">
        <v>0</v>
      </c>
      <c r="AB138">
        <v>0</v>
      </c>
      <c r="AC138" t="s">
        <v>34</v>
      </c>
      <c r="AE138" t="s">
        <v>35</v>
      </c>
    </row>
    <row r="139" spans="1:74" x14ac:dyDescent="0.2">
      <c r="A139" t="s">
        <v>36</v>
      </c>
      <c r="B139" t="s">
        <v>37</v>
      </c>
      <c r="C139" t="s">
        <v>45</v>
      </c>
      <c r="D139">
        <v>22</v>
      </c>
      <c r="E139">
        <v>4125</v>
      </c>
      <c r="F139" t="s">
        <v>46</v>
      </c>
      <c r="G139" t="s">
        <v>39</v>
      </c>
      <c r="H139">
        <v>0</v>
      </c>
      <c r="I139" t="s">
        <v>40</v>
      </c>
      <c r="J139" t="s">
        <v>32</v>
      </c>
      <c r="K139" t="b">
        <v>0</v>
      </c>
      <c r="L139" t="b">
        <v>0</v>
      </c>
      <c r="M139" t="b">
        <v>0</v>
      </c>
      <c r="N139" t="b">
        <v>0</v>
      </c>
      <c r="O139" t="b">
        <v>0</v>
      </c>
      <c r="P139" t="b">
        <v>0</v>
      </c>
      <c r="Q139" t="b">
        <v>0</v>
      </c>
      <c r="R139" t="b">
        <v>0</v>
      </c>
      <c r="S139" t="b">
        <v>0</v>
      </c>
      <c r="U139">
        <v>1</v>
      </c>
      <c r="V139">
        <v>8</v>
      </c>
      <c r="W139">
        <v>9</v>
      </c>
      <c r="X139">
        <v>64.733222222222196</v>
      </c>
      <c r="Y139" t="b">
        <v>1</v>
      </c>
      <c r="Z139" t="b">
        <v>1</v>
      </c>
      <c r="AA139" t="b">
        <v>0</v>
      </c>
      <c r="AB139">
        <v>0</v>
      </c>
      <c r="AC139" t="s">
        <v>34</v>
      </c>
      <c r="AD139">
        <v>0</v>
      </c>
      <c r="AE139" t="s">
        <v>43</v>
      </c>
      <c r="AF139">
        <v>0</v>
      </c>
      <c r="AG139">
        <v>566.32399999999996</v>
      </c>
      <c r="AI139" t="s">
        <v>35</v>
      </c>
      <c r="AJ139" t="s">
        <v>43</v>
      </c>
      <c r="AK139">
        <v>24.853000000000002</v>
      </c>
      <c r="AL139">
        <v>11.492000000000001</v>
      </c>
      <c r="AM139" t="s">
        <v>51</v>
      </c>
      <c r="AN139">
        <v>40.133000000000003</v>
      </c>
      <c r="AO139">
        <v>0.89900000000000002</v>
      </c>
      <c r="AP139" t="s">
        <v>51</v>
      </c>
      <c r="AQ139">
        <v>87.206999999999994</v>
      </c>
      <c r="AR139">
        <v>0.76400000000000001</v>
      </c>
      <c r="AS139" t="s">
        <v>43</v>
      </c>
      <c r="AT139">
        <v>98.44</v>
      </c>
      <c r="AU139">
        <v>1.33</v>
      </c>
      <c r="AV139" t="s">
        <v>43</v>
      </c>
      <c r="AW139">
        <v>104.714</v>
      </c>
      <c r="AX139">
        <v>0.42</v>
      </c>
      <c r="AY139" t="s">
        <v>43</v>
      </c>
      <c r="AZ139">
        <v>112.836</v>
      </c>
      <c r="BA139">
        <v>0.36899999999999999</v>
      </c>
      <c r="BB139" t="s">
        <v>43</v>
      </c>
      <c r="BC139">
        <v>125.931</v>
      </c>
      <c r="BD139">
        <v>0.58499999999999996</v>
      </c>
      <c r="BE139" t="s">
        <v>43</v>
      </c>
      <c r="BF139">
        <v>137.07</v>
      </c>
      <c r="BG139">
        <v>0.41599999999999998</v>
      </c>
    </row>
    <row r="140" spans="1:74" x14ac:dyDescent="0.2">
      <c r="A140" t="s">
        <v>36</v>
      </c>
      <c r="B140" t="s">
        <v>44</v>
      </c>
      <c r="C140" t="s">
        <v>38</v>
      </c>
      <c r="D140">
        <v>23</v>
      </c>
      <c r="E140">
        <v>8532</v>
      </c>
      <c r="F140" t="s">
        <v>46</v>
      </c>
      <c r="G140" t="s">
        <v>39</v>
      </c>
      <c r="H140">
        <v>0</v>
      </c>
      <c r="I140" t="s">
        <v>54</v>
      </c>
      <c r="J140" t="s">
        <v>32</v>
      </c>
      <c r="K140" t="b">
        <v>0</v>
      </c>
      <c r="L140" t="b">
        <v>0</v>
      </c>
      <c r="M140" t="b">
        <v>0</v>
      </c>
      <c r="N140" t="b">
        <v>0</v>
      </c>
      <c r="O140" t="b">
        <v>0</v>
      </c>
      <c r="P140" t="b">
        <v>0</v>
      </c>
      <c r="Q140" t="b">
        <v>1</v>
      </c>
      <c r="R140" t="b">
        <v>0</v>
      </c>
      <c r="S140" t="b">
        <v>0</v>
      </c>
      <c r="U140">
        <v>1</v>
      </c>
      <c r="V140">
        <v>3</v>
      </c>
      <c r="W140">
        <v>4</v>
      </c>
      <c r="X140">
        <v>16.882249999999999</v>
      </c>
      <c r="Y140" t="b">
        <v>1</v>
      </c>
      <c r="Z140" t="b">
        <v>1</v>
      </c>
      <c r="AA140" t="b">
        <v>0</v>
      </c>
      <c r="AB140">
        <v>0</v>
      </c>
      <c r="AC140" t="s">
        <v>34</v>
      </c>
      <c r="AD140">
        <v>0</v>
      </c>
      <c r="AE140" t="s">
        <v>43</v>
      </c>
      <c r="AF140">
        <v>0</v>
      </c>
      <c r="AG140">
        <v>53.643000000000001</v>
      </c>
      <c r="AI140" t="s">
        <v>35</v>
      </c>
      <c r="AJ140" t="s">
        <v>51</v>
      </c>
      <c r="AK140">
        <v>42.286000000000001</v>
      </c>
      <c r="AL140">
        <v>3.585</v>
      </c>
      <c r="AM140" t="s">
        <v>43</v>
      </c>
      <c r="AN140">
        <v>82.495999999999995</v>
      </c>
      <c r="AO140">
        <v>1.7090000000000001</v>
      </c>
      <c r="AP140" t="s">
        <v>42</v>
      </c>
      <c r="AQ140">
        <v>86.572000000000003</v>
      </c>
      <c r="AR140">
        <v>1.6060000000000001</v>
      </c>
      <c r="AS140" t="s">
        <v>51</v>
      </c>
      <c r="AT140">
        <v>106.419</v>
      </c>
      <c r="AU140">
        <v>8.5920000000000005</v>
      </c>
      <c r="AV140" t="s">
        <v>42</v>
      </c>
      <c r="AW140">
        <v>131.36199999999999</v>
      </c>
      <c r="AX140">
        <v>16.515000000000001</v>
      </c>
    </row>
    <row r="141" spans="1:74" x14ac:dyDescent="0.2">
      <c r="A141" t="s">
        <v>36</v>
      </c>
      <c r="B141" t="s">
        <v>63</v>
      </c>
      <c r="C141" t="s">
        <v>58</v>
      </c>
      <c r="D141">
        <v>23</v>
      </c>
      <c r="E141">
        <v>6831</v>
      </c>
      <c r="F141" t="s">
        <v>53</v>
      </c>
      <c r="G141" t="s">
        <v>39</v>
      </c>
      <c r="H141">
        <v>153.14400000000001</v>
      </c>
      <c r="I141" t="s">
        <v>54</v>
      </c>
      <c r="J141" t="s">
        <v>41</v>
      </c>
      <c r="K141" t="b">
        <v>0</v>
      </c>
      <c r="L141" t="b">
        <v>0</v>
      </c>
      <c r="M141" t="b">
        <v>0</v>
      </c>
      <c r="N141" t="b">
        <v>0</v>
      </c>
      <c r="O141" t="b">
        <v>0</v>
      </c>
      <c r="P141" t="b">
        <v>0</v>
      </c>
      <c r="Q141" t="b">
        <v>0</v>
      </c>
      <c r="R141" t="b">
        <v>0</v>
      </c>
      <c r="S141" t="b">
        <v>0</v>
      </c>
      <c r="U141">
        <v>0</v>
      </c>
      <c r="V141">
        <v>6</v>
      </c>
      <c r="W141">
        <v>6</v>
      </c>
      <c r="X141">
        <v>2.7639999999999998</v>
      </c>
      <c r="Y141" t="b">
        <v>1</v>
      </c>
      <c r="Z141" t="b">
        <v>1</v>
      </c>
      <c r="AA141" t="b">
        <v>0</v>
      </c>
      <c r="AB141">
        <v>0</v>
      </c>
      <c r="AC141" t="s">
        <v>34</v>
      </c>
      <c r="AD141">
        <v>0</v>
      </c>
      <c r="AE141" t="s">
        <v>42</v>
      </c>
      <c r="AF141">
        <v>0</v>
      </c>
      <c r="AG141">
        <v>110.087</v>
      </c>
      <c r="AH141">
        <v>-3</v>
      </c>
      <c r="AI141" t="s">
        <v>42</v>
      </c>
      <c r="AJ141">
        <v>7.4</v>
      </c>
      <c r="AK141">
        <v>3.194</v>
      </c>
      <c r="AM141" t="s">
        <v>35</v>
      </c>
      <c r="AN141" t="s">
        <v>42</v>
      </c>
      <c r="AO141">
        <v>22.216999999999999</v>
      </c>
      <c r="AP141">
        <v>6.1040000000000001</v>
      </c>
      <c r="AQ141" t="s">
        <v>43</v>
      </c>
      <c r="AR141">
        <v>33.548999999999999</v>
      </c>
      <c r="AS141">
        <v>0.43099999999999999</v>
      </c>
      <c r="AT141" t="s">
        <v>43</v>
      </c>
      <c r="AU141">
        <v>36.877000000000002</v>
      </c>
      <c r="AV141">
        <v>0.94499999999999995</v>
      </c>
      <c r="AW141" t="s">
        <v>43</v>
      </c>
      <c r="AX141">
        <v>40.319000000000003</v>
      </c>
      <c r="AY141">
        <v>2.5350000000000001</v>
      </c>
      <c r="AZ141" t="s">
        <v>51</v>
      </c>
      <c r="BA141">
        <v>45.616</v>
      </c>
      <c r="BB141">
        <v>2.1970000000000001</v>
      </c>
      <c r="BC141" t="s">
        <v>43</v>
      </c>
      <c r="BD141">
        <v>50.725000000000001</v>
      </c>
      <c r="BE141">
        <v>0.9</v>
      </c>
      <c r="BF141" t="s">
        <v>42</v>
      </c>
      <c r="BG141">
        <v>56.71</v>
      </c>
      <c r="BH141">
        <v>7.2889999999999997</v>
      </c>
      <c r="BI141" t="s">
        <v>43</v>
      </c>
      <c r="BJ141">
        <v>82.56</v>
      </c>
      <c r="BK141">
        <v>9.5760000000000005</v>
      </c>
    </row>
    <row r="142" spans="1:74" x14ac:dyDescent="0.2">
      <c r="A142" t="s">
        <v>36</v>
      </c>
      <c r="B142" t="s">
        <v>28</v>
      </c>
      <c r="C142" t="s">
        <v>48</v>
      </c>
      <c r="D142">
        <v>23</v>
      </c>
      <c r="E142">
        <v>3876</v>
      </c>
      <c r="F142" t="s">
        <v>49</v>
      </c>
      <c r="G142" t="s">
        <v>30</v>
      </c>
      <c r="H142">
        <v>0</v>
      </c>
      <c r="I142" t="s">
        <v>57</v>
      </c>
      <c r="J142" t="s">
        <v>32</v>
      </c>
      <c r="K142" t="b">
        <v>0</v>
      </c>
      <c r="L142" t="b">
        <v>0</v>
      </c>
      <c r="M142" t="b">
        <v>0</v>
      </c>
      <c r="N142" t="b">
        <v>0</v>
      </c>
      <c r="O142" t="b">
        <v>0</v>
      </c>
      <c r="P142" t="b">
        <v>0</v>
      </c>
      <c r="Q142" t="b">
        <v>0</v>
      </c>
      <c r="R142" t="b">
        <v>0</v>
      </c>
      <c r="S142" t="b">
        <v>0</v>
      </c>
      <c r="U142">
        <v>1</v>
      </c>
      <c r="V142">
        <v>2</v>
      </c>
      <c r="W142">
        <v>3</v>
      </c>
      <c r="X142">
        <v>48.720666666666602</v>
      </c>
      <c r="Y142" t="b">
        <v>1</v>
      </c>
      <c r="Z142" t="b">
        <v>0</v>
      </c>
      <c r="AA142" t="b">
        <v>0</v>
      </c>
      <c r="AB142">
        <v>0</v>
      </c>
      <c r="AC142" t="s">
        <v>34</v>
      </c>
      <c r="AD142">
        <v>0</v>
      </c>
      <c r="AE142" t="s">
        <v>43</v>
      </c>
      <c r="AF142">
        <v>0</v>
      </c>
      <c r="AG142">
        <v>79.724000000000004</v>
      </c>
      <c r="AI142" t="s">
        <v>35</v>
      </c>
      <c r="AJ142" t="s">
        <v>43</v>
      </c>
      <c r="AK142">
        <v>22.977</v>
      </c>
      <c r="AL142">
        <v>49.54</v>
      </c>
      <c r="AM142" t="s">
        <v>43</v>
      </c>
      <c r="AN142">
        <v>97.47</v>
      </c>
      <c r="AO142">
        <v>16.898</v>
      </c>
      <c r="AP142" t="s">
        <v>42</v>
      </c>
      <c r="AQ142">
        <v>126.65300000000001</v>
      </c>
      <c r="AR142">
        <v>26.806999999999999</v>
      </c>
    </row>
    <row r="143" spans="1:74" x14ac:dyDescent="0.2">
      <c r="A143" t="s">
        <v>36</v>
      </c>
      <c r="B143" t="s">
        <v>55</v>
      </c>
      <c r="C143" t="s">
        <v>64</v>
      </c>
      <c r="D143">
        <v>23</v>
      </c>
      <c r="E143">
        <v>9438</v>
      </c>
      <c r="F143" t="s">
        <v>49</v>
      </c>
      <c r="G143" t="s">
        <v>30</v>
      </c>
      <c r="H143">
        <v>171.72900000000001</v>
      </c>
      <c r="I143" t="s">
        <v>57</v>
      </c>
      <c r="J143" t="s">
        <v>41</v>
      </c>
      <c r="K143" t="b">
        <v>0</v>
      </c>
      <c r="L143" t="b">
        <v>0</v>
      </c>
      <c r="M143" t="b">
        <v>0</v>
      </c>
      <c r="N143" t="b">
        <v>0</v>
      </c>
      <c r="O143" t="b">
        <v>0</v>
      </c>
      <c r="P143" t="b">
        <v>0</v>
      </c>
      <c r="Q143" t="b">
        <v>0</v>
      </c>
      <c r="R143" t="b">
        <v>0</v>
      </c>
      <c r="S143" t="b">
        <v>0</v>
      </c>
      <c r="U143">
        <v>0</v>
      </c>
      <c r="V143">
        <v>3</v>
      </c>
      <c r="W143">
        <v>3</v>
      </c>
      <c r="X143">
        <v>5.8333333333333304</v>
      </c>
      <c r="Y143" t="b">
        <v>1</v>
      </c>
      <c r="Z143" t="b">
        <v>0</v>
      </c>
      <c r="AA143" t="b">
        <v>0</v>
      </c>
      <c r="AB143">
        <v>0</v>
      </c>
      <c r="AC143" t="s">
        <v>34</v>
      </c>
      <c r="AE143" t="s">
        <v>35</v>
      </c>
      <c r="AF143" t="s">
        <v>43</v>
      </c>
      <c r="AG143">
        <v>35.43</v>
      </c>
      <c r="AH143">
        <v>0.217</v>
      </c>
      <c r="AI143" t="s">
        <v>43</v>
      </c>
      <c r="AJ143">
        <v>41.722999999999999</v>
      </c>
      <c r="AK143">
        <v>9.6210000000000004</v>
      </c>
      <c r="AL143" t="s">
        <v>43</v>
      </c>
      <c r="AM143">
        <v>93.884</v>
      </c>
      <c r="AN143">
        <v>7.6619999999999999</v>
      </c>
    </row>
    <row r="144" spans="1:74" x14ac:dyDescent="0.2">
      <c r="A144" t="s">
        <v>36</v>
      </c>
      <c r="B144" t="s">
        <v>47</v>
      </c>
      <c r="C144" t="s">
        <v>52</v>
      </c>
      <c r="D144">
        <v>23</v>
      </c>
      <c r="E144">
        <v>2926</v>
      </c>
      <c r="F144" t="s">
        <v>46</v>
      </c>
      <c r="G144" t="s">
        <v>30</v>
      </c>
      <c r="H144">
        <v>0</v>
      </c>
      <c r="I144" t="s">
        <v>54</v>
      </c>
      <c r="J144" t="s">
        <v>32</v>
      </c>
      <c r="K144" t="b">
        <v>0</v>
      </c>
      <c r="L144" t="b">
        <v>0</v>
      </c>
      <c r="M144" t="b">
        <v>0</v>
      </c>
      <c r="N144" t="b">
        <v>0</v>
      </c>
      <c r="O144" t="b">
        <v>0</v>
      </c>
      <c r="P144" t="b">
        <v>1</v>
      </c>
      <c r="Q144" t="b">
        <v>0</v>
      </c>
      <c r="R144" t="b">
        <v>0</v>
      </c>
      <c r="S144" t="b">
        <v>0</v>
      </c>
      <c r="T144" t="s">
        <v>113</v>
      </c>
      <c r="U144">
        <v>4</v>
      </c>
      <c r="V144">
        <v>5</v>
      </c>
      <c r="W144">
        <v>9</v>
      </c>
      <c r="X144">
        <v>12.3058888888888</v>
      </c>
      <c r="Y144" t="b">
        <v>1</v>
      </c>
      <c r="Z144" t="b">
        <v>1</v>
      </c>
      <c r="AA144" t="b">
        <v>0</v>
      </c>
      <c r="AB144">
        <v>0</v>
      </c>
      <c r="AC144" t="s">
        <v>34</v>
      </c>
      <c r="AD144">
        <v>0</v>
      </c>
      <c r="AE144" t="s">
        <v>43</v>
      </c>
      <c r="AF144">
        <v>0</v>
      </c>
      <c r="AG144">
        <v>94.394999999999996</v>
      </c>
      <c r="AH144">
        <v>0</v>
      </c>
      <c r="AI144" t="s">
        <v>43</v>
      </c>
      <c r="AJ144">
        <v>0</v>
      </c>
      <c r="AK144">
        <v>6.133</v>
      </c>
      <c r="AL144">
        <v>2</v>
      </c>
      <c r="AM144" t="s">
        <v>43</v>
      </c>
      <c r="AN144">
        <v>57.396000000000001</v>
      </c>
      <c r="AO144">
        <v>0.51400000000000001</v>
      </c>
      <c r="AP144">
        <v>1</v>
      </c>
      <c r="AQ144" t="s">
        <v>43</v>
      </c>
      <c r="AR144">
        <v>58.595999999999997</v>
      </c>
      <c r="AS144">
        <v>0.5</v>
      </c>
      <c r="AU144" t="s">
        <v>35</v>
      </c>
      <c r="AV144" t="s">
        <v>43</v>
      </c>
      <c r="AW144">
        <v>32.576999999999998</v>
      </c>
      <c r="AX144">
        <v>0.251</v>
      </c>
      <c r="AY144" t="s">
        <v>43</v>
      </c>
      <c r="AZ144">
        <v>64.207999999999998</v>
      </c>
      <c r="BA144">
        <v>0.187</v>
      </c>
      <c r="BB144" t="s">
        <v>43</v>
      </c>
      <c r="BC144">
        <v>64.596999999999994</v>
      </c>
      <c r="BD144">
        <v>0.18099999999999999</v>
      </c>
      <c r="BE144" t="s">
        <v>51</v>
      </c>
      <c r="BF144">
        <v>64.962999999999994</v>
      </c>
      <c r="BG144">
        <v>5.78</v>
      </c>
      <c r="BH144" t="s">
        <v>43</v>
      </c>
      <c r="BI144">
        <v>71.662999999999997</v>
      </c>
      <c r="BJ144">
        <v>2.8119999999999998</v>
      </c>
    </row>
    <row r="145" spans="1:130" x14ac:dyDescent="0.2">
      <c r="A145" t="s">
        <v>36</v>
      </c>
      <c r="B145" t="s">
        <v>37</v>
      </c>
      <c r="C145" t="s">
        <v>45</v>
      </c>
      <c r="D145">
        <v>23</v>
      </c>
      <c r="E145">
        <v>1318</v>
      </c>
      <c r="F145" t="s">
        <v>53</v>
      </c>
      <c r="G145" t="s">
        <v>30</v>
      </c>
      <c r="H145">
        <v>150.71100000000001</v>
      </c>
      <c r="I145" t="s">
        <v>40</v>
      </c>
      <c r="J145" t="s">
        <v>41</v>
      </c>
      <c r="K145" t="b">
        <v>0</v>
      </c>
      <c r="L145" t="b">
        <v>0</v>
      </c>
      <c r="M145" t="b">
        <v>0</v>
      </c>
      <c r="N145" t="b">
        <v>0</v>
      </c>
      <c r="O145" t="b">
        <v>0</v>
      </c>
      <c r="P145" t="b">
        <v>0</v>
      </c>
      <c r="Q145" t="b">
        <v>0</v>
      </c>
      <c r="R145" t="b">
        <v>0</v>
      </c>
      <c r="S145" t="b">
        <v>0</v>
      </c>
      <c r="U145">
        <v>1</v>
      </c>
      <c r="V145">
        <v>8</v>
      </c>
      <c r="W145">
        <v>9</v>
      </c>
      <c r="X145">
        <v>15.5531111111111</v>
      </c>
      <c r="Y145" t="b">
        <v>1</v>
      </c>
      <c r="Z145" t="b">
        <v>1</v>
      </c>
      <c r="AA145" t="b">
        <v>0</v>
      </c>
      <c r="AB145">
        <v>0</v>
      </c>
      <c r="AC145" t="s">
        <v>34</v>
      </c>
      <c r="AD145">
        <v>0</v>
      </c>
      <c r="AE145" t="s">
        <v>43</v>
      </c>
      <c r="AF145">
        <v>0</v>
      </c>
      <c r="AG145">
        <v>89.165999999999997</v>
      </c>
      <c r="AI145" t="s">
        <v>35</v>
      </c>
      <c r="AJ145" t="s">
        <v>51</v>
      </c>
      <c r="AK145">
        <v>25.545000000000002</v>
      </c>
      <c r="AL145">
        <v>11.522</v>
      </c>
      <c r="AM145" t="s">
        <v>43</v>
      </c>
      <c r="AN145">
        <v>40.765999999999998</v>
      </c>
      <c r="AO145">
        <v>5.8540000000000001</v>
      </c>
      <c r="AP145" t="s">
        <v>43</v>
      </c>
      <c r="AQ145">
        <v>64.918999999999997</v>
      </c>
      <c r="AR145">
        <v>8.4640000000000004</v>
      </c>
      <c r="AS145" t="s">
        <v>43</v>
      </c>
      <c r="AT145">
        <v>80.238</v>
      </c>
      <c r="AU145">
        <v>5.2729999999999997</v>
      </c>
      <c r="AV145" t="s">
        <v>43</v>
      </c>
      <c r="AW145">
        <v>97.501000000000005</v>
      </c>
      <c r="AX145">
        <v>6.6580000000000004</v>
      </c>
      <c r="AY145" t="s">
        <v>43</v>
      </c>
      <c r="AZ145">
        <v>111.667</v>
      </c>
      <c r="BA145">
        <v>3.4390000000000001</v>
      </c>
      <c r="BB145" t="s">
        <v>43</v>
      </c>
      <c r="BC145">
        <v>127.627</v>
      </c>
      <c r="BD145">
        <v>5.3739999999999997</v>
      </c>
      <c r="BE145" t="s">
        <v>43</v>
      </c>
      <c r="BF145">
        <v>140.608</v>
      </c>
      <c r="BG145">
        <v>4.2279999999999998</v>
      </c>
    </row>
    <row r="146" spans="1:130" x14ac:dyDescent="0.2">
      <c r="A146" t="s">
        <v>36</v>
      </c>
      <c r="B146" t="s">
        <v>63</v>
      </c>
      <c r="C146" t="s">
        <v>58</v>
      </c>
      <c r="D146">
        <v>24</v>
      </c>
      <c r="E146">
        <v>4060</v>
      </c>
      <c r="F146" t="s">
        <v>49</v>
      </c>
      <c r="G146" t="s">
        <v>30</v>
      </c>
      <c r="H146">
        <v>0</v>
      </c>
      <c r="I146" t="s">
        <v>54</v>
      </c>
      <c r="J146" t="s">
        <v>41</v>
      </c>
      <c r="K146" t="b">
        <v>0</v>
      </c>
      <c r="L146" t="b">
        <v>0</v>
      </c>
      <c r="M146" t="b">
        <v>0</v>
      </c>
      <c r="N146" t="b">
        <v>0</v>
      </c>
      <c r="O146" t="b">
        <v>0</v>
      </c>
      <c r="P146" t="b">
        <v>0</v>
      </c>
      <c r="Q146" t="b">
        <v>0</v>
      </c>
      <c r="R146" t="b">
        <v>0</v>
      </c>
      <c r="S146" t="b">
        <v>0</v>
      </c>
      <c r="U146">
        <v>0</v>
      </c>
      <c r="V146">
        <v>4</v>
      </c>
      <c r="W146">
        <v>4</v>
      </c>
      <c r="X146">
        <v>7.2035</v>
      </c>
      <c r="Y146" t="b">
        <v>1</v>
      </c>
      <c r="Z146" t="b">
        <v>0</v>
      </c>
      <c r="AA146" t="b">
        <v>0</v>
      </c>
      <c r="AB146">
        <v>0</v>
      </c>
      <c r="AC146" t="s">
        <v>34</v>
      </c>
      <c r="AD146">
        <v>0</v>
      </c>
      <c r="AE146" t="s">
        <v>42</v>
      </c>
      <c r="AF146">
        <v>0</v>
      </c>
      <c r="AG146">
        <v>212.18199999999999</v>
      </c>
      <c r="AI146" t="s">
        <v>35</v>
      </c>
      <c r="AJ146" t="s">
        <v>43</v>
      </c>
      <c r="AK146">
        <v>41.173000000000002</v>
      </c>
      <c r="AL146">
        <v>7.1580000000000004</v>
      </c>
      <c r="AM146" t="s">
        <v>43</v>
      </c>
      <c r="AN146">
        <v>69.935000000000002</v>
      </c>
      <c r="AO146">
        <v>1.722</v>
      </c>
      <c r="AP146" t="s">
        <v>43</v>
      </c>
      <c r="AQ146">
        <v>84.21</v>
      </c>
      <c r="AR146">
        <v>10.606</v>
      </c>
      <c r="AS146" t="s">
        <v>43</v>
      </c>
      <c r="AT146">
        <v>110.44799999999999</v>
      </c>
      <c r="AU146">
        <v>9.3279999999999994</v>
      </c>
      <c r="AV146" t="s">
        <v>42</v>
      </c>
      <c r="AW146">
        <v>130.91800000000001</v>
      </c>
      <c r="AX146">
        <v>2.1560000000000001</v>
      </c>
    </row>
    <row r="147" spans="1:130" x14ac:dyDescent="0.2">
      <c r="A147" t="s">
        <v>36</v>
      </c>
      <c r="B147" t="s">
        <v>28</v>
      </c>
      <c r="C147" t="s">
        <v>48</v>
      </c>
      <c r="D147">
        <v>24</v>
      </c>
      <c r="E147">
        <v>5468</v>
      </c>
      <c r="F147" t="s">
        <v>53</v>
      </c>
      <c r="G147" t="s">
        <v>39</v>
      </c>
      <c r="H147">
        <v>148.94800000000001</v>
      </c>
      <c r="I147" t="s">
        <v>40</v>
      </c>
      <c r="J147" t="s">
        <v>50</v>
      </c>
      <c r="K147" t="b">
        <v>0</v>
      </c>
      <c r="L147" t="b">
        <v>0</v>
      </c>
      <c r="M147" t="b">
        <v>0</v>
      </c>
      <c r="N147" t="b">
        <v>0</v>
      </c>
      <c r="O147" t="b">
        <v>0</v>
      </c>
      <c r="P147" t="b">
        <v>0</v>
      </c>
      <c r="Q147" t="b">
        <v>0</v>
      </c>
      <c r="R147" t="b">
        <v>0</v>
      </c>
      <c r="S147" t="b">
        <v>0</v>
      </c>
      <c r="U147">
        <v>1</v>
      </c>
      <c r="V147">
        <v>6</v>
      </c>
      <c r="W147">
        <v>7</v>
      </c>
      <c r="X147">
        <v>37.432428571428503</v>
      </c>
      <c r="Y147" t="b">
        <v>1</v>
      </c>
      <c r="Z147" t="b">
        <v>0</v>
      </c>
      <c r="AA147" t="b">
        <v>0</v>
      </c>
      <c r="AB147">
        <v>0</v>
      </c>
      <c r="AC147" t="s">
        <v>34</v>
      </c>
      <c r="AD147">
        <v>0</v>
      </c>
      <c r="AE147" t="s">
        <v>43</v>
      </c>
      <c r="AF147">
        <v>0</v>
      </c>
      <c r="AG147">
        <v>212.97800000000001</v>
      </c>
      <c r="AH147">
        <v>-3</v>
      </c>
      <c r="AI147" t="s">
        <v>42</v>
      </c>
      <c r="AJ147">
        <v>11.047000000000001</v>
      </c>
      <c r="AK147">
        <v>9.2379999999999995</v>
      </c>
      <c r="AM147" t="s">
        <v>35</v>
      </c>
      <c r="AN147" t="s">
        <v>43</v>
      </c>
      <c r="AO147">
        <v>24.776</v>
      </c>
      <c r="AP147">
        <v>4.82</v>
      </c>
      <c r="AQ147" t="s">
        <v>43</v>
      </c>
      <c r="AR147">
        <v>44.095999999999997</v>
      </c>
      <c r="AS147">
        <v>5.7809999999999997</v>
      </c>
      <c r="AT147" t="s">
        <v>43</v>
      </c>
      <c r="AU147">
        <v>57.697000000000003</v>
      </c>
      <c r="AV147">
        <v>16.731999999999999</v>
      </c>
      <c r="AW147" t="s">
        <v>43</v>
      </c>
      <c r="AX147">
        <v>84.978999999999999</v>
      </c>
      <c r="AY147">
        <v>2.1339999999999999</v>
      </c>
      <c r="AZ147" t="s">
        <v>43</v>
      </c>
      <c r="BA147">
        <v>92.765000000000001</v>
      </c>
      <c r="BB147">
        <v>6.915</v>
      </c>
      <c r="BC147" t="s">
        <v>42</v>
      </c>
      <c r="BD147">
        <v>122.33</v>
      </c>
      <c r="BE147">
        <v>4.7190000000000003</v>
      </c>
      <c r="BF147" t="s">
        <v>43</v>
      </c>
      <c r="BG147">
        <v>129.66399999999999</v>
      </c>
      <c r="BH147">
        <v>12.667</v>
      </c>
    </row>
    <row r="148" spans="1:130" x14ac:dyDescent="0.2">
      <c r="A148" t="s">
        <v>36</v>
      </c>
      <c r="B148" t="s">
        <v>44</v>
      </c>
      <c r="C148" t="s">
        <v>38</v>
      </c>
      <c r="D148">
        <v>24</v>
      </c>
      <c r="E148">
        <v>6443</v>
      </c>
      <c r="F148" t="s">
        <v>46</v>
      </c>
      <c r="G148" t="s">
        <v>39</v>
      </c>
      <c r="H148">
        <v>152.35599999999999</v>
      </c>
      <c r="I148" t="s">
        <v>40</v>
      </c>
      <c r="J148" t="s">
        <v>41</v>
      </c>
      <c r="K148" t="b">
        <v>0</v>
      </c>
      <c r="L148" t="b">
        <v>0</v>
      </c>
      <c r="M148" t="b">
        <v>0</v>
      </c>
      <c r="N148" t="b">
        <v>0</v>
      </c>
      <c r="O148" t="b">
        <v>0</v>
      </c>
      <c r="P148" t="b">
        <v>0</v>
      </c>
      <c r="Q148" t="b">
        <v>1</v>
      </c>
      <c r="R148" t="b">
        <v>0</v>
      </c>
      <c r="S148" t="b">
        <v>0</v>
      </c>
      <c r="U148">
        <v>1</v>
      </c>
      <c r="V148">
        <v>6</v>
      </c>
      <c r="W148">
        <v>7</v>
      </c>
      <c r="X148">
        <v>39.294142857142802</v>
      </c>
      <c r="Y148" t="b">
        <v>1</v>
      </c>
      <c r="Z148" t="b">
        <v>1</v>
      </c>
      <c r="AA148" t="b">
        <v>0</v>
      </c>
      <c r="AB148">
        <v>0</v>
      </c>
      <c r="AC148" t="s">
        <v>34</v>
      </c>
      <c r="AD148">
        <v>0</v>
      </c>
      <c r="AE148" t="s">
        <v>43</v>
      </c>
      <c r="AF148">
        <v>0</v>
      </c>
      <c r="AG148">
        <v>233.94900000000001</v>
      </c>
      <c r="AI148" t="s">
        <v>35</v>
      </c>
      <c r="AJ148" t="s">
        <v>51</v>
      </c>
      <c r="AK148">
        <v>26.347000000000001</v>
      </c>
      <c r="AL148">
        <v>1.222</v>
      </c>
      <c r="AM148" t="s">
        <v>51</v>
      </c>
      <c r="AN148">
        <v>31.036999999999999</v>
      </c>
      <c r="AO148">
        <v>6.6970000000000001</v>
      </c>
      <c r="AP148" t="s">
        <v>51</v>
      </c>
      <c r="AQ148">
        <v>41.901000000000003</v>
      </c>
      <c r="AR148">
        <v>4.2009999999999996</v>
      </c>
      <c r="AS148" t="s">
        <v>43</v>
      </c>
      <c r="AT148">
        <v>73.694000000000003</v>
      </c>
      <c r="AU148">
        <v>4.9630000000000001</v>
      </c>
      <c r="AV148" t="s">
        <v>51</v>
      </c>
      <c r="AW148">
        <v>84.337999999999994</v>
      </c>
      <c r="AX148">
        <v>9.1769999999999996</v>
      </c>
      <c r="AY148" t="s">
        <v>51</v>
      </c>
      <c r="AZ148">
        <v>102.35599999999999</v>
      </c>
      <c r="BA148">
        <v>14.85</v>
      </c>
      <c r="BB148" t="s">
        <v>42</v>
      </c>
      <c r="BC148">
        <v>124.797</v>
      </c>
      <c r="BD148">
        <v>12.391</v>
      </c>
    </row>
    <row r="149" spans="1:130" x14ac:dyDescent="0.2">
      <c r="A149" t="s">
        <v>36</v>
      </c>
      <c r="B149" t="s">
        <v>55</v>
      </c>
      <c r="C149" t="s">
        <v>64</v>
      </c>
      <c r="D149">
        <v>24</v>
      </c>
      <c r="E149">
        <v>3712</v>
      </c>
      <c r="F149" t="s">
        <v>46</v>
      </c>
      <c r="G149" t="s">
        <v>30</v>
      </c>
      <c r="H149">
        <v>150.04499999999999</v>
      </c>
      <c r="I149" t="s">
        <v>31</v>
      </c>
      <c r="J149" t="s">
        <v>32</v>
      </c>
      <c r="K149" t="b">
        <v>0</v>
      </c>
      <c r="L149" t="b">
        <v>0</v>
      </c>
      <c r="M149" t="b">
        <v>0</v>
      </c>
      <c r="N149" t="b">
        <v>0</v>
      </c>
      <c r="O149" t="b">
        <v>0</v>
      </c>
      <c r="P149" t="b">
        <v>0</v>
      </c>
      <c r="Q149" t="b">
        <v>0</v>
      </c>
      <c r="R149" t="b">
        <v>0</v>
      </c>
      <c r="S149" t="b">
        <v>0</v>
      </c>
      <c r="U149">
        <v>1</v>
      </c>
      <c r="V149">
        <v>3</v>
      </c>
      <c r="W149">
        <v>4</v>
      </c>
      <c r="X149">
        <v>36.427250000000001</v>
      </c>
      <c r="Y149" t="b">
        <v>1</v>
      </c>
      <c r="Z149" t="b">
        <v>0</v>
      </c>
      <c r="AA149" t="b">
        <v>0</v>
      </c>
      <c r="AB149">
        <v>0</v>
      </c>
      <c r="AC149" t="s">
        <v>34</v>
      </c>
      <c r="AD149">
        <v>0</v>
      </c>
      <c r="AE149" t="s">
        <v>43</v>
      </c>
      <c r="AF149">
        <v>0</v>
      </c>
      <c r="AG149">
        <v>112.498</v>
      </c>
      <c r="AI149" t="s">
        <v>35</v>
      </c>
      <c r="AJ149" t="s">
        <v>43</v>
      </c>
      <c r="AK149">
        <v>39.759</v>
      </c>
      <c r="AL149">
        <v>9.093</v>
      </c>
      <c r="AM149" t="s">
        <v>43</v>
      </c>
      <c r="AN149">
        <v>67.009</v>
      </c>
      <c r="AO149">
        <v>14.46</v>
      </c>
      <c r="AP149" t="s">
        <v>43</v>
      </c>
      <c r="AQ149">
        <v>108.087</v>
      </c>
      <c r="AR149">
        <v>9.6579999999999995</v>
      </c>
    </row>
    <row r="150" spans="1:130" x14ac:dyDescent="0.2">
      <c r="A150" t="s">
        <v>36</v>
      </c>
      <c r="B150" t="s">
        <v>37</v>
      </c>
      <c r="C150" t="s">
        <v>45</v>
      </c>
      <c r="D150">
        <v>24</v>
      </c>
      <c r="E150">
        <v>3574</v>
      </c>
      <c r="F150" t="s">
        <v>53</v>
      </c>
      <c r="G150" t="s">
        <v>39</v>
      </c>
      <c r="H150">
        <v>0</v>
      </c>
      <c r="I150" t="s">
        <v>57</v>
      </c>
      <c r="J150" t="s">
        <v>32</v>
      </c>
      <c r="K150" t="b">
        <v>0</v>
      </c>
      <c r="L150" t="b">
        <v>0</v>
      </c>
      <c r="M150" t="b">
        <v>0</v>
      </c>
      <c r="N150" t="b">
        <v>0</v>
      </c>
      <c r="O150" t="b">
        <v>0</v>
      </c>
      <c r="P150" t="b">
        <v>0</v>
      </c>
      <c r="Q150" t="b">
        <v>0</v>
      </c>
      <c r="R150" t="b">
        <v>0</v>
      </c>
      <c r="S150" t="b">
        <v>0</v>
      </c>
      <c r="U150">
        <v>1</v>
      </c>
      <c r="V150">
        <v>4</v>
      </c>
      <c r="W150">
        <v>5</v>
      </c>
      <c r="X150">
        <v>50.22</v>
      </c>
      <c r="Y150" t="b">
        <v>1</v>
      </c>
      <c r="Z150" t="b">
        <v>0</v>
      </c>
      <c r="AA150" t="b">
        <v>0</v>
      </c>
      <c r="AB150">
        <v>0</v>
      </c>
      <c r="AC150" t="s">
        <v>34</v>
      </c>
      <c r="AD150">
        <v>0</v>
      </c>
      <c r="AE150" t="s">
        <v>43</v>
      </c>
      <c r="AF150">
        <v>0</v>
      </c>
      <c r="AG150">
        <v>219.43199999999999</v>
      </c>
      <c r="AI150" t="s">
        <v>35</v>
      </c>
      <c r="AJ150" t="s">
        <v>43</v>
      </c>
      <c r="AK150">
        <v>35.94</v>
      </c>
      <c r="AL150">
        <v>6.8220000000000001</v>
      </c>
      <c r="AM150" t="s">
        <v>43</v>
      </c>
      <c r="AN150">
        <v>48.537999999999997</v>
      </c>
      <c r="AO150">
        <v>5.2060000000000004</v>
      </c>
      <c r="AP150" t="s">
        <v>43</v>
      </c>
      <c r="AQ150">
        <v>87.801000000000002</v>
      </c>
      <c r="AR150">
        <v>13.132999999999999</v>
      </c>
      <c r="AS150" t="s">
        <v>43</v>
      </c>
      <c r="AT150">
        <v>139.232</v>
      </c>
      <c r="AU150">
        <v>6.5069999999999997</v>
      </c>
    </row>
    <row r="151" spans="1:130" x14ac:dyDescent="0.2">
      <c r="A151" t="s">
        <v>36</v>
      </c>
      <c r="B151" t="s">
        <v>47</v>
      </c>
      <c r="C151" t="s">
        <v>52</v>
      </c>
      <c r="D151">
        <v>24</v>
      </c>
      <c r="E151">
        <v>2811</v>
      </c>
      <c r="F151" t="s">
        <v>49</v>
      </c>
      <c r="G151" t="s">
        <v>30</v>
      </c>
      <c r="H151">
        <v>223.03100000000001</v>
      </c>
      <c r="I151" t="s">
        <v>54</v>
      </c>
      <c r="J151" t="s">
        <v>41</v>
      </c>
      <c r="K151" t="b">
        <v>0</v>
      </c>
      <c r="L151" t="b">
        <v>0</v>
      </c>
      <c r="M151" t="b">
        <v>0</v>
      </c>
      <c r="N151" t="b">
        <v>0</v>
      </c>
      <c r="O151" t="b">
        <v>0</v>
      </c>
      <c r="P151" t="b">
        <v>0</v>
      </c>
      <c r="Q151" t="b">
        <v>0</v>
      </c>
      <c r="R151" t="b">
        <v>0</v>
      </c>
      <c r="S151" t="b">
        <v>0</v>
      </c>
      <c r="U151">
        <v>3</v>
      </c>
      <c r="V151">
        <v>18</v>
      </c>
      <c r="W151">
        <v>21</v>
      </c>
      <c r="X151">
        <v>11.767619047619</v>
      </c>
      <c r="Y151" t="b">
        <v>1</v>
      </c>
      <c r="Z151" t="b">
        <v>1</v>
      </c>
      <c r="AA151" t="b">
        <v>1</v>
      </c>
      <c r="AB151">
        <v>2</v>
      </c>
      <c r="AC151" t="s">
        <v>34</v>
      </c>
      <c r="AD151">
        <v>0</v>
      </c>
      <c r="AE151" t="s">
        <v>43</v>
      </c>
      <c r="AF151">
        <v>0</v>
      </c>
      <c r="AG151">
        <v>197.16399999999999</v>
      </c>
      <c r="AH151">
        <v>1</v>
      </c>
      <c r="AI151" t="s">
        <v>42</v>
      </c>
      <c r="AJ151">
        <v>4.5709999999999997</v>
      </c>
      <c r="AK151">
        <v>3.4590000000000001</v>
      </c>
      <c r="AL151">
        <v>4</v>
      </c>
      <c r="AM151" t="s">
        <v>42</v>
      </c>
      <c r="AN151">
        <v>9.6910000000000007</v>
      </c>
      <c r="AO151">
        <v>3.532</v>
      </c>
      <c r="AP151">
        <v>5</v>
      </c>
      <c r="AQ151" t="s">
        <v>42</v>
      </c>
      <c r="AR151">
        <v>13.957000000000001</v>
      </c>
      <c r="AS151">
        <v>2.5670000000000002</v>
      </c>
      <c r="AT151">
        <v>0</v>
      </c>
      <c r="AU151" t="s">
        <v>43</v>
      </c>
      <c r="AV151">
        <v>0</v>
      </c>
      <c r="AW151">
        <v>5.8470000000000004</v>
      </c>
      <c r="AX151">
        <v>4</v>
      </c>
      <c r="AY151" t="s">
        <v>42</v>
      </c>
      <c r="AZ151">
        <v>182.797</v>
      </c>
      <c r="BA151">
        <v>0.55200000000000005</v>
      </c>
      <c r="BB151">
        <v>0</v>
      </c>
      <c r="BC151" t="s">
        <v>43</v>
      </c>
      <c r="BD151">
        <v>0</v>
      </c>
      <c r="BE151">
        <v>6.9809999999999999</v>
      </c>
      <c r="BF151">
        <v>1</v>
      </c>
      <c r="BG151" t="s">
        <v>42</v>
      </c>
      <c r="BH151">
        <v>213.7</v>
      </c>
      <c r="BI151">
        <v>0.68400000000000005</v>
      </c>
      <c r="BJ151">
        <v>4</v>
      </c>
      <c r="BK151" t="s">
        <v>42</v>
      </c>
      <c r="BL151">
        <v>215.267</v>
      </c>
      <c r="BM151">
        <v>0.65100000000000002</v>
      </c>
      <c r="BO151" t="s">
        <v>35</v>
      </c>
      <c r="BP151" t="s">
        <v>42</v>
      </c>
      <c r="BQ151">
        <v>42.515000000000001</v>
      </c>
      <c r="BR151">
        <v>1.645</v>
      </c>
      <c r="BS151" t="s">
        <v>51</v>
      </c>
      <c r="BT151">
        <v>44.991999999999997</v>
      </c>
      <c r="BU151">
        <v>10.332000000000001</v>
      </c>
      <c r="BV151" t="s">
        <v>51</v>
      </c>
      <c r="BW151">
        <v>61.875999999999998</v>
      </c>
      <c r="BX151">
        <v>3.016</v>
      </c>
      <c r="BY151" t="s">
        <v>43</v>
      </c>
      <c r="BZ151">
        <v>78.792000000000002</v>
      </c>
      <c r="CA151">
        <v>3.806</v>
      </c>
      <c r="CB151" t="s">
        <v>51</v>
      </c>
      <c r="CC151">
        <v>89.927000000000007</v>
      </c>
      <c r="CD151">
        <v>5.734</v>
      </c>
      <c r="CE151" t="s">
        <v>43</v>
      </c>
      <c r="CF151">
        <v>103.194</v>
      </c>
      <c r="CG151">
        <v>6.0869999999999997</v>
      </c>
      <c r="CH151" t="s">
        <v>43</v>
      </c>
      <c r="CI151">
        <v>115.345</v>
      </c>
      <c r="CJ151">
        <v>3.831</v>
      </c>
      <c r="CK151" t="s">
        <v>43</v>
      </c>
      <c r="CL151">
        <v>134.245</v>
      </c>
      <c r="CM151">
        <v>0.219</v>
      </c>
      <c r="CN151" t="s">
        <v>81</v>
      </c>
      <c r="CO151">
        <v>165.316</v>
      </c>
      <c r="CP151">
        <v>0.878</v>
      </c>
      <c r="CQ151" t="s">
        <v>43</v>
      </c>
      <c r="CR151">
        <v>188.21199999999999</v>
      </c>
      <c r="CS151">
        <v>0.186</v>
      </c>
      <c r="CT151" t="s">
        <v>43</v>
      </c>
      <c r="CU151">
        <v>188.566</v>
      </c>
      <c r="CV151">
        <v>0.215</v>
      </c>
      <c r="CW151" t="s">
        <v>43</v>
      </c>
      <c r="CX151">
        <v>188.94800000000001</v>
      </c>
      <c r="CY151">
        <v>0.19800000000000001</v>
      </c>
      <c r="CZ151" t="s">
        <v>51</v>
      </c>
      <c r="DA151">
        <v>189.517</v>
      </c>
      <c r="DB151">
        <v>0.19700000000000001</v>
      </c>
      <c r="DC151" t="s">
        <v>42</v>
      </c>
      <c r="DD151">
        <v>191.18299999999999</v>
      </c>
      <c r="DE151">
        <v>0.14899999999999999</v>
      </c>
      <c r="DF151" t="s">
        <v>43</v>
      </c>
      <c r="DG151">
        <v>192.28299999999999</v>
      </c>
      <c r="DH151">
        <v>0.71399999999999997</v>
      </c>
      <c r="DI151" t="s">
        <v>43</v>
      </c>
      <c r="DJ151">
        <v>219.09899999999999</v>
      </c>
      <c r="DK151">
        <v>0.217</v>
      </c>
      <c r="DL151" t="s">
        <v>43</v>
      </c>
      <c r="DM151">
        <v>219.55099999999999</v>
      </c>
      <c r="DN151">
        <v>0.216</v>
      </c>
      <c r="DO151" t="s">
        <v>51</v>
      </c>
      <c r="DP151">
        <v>220.03100000000001</v>
      </c>
      <c r="DQ151">
        <v>0.219</v>
      </c>
      <c r="DR151" t="s">
        <v>43</v>
      </c>
      <c r="DS151">
        <v>220.536</v>
      </c>
      <c r="DT151">
        <v>0.21299999999999999</v>
      </c>
      <c r="DU151" t="s">
        <v>42</v>
      </c>
      <c r="DV151">
        <v>221.267</v>
      </c>
      <c r="DW151">
        <v>0.216</v>
      </c>
      <c r="DX151" t="s">
        <v>81</v>
      </c>
      <c r="DY151">
        <v>222.5</v>
      </c>
      <c r="DZ151">
        <v>0.85</v>
      </c>
    </row>
    <row r="152" spans="1:130" x14ac:dyDescent="0.2">
      <c r="A152" t="s">
        <v>36</v>
      </c>
      <c r="B152" t="s">
        <v>63</v>
      </c>
      <c r="C152" t="s">
        <v>58</v>
      </c>
      <c r="D152">
        <v>25</v>
      </c>
      <c r="E152">
        <v>4513</v>
      </c>
      <c r="F152" t="s">
        <v>53</v>
      </c>
      <c r="G152" t="s">
        <v>30</v>
      </c>
      <c r="H152">
        <v>134.143</v>
      </c>
      <c r="I152" t="s">
        <v>54</v>
      </c>
      <c r="J152" t="s">
        <v>41</v>
      </c>
      <c r="K152" t="b">
        <v>0</v>
      </c>
      <c r="L152" t="b">
        <v>0</v>
      </c>
      <c r="M152" t="b">
        <v>0</v>
      </c>
      <c r="N152" t="b">
        <v>0</v>
      </c>
      <c r="O152" t="b">
        <v>0</v>
      </c>
      <c r="P152" t="b">
        <v>0</v>
      </c>
      <c r="Q152" t="b">
        <v>0</v>
      </c>
      <c r="R152" t="b">
        <v>0</v>
      </c>
      <c r="S152" t="b">
        <v>0</v>
      </c>
      <c r="T152" t="s">
        <v>114</v>
      </c>
      <c r="U152">
        <v>1</v>
      </c>
      <c r="V152">
        <v>5</v>
      </c>
      <c r="W152">
        <v>6</v>
      </c>
      <c r="X152">
        <v>30.6018333333333</v>
      </c>
      <c r="Y152" t="b">
        <v>1</v>
      </c>
      <c r="Z152" t="b">
        <v>0</v>
      </c>
      <c r="AA152" t="b">
        <v>0</v>
      </c>
      <c r="AB152">
        <v>0</v>
      </c>
      <c r="AC152" t="s">
        <v>34</v>
      </c>
      <c r="AD152">
        <v>0</v>
      </c>
      <c r="AE152" t="s">
        <v>43</v>
      </c>
      <c r="AF152">
        <v>0</v>
      </c>
      <c r="AG152">
        <v>157.51</v>
      </c>
      <c r="AI152" t="s">
        <v>35</v>
      </c>
      <c r="AJ152" t="s">
        <v>43</v>
      </c>
      <c r="AK152">
        <v>24.795999999999999</v>
      </c>
      <c r="AL152">
        <v>6.298</v>
      </c>
      <c r="AM152" t="s">
        <v>43</v>
      </c>
      <c r="AN152">
        <v>36.844000000000001</v>
      </c>
      <c r="AO152">
        <v>6.2149999999999999</v>
      </c>
      <c r="AP152" t="s">
        <v>43</v>
      </c>
      <c r="AQ152">
        <v>48.545000000000002</v>
      </c>
      <c r="AR152">
        <v>5.6280000000000001</v>
      </c>
      <c r="AS152" t="s">
        <v>42</v>
      </c>
      <c r="AT152">
        <v>60.055</v>
      </c>
      <c r="AU152">
        <v>6.1369999999999996</v>
      </c>
      <c r="AV152" t="s">
        <v>43</v>
      </c>
      <c r="AW152">
        <v>80.650999999999996</v>
      </c>
      <c r="AX152">
        <v>0.45400000000000001</v>
      </c>
      <c r="AY152" t="s">
        <v>42</v>
      </c>
      <c r="AZ152">
        <v>87.242999999999995</v>
      </c>
      <c r="BA152">
        <v>6.73</v>
      </c>
      <c r="BB152" t="s">
        <v>42</v>
      </c>
      <c r="BC152">
        <v>102.97499999999999</v>
      </c>
      <c r="BD152">
        <v>6.8890000000000002</v>
      </c>
      <c r="BE152" t="s">
        <v>43</v>
      </c>
      <c r="BF152">
        <v>115.711</v>
      </c>
      <c r="BG152">
        <v>7.5060000000000002</v>
      </c>
    </row>
    <row r="153" spans="1:130" x14ac:dyDescent="0.2">
      <c r="A153" t="s">
        <v>36</v>
      </c>
      <c r="B153" t="s">
        <v>28</v>
      </c>
      <c r="C153" t="s">
        <v>48</v>
      </c>
      <c r="D153">
        <v>25</v>
      </c>
      <c r="E153">
        <v>4692</v>
      </c>
      <c r="F153" t="s">
        <v>66</v>
      </c>
      <c r="G153" t="s">
        <v>30</v>
      </c>
      <c r="H153">
        <v>145.40199999999999</v>
      </c>
      <c r="I153" t="s">
        <v>40</v>
      </c>
      <c r="J153" t="s">
        <v>50</v>
      </c>
      <c r="K153" t="b">
        <v>0</v>
      </c>
      <c r="L153" t="b">
        <v>0</v>
      </c>
      <c r="M153" t="b">
        <v>0</v>
      </c>
      <c r="N153" t="b">
        <v>0</v>
      </c>
      <c r="O153" t="b">
        <v>0</v>
      </c>
      <c r="P153" t="b">
        <v>0</v>
      </c>
      <c r="Q153" t="b">
        <v>0</v>
      </c>
      <c r="R153" t="b">
        <v>0</v>
      </c>
      <c r="S153" t="b">
        <v>0</v>
      </c>
      <c r="T153" t="s">
        <v>115</v>
      </c>
      <c r="U153">
        <v>1</v>
      </c>
      <c r="V153">
        <v>6</v>
      </c>
      <c r="W153">
        <v>7</v>
      </c>
      <c r="X153">
        <v>37.432428571428503</v>
      </c>
      <c r="Y153" t="b">
        <v>1</v>
      </c>
      <c r="Z153" t="b">
        <v>0</v>
      </c>
      <c r="AA153" t="b">
        <v>0</v>
      </c>
      <c r="AB153">
        <v>0</v>
      </c>
      <c r="AC153" t="s">
        <v>34</v>
      </c>
      <c r="AE153" t="s">
        <v>35</v>
      </c>
    </row>
    <row r="154" spans="1:130" x14ac:dyDescent="0.2">
      <c r="A154" t="s">
        <v>36</v>
      </c>
      <c r="B154" t="s">
        <v>44</v>
      </c>
      <c r="C154" t="s">
        <v>38</v>
      </c>
      <c r="D154">
        <v>25</v>
      </c>
      <c r="E154">
        <v>6343</v>
      </c>
      <c r="F154" t="s">
        <v>49</v>
      </c>
      <c r="G154" t="s">
        <v>30</v>
      </c>
      <c r="H154">
        <v>151.339</v>
      </c>
      <c r="I154" t="s">
        <v>40</v>
      </c>
      <c r="J154" t="s">
        <v>41</v>
      </c>
      <c r="K154" t="b">
        <v>0</v>
      </c>
      <c r="L154" t="b">
        <v>0</v>
      </c>
      <c r="M154" t="b">
        <v>0</v>
      </c>
      <c r="N154" t="b">
        <v>0</v>
      </c>
      <c r="O154" t="b">
        <v>0</v>
      </c>
      <c r="P154" t="b">
        <v>0</v>
      </c>
      <c r="Q154" t="b">
        <v>1</v>
      </c>
      <c r="R154" t="b">
        <v>0</v>
      </c>
      <c r="S154" t="b">
        <v>0</v>
      </c>
      <c r="U154">
        <v>0</v>
      </c>
      <c r="V154">
        <v>9</v>
      </c>
      <c r="W154">
        <v>9</v>
      </c>
      <c r="X154">
        <v>4.2987777777777696</v>
      </c>
      <c r="Y154" t="b">
        <v>0</v>
      </c>
      <c r="Z154" t="b">
        <v>1</v>
      </c>
      <c r="AA154" t="b">
        <v>0</v>
      </c>
      <c r="AB154">
        <v>0</v>
      </c>
      <c r="AC154" t="s">
        <v>34</v>
      </c>
      <c r="AE154" t="s">
        <v>35</v>
      </c>
      <c r="AF154" t="s">
        <v>51</v>
      </c>
      <c r="AG154">
        <v>27.907</v>
      </c>
      <c r="AH154">
        <v>1.52</v>
      </c>
      <c r="AI154" t="s">
        <v>51</v>
      </c>
      <c r="AJ154">
        <v>33.622999999999998</v>
      </c>
      <c r="AK154">
        <v>3.964</v>
      </c>
      <c r="AL154" t="s">
        <v>51</v>
      </c>
      <c r="AM154">
        <v>42.579000000000001</v>
      </c>
      <c r="AN154">
        <v>5.101</v>
      </c>
      <c r="AO154" t="s">
        <v>51</v>
      </c>
      <c r="AP154">
        <v>51.594999999999999</v>
      </c>
      <c r="AQ154">
        <v>5.34</v>
      </c>
      <c r="AR154" t="s">
        <v>51</v>
      </c>
      <c r="AS154">
        <v>61.566000000000003</v>
      </c>
      <c r="AT154">
        <v>4.6710000000000003</v>
      </c>
      <c r="AU154" t="s">
        <v>42</v>
      </c>
      <c r="AV154">
        <v>73.263999999999996</v>
      </c>
      <c r="AW154">
        <v>4.5069999999999997</v>
      </c>
      <c r="AX154" t="s">
        <v>51</v>
      </c>
      <c r="AY154">
        <v>81.254000000000005</v>
      </c>
      <c r="AZ154">
        <v>3.452</v>
      </c>
      <c r="BA154" t="s">
        <v>42</v>
      </c>
      <c r="BB154">
        <v>91.881</v>
      </c>
      <c r="BC154">
        <v>0.86499999999999999</v>
      </c>
      <c r="BD154" t="s">
        <v>51</v>
      </c>
      <c r="BE154">
        <v>95.605999999999995</v>
      </c>
      <c r="BF154">
        <v>8.16</v>
      </c>
      <c r="BG154" t="s">
        <v>51</v>
      </c>
      <c r="BH154">
        <v>124.232</v>
      </c>
      <c r="BI154">
        <v>2.4790000000000001</v>
      </c>
      <c r="BJ154" t="s">
        <v>42</v>
      </c>
      <c r="BK154">
        <v>131.88900000000001</v>
      </c>
      <c r="BL154">
        <v>2.6040000000000001</v>
      </c>
      <c r="BM154" t="s">
        <v>51</v>
      </c>
      <c r="BN154">
        <v>136.85900000000001</v>
      </c>
      <c r="BO154">
        <v>4.0019999999999998</v>
      </c>
    </row>
    <row r="155" spans="1:130" x14ac:dyDescent="0.2">
      <c r="A155" t="s">
        <v>36</v>
      </c>
      <c r="B155" t="s">
        <v>55</v>
      </c>
      <c r="C155" t="s">
        <v>64</v>
      </c>
      <c r="D155">
        <v>25</v>
      </c>
      <c r="E155">
        <v>4061</v>
      </c>
      <c r="F155" t="s">
        <v>46</v>
      </c>
      <c r="G155" t="s">
        <v>30</v>
      </c>
      <c r="H155">
        <v>0</v>
      </c>
      <c r="I155" t="s">
        <v>57</v>
      </c>
      <c r="J155" t="s">
        <v>32</v>
      </c>
      <c r="K155" t="b">
        <v>0</v>
      </c>
      <c r="L155" t="b">
        <v>0</v>
      </c>
      <c r="M155" t="b">
        <v>0</v>
      </c>
      <c r="N155" t="b">
        <v>0</v>
      </c>
      <c r="O155" t="b">
        <v>0</v>
      </c>
      <c r="P155" t="b">
        <v>0</v>
      </c>
      <c r="Q155" t="b">
        <v>0</v>
      </c>
      <c r="R155" t="b">
        <v>0</v>
      </c>
      <c r="S155" t="b">
        <v>0</v>
      </c>
      <c r="T155" t="s">
        <v>116</v>
      </c>
      <c r="U155">
        <v>0</v>
      </c>
      <c r="V155">
        <v>2</v>
      </c>
      <c r="W155">
        <v>2</v>
      </c>
      <c r="X155">
        <v>3.7635000000000001</v>
      </c>
      <c r="Y155" t="b">
        <v>1</v>
      </c>
      <c r="Z155" t="b">
        <v>1</v>
      </c>
      <c r="AA155" t="b">
        <v>0</v>
      </c>
      <c r="AB155">
        <v>0</v>
      </c>
      <c r="AC155" t="s">
        <v>34</v>
      </c>
      <c r="AE155" t="s">
        <v>35</v>
      </c>
      <c r="AF155" t="s">
        <v>51</v>
      </c>
      <c r="AG155">
        <v>26.140999999999998</v>
      </c>
      <c r="AH155">
        <v>6.8520000000000003</v>
      </c>
      <c r="AI155" t="s">
        <v>43</v>
      </c>
      <c r="AJ155">
        <v>37.683999999999997</v>
      </c>
      <c r="AK155">
        <v>0.67500000000000004</v>
      </c>
      <c r="AL155" t="s">
        <v>42</v>
      </c>
      <c r="AM155">
        <v>63.069000000000003</v>
      </c>
      <c r="AN155">
        <v>23.609000000000002</v>
      </c>
    </row>
    <row r="156" spans="1:130" x14ac:dyDescent="0.2">
      <c r="A156" t="s">
        <v>36</v>
      </c>
      <c r="B156" t="s">
        <v>37</v>
      </c>
      <c r="C156" t="s">
        <v>45</v>
      </c>
      <c r="D156">
        <v>25</v>
      </c>
      <c r="E156">
        <v>6076</v>
      </c>
      <c r="F156" t="s">
        <v>53</v>
      </c>
      <c r="G156" t="s">
        <v>30</v>
      </c>
      <c r="H156">
        <v>0</v>
      </c>
      <c r="I156" t="s">
        <v>31</v>
      </c>
      <c r="J156" t="s">
        <v>32</v>
      </c>
      <c r="K156" t="b">
        <v>0</v>
      </c>
      <c r="L156" t="b">
        <v>0</v>
      </c>
      <c r="M156" t="b">
        <v>0</v>
      </c>
      <c r="N156" t="b">
        <v>0</v>
      </c>
      <c r="O156" t="b">
        <v>0</v>
      </c>
      <c r="P156" t="b">
        <v>0</v>
      </c>
      <c r="Q156" t="b">
        <v>0</v>
      </c>
      <c r="R156" t="b">
        <v>0</v>
      </c>
      <c r="S156" t="b">
        <v>1</v>
      </c>
      <c r="U156">
        <v>1</v>
      </c>
      <c r="V156">
        <v>4</v>
      </c>
      <c r="W156">
        <v>5</v>
      </c>
      <c r="X156">
        <v>50.22</v>
      </c>
      <c r="Y156" t="b">
        <v>1</v>
      </c>
      <c r="Z156" t="b">
        <v>0</v>
      </c>
      <c r="AA156" t="b">
        <v>0</v>
      </c>
      <c r="AB156">
        <v>0</v>
      </c>
      <c r="AC156" t="s">
        <v>34</v>
      </c>
      <c r="AE156" t="s">
        <v>35</v>
      </c>
    </row>
    <row r="157" spans="1:130" x14ac:dyDescent="0.2">
      <c r="A157" t="s">
        <v>36</v>
      </c>
      <c r="B157" t="s">
        <v>47</v>
      </c>
      <c r="C157" t="s">
        <v>52</v>
      </c>
      <c r="D157">
        <v>25</v>
      </c>
      <c r="E157">
        <v>1595</v>
      </c>
      <c r="F157" t="s">
        <v>49</v>
      </c>
      <c r="G157" t="s">
        <v>30</v>
      </c>
      <c r="H157">
        <v>152.66399999999999</v>
      </c>
      <c r="I157" t="s">
        <v>40</v>
      </c>
      <c r="J157" t="s">
        <v>41</v>
      </c>
      <c r="K157" t="b">
        <v>0</v>
      </c>
      <c r="L157" t="b">
        <v>0</v>
      </c>
      <c r="M157" t="b">
        <v>0</v>
      </c>
      <c r="N157" t="b">
        <v>0</v>
      </c>
      <c r="O157" t="b">
        <v>0</v>
      </c>
      <c r="P157" t="b">
        <v>0</v>
      </c>
      <c r="Q157" t="b">
        <v>0</v>
      </c>
      <c r="R157" t="b">
        <v>0</v>
      </c>
      <c r="S157" t="b">
        <v>0</v>
      </c>
      <c r="T157" t="s">
        <v>117</v>
      </c>
      <c r="U157">
        <v>0</v>
      </c>
      <c r="V157">
        <v>4</v>
      </c>
      <c r="W157">
        <v>4</v>
      </c>
      <c r="X157">
        <v>0.28525</v>
      </c>
      <c r="Y157" t="b">
        <v>1</v>
      </c>
      <c r="Z157" t="b">
        <v>0</v>
      </c>
      <c r="AA157" t="b">
        <v>0</v>
      </c>
      <c r="AB157">
        <v>0</v>
      </c>
      <c r="AC157" t="s">
        <v>34</v>
      </c>
      <c r="AE157" t="s">
        <v>35</v>
      </c>
      <c r="AF157" t="s">
        <v>43</v>
      </c>
      <c r="AG157">
        <v>36.512</v>
      </c>
      <c r="AH157">
        <v>0.222</v>
      </c>
      <c r="AI157" t="s">
        <v>42</v>
      </c>
      <c r="AJ157">
        <v>38.078000000000003</v>
      </c>
      <c r="AK157">
        <v>0.26500000000000001</v>
      </c>
      <c r="AL157" t="s">
        <v>43</v>
      </c>
      <c r="AM157">
        <v>42.695</v>
      </c>
      <c r="AN157">
        <v>0.249</v>
      </c>
      <c r="AO157" t="s">
        <v>42</v>
      </c>
      <c r="AP157">
        <v>47.078000000000003</v>
      </c>
      <c r="AQ157">
        <v>0.216</v>
      </c>
      <c r="AR157" t="s">
        <v>42</v>
      </c>
      <c r="AS157">
        <v>75.046000000000006</v>
      </c>
      <c r="AT157">
        <v>0.318</v>
      </c>
      <c r="AU157" t="s">
        <v>43</v>
      </c>
      <c r="AV157">
        <v>96.180999999999997</v>
      </c>
      <c r="AW157">
        <v>0.34899999999999998</v>
      </c>
      <c r="AX157" t="s">
        <v>42</v>
      </c>
      <c r="AY157">
        <v>108.86499999999999</v>
      </c>
      <c r="AZ157">
        <v>0.249</v>
      </c>
      <c r="BA157" t="s">
        <v>43</v>
      </c>
      <c r="BB157">
        <v>139.54599999999999</v>
      </c>
      <c r="BC157">
        <v>0.32100000000000001</v>
      </c>
    </row>
    <row r="158" spans="1:130" x14ac:dyDescent="0.2">
      <c r="A158" t="s">
        <v>36</v>
      </c>
      <c r="B158" t="s">
        <v>63</v>
      </c>
      <c r="C158" t="s">
        <v>58</v>
      </c>
      <c r="D158">
        <v>26</v>
      </c>
      <c r="E158">
        <v>9438</v>
      </c>
      <c r="F158" t="s">
        <v>66</v>
      </c>
      <c r="G158" t="s">
        <v>39</v>
      </c>
      <c r="H158">
        <v>0</v>
      </c>
      <c r="I158" t="s">
        <v>57</v>
      </c>
      <c r="J158" t="s">
        <v>32</v>
      </c>
      <c r="K158" t="b">
        <v>0</v>
      </c>
      <c r="L158" t="b">
        <v>0</v>
      </c>
      <c r="M158" t="b">
        <v>0</v>
      </c>
      <c r="N158" t="b">
        <v>0</v>
      </c>
      <c r="O158" t="b">
        <v>0</v>
      </c>
      <c r="P158" t="b">
        <v>0</v>
      </c>
      <c r="Q158" t="b">
        <v>0</v>
      </c>
      <c r="R158" t="b">
        <v>0</v>
      </c>
      <c r="S158" t="b">
        <v>0</v>
      </c>
      <c r="U158">
        <v>0</v>
      </c>
      <c r="V158">
        <v>3</v>
      </c>
      <c r="W158">
        <v>3</v>
      </c>
      <c r="X158">
        <v>18.162666666666599</v>
      </c>
      <c r="Y158" t="b">
        <v>1</v>
      </c>
      <c r="Z158" t="b">
        <v>0</v>
      </c>
      <c r="AA158" t="b">
        <v>0</v>
      </c>
      <c r="AB158">
        <v>0</v>
      </c>
      <c r="AC158" t="s">
        <v>34</v>
      </c>
      <c r="AE158" t="s">
        <v>35</v>
      </c>
      <c r="AF158" t="s">
        <v>42</v>
      </c>
      <c r="AG158">
        <v>0</v>
      </c>
      <c r="AH158">
        <v>1156.316</v>
      </c>
      <c r="AI158" t="s">
        <v>43</v>
      </c>
      <c r="AJ158">
        <v>63.289000000000001</v>
      </c>
      <c r="AK158">
        <v>19.419</v>
      </c>
      <c r="AL158" t="s">
        <v>43</v>
      </c>
      <c r="AM158">
        <v>95.043999999999997</v>
      </c>
      <c r="AN158">
        <v>17.899999999999999</v>
      </c>
      <c r="AO158" t="s">
        <v>43</v>
      </c>
      <c r="AP158">
        <v>124.529</v>
      </c>
      <c r="AQ158">
        <v>17.169</v>
      </c>
    </row>
    <row r="159" spans="1:130" x14ac:dyDescent="0.2">
      <c r="A159" t="s">
        <v>36</v>
      </c>
      <c r="B159" t="s">
        <v>28</v>
      </c>
      <c r="C159" t="s">
        <v>48</v>
      </c>
      <c r="D159">
        <v>26</v>
      </c>
      <c r="E159">
        <v>4131</v>
      </c>
      <c r="F159" t="s">
        <v>49</v>
      </c>
      <c r="G159" t="s">
        <v>39</v>
      </c>
      <c r="H159">
        <v>0</v>
      </c>
      <c r="I159" t="s">
        <v>40</v>
      </c>
      <c r="J159" t="s">
        <v>32</v>
      </c>
      <c r="K159" t="b">
        <v>0</v>
      </c>
      <c r="L159" t="b">
        <v>0</v>
      </c>
      <c r="M159" t="b">
        <v>0</v>
      </c>
      <c r="N159" t="b">
        <v>0</v>
      </c>
      <c r="O159" t="b">
        <v>0</v>
      </c>
      <c r="P159" t="b">
        <v>0</v>
      </c>
      <c r="Q159" t="b">
        <v>0</v>
      </c>
      <c r="R159" t="b">
        <v>0</v>
      </c>
      <c r="S159" t="b">
        <v>0</v>
      </c>
      <c r="T159" t="s">
        <v>118</v>
      </c>
      <c r="U159">
        <v>3</v>
      </c>
      <c r="V159">
        <v>3</v>
      </c>
      <c r="W159">
        <v>6</v>
      </c>
      <c r="X159">
        <v>194.47699999999901</v>
      </c>
      <c r="Y159" t="b">
        <v>1</v>
      </c>
      <c r="Z159" t="b">
        <v>1</v>
      </c>
      <c r="AA159" t="b">
        <v>0</v>
      </c>
      <c r="AB159">
        <v>0</v>
      </c>
      <c r="AC159" t="s">
        <v>34</v>
      </c>
      <c r="AD159">
        <v>0</v>
      </c>
      <c r="AE159" t="s">
        <v>43</v>
      </c>
      <c r="AF159">
        <v>0</v>
      </c>
      <c r="AG159">
        <v>1144.4390000000001</v>
      </c>
      <c r="AH159">
        <v>-1</v>
      </c>
      <c r="AI159" t="s">
        <v>43</v>
      </c>
      <c r="AJ159">
        <v>6.9820000000000002</v>
      </c>
      <c r="AK159">
        <v>4.6390000000000002</v>
      </c>
      <c r="AL159">
        <v>-2</v>
      </c>
      <c r="AM159" t="s">
        <v>43</v>
      </c>
      <c r="AN159">
        <v>15.965999999999999</v>
      </c>
      <c r="AO159">
        <v>0.89900000000000002</v>
      </c>
      <c r="AQ159" t="s">
        <v>35</v>
      </c>
      <c r="AR159" t="s">
        <v>51</v>
      </c>
      <c r="AS159">
        <v>28.314</v>
      </c>
      <c r="AT159">
        <v>3.9329999999999998</v>
      </c>
      <c r="AU159" t="s">
        <v>51</v>
      </c>
      <c r="AV159">
        <v>34.628999999999998</v>
      </c>
      <c r="AW159">
        <v>6.9009999999999998</v>
      </c>
      <c r="AX159" t="s">
        <v>51</v>
      </c>
      <c r="AY159">
        <v>57.064</v>
      </c>
      <c r="AZ159">
        <v>6.0510000000000002</v>
      </c>
      <c r="BA159" t="s">
        <v>42</v>
      </c>
      <c r="BB159">
        <v>80.631</v>
      </c>
      <c r="BC159">
        <v>66.870999999999995</v>
      </c>
    </row>
    <row r="160" spans="1:130" x14ac:dyDescent="0.2">
      <c r="A160" t="s">
        <v>36</v>
      </c>
      <c r="B160" t="s">
        <v>44</v>
      </c>
      <c r="C160" t="s">
        <v>38</v>
      </c>
      <c r="D160">
        <v>26</v>
      </c>
      <c r="E160">
        <v>6831</v>
      </c>
      <c r="F160" t="s">
        <v>53</v>
      </c>
      <c r="G160" t="s">
        <v>30</v>
      </c>
      <c r="H160">
        <v>0</v>
      </c>
      <c r="I160" t="s">
        <v>40</v>
      </c>
      <c r="J160" t="s">
        <v>32</v>
      </c>
      <c r="K160" t="b">
        <v>0</v>
      </c>
      <c r="L160" t="b">
        <v>0</v>
      </c>
      <c r="M160" t="b">
        <v>0</v>
      </c>
      <c r="N160" t="b">
        <v>0</v>
      </c>
      <c r="O160" t="b">
        <v>0</v>
      </c>
      <c r="P160" t="b">
        <v>0</v>
      </c>
      <c r="Q160" t="b">
        <v>0</v>
      </c>
      <c r="R160" t="b">
        <v>0</v>
      </c>
      <c r="S160" t="b">
        <v>0</v>
      </c>
      <c r="U160">
        <v>1</v>
      </c>
      <c r="V160">
        <v>6</v>
      </c>
      <c r="W160">
        <v>7</v>
      </c>
      <c r="X160">
        <v>34.810857142857103</v>
      </c>
      <c r="Y160" t="b">
        <v>1</v>
      </c>
      <c r="Z160" t="b">
        <v>0</v>
      </c>
      <c r="AA160" t="b">
        <v>0</v>
      </c>
      <c r="AB160">
        <v>0</v>
      </c>
      <c r="AC160" t="s">
        <v>34</v>
      </c>
      <c r="AD160">
        <v>0</v>
      </c>
      <c r="AE160" t="s">
        <v>43</v>
      </c>
      <c r="AF160">
        <v>0</v>
      </c>
      <c r="AG160">
        <v>226.28</v>
      </c>
      <c r="AI160" t="s">
        <v>35</v>
      </c>
      <c r="AJ160" t="s">
        <v>43</v>
      </c>
      <c r="AK160">
        <v>30.841000000000001</v>
      </c>
      <c r="AL160">
        <v>1.633</v>
      </c>
      <c r="AM160" t="s">
        <v>42</v>
      </c>
      <c r="AN160">
        <v>47.835000000000001</v>
      </c>
      <c r="AO160">
        <v>8.141</v>
      </c>
      <c r="AP160" t="s">
        <v>43</v>
      </c>
      <c r="AQ160">
        <v>59.89</v>
      </c>
      <c r="AR160">
        <v>1.4490000000000001</v>
      </c>
      <c r="AS160" t="s">
        <v>43</v>
      </c>
      <c r="AT160">
        <v>62.808</v>
      </c>
      <c r="AU160">
        <v>2.8780000000000001</v>
      </c>
      <c r="AV160" t="s">
        <v>42</v>
      </c>
      <c r="AW160">
        <v>81.619</v>
      </c>
      <c r="AX160">
        <v>7.0860000000000003</v>
      </c>
      <c r="AY160" t="s">
        <v>43</v>
      </c>
      <c r="AZ160">
        <v>94.876999999999995</v>
      </c>
      <c r="BA160">
        <v>1.1759999999999999</v>
      </c>
      <c r="BB160" t="s">
        <v>42</v>
      </c>
      <c r="BC160">
        <v>105.435</v>
      </c>
      <c r="BD160">
        <v>4.851</v>
      </c>
      <c r="BE160" t="s">
        <v>43</v>
      </c>
      <c r="BF160">
        <v>116.023</v>
      </c>
      <c r="BG160">
        <v>2.899</v>
      </c>
      <c r="BH160" t="s">
        <v>43</v>
      </c>
      <c r="BI160">
        <v>131.22999999999999</v>
      </c>
      <c r="BJ160">
        <v>7.3609999999999998</v>
      </c>
    </row>
    <row r="161" spans="1:73" x14ac:dyDescent="0.2">
      <c r="A161" t="s">
        <v>36</v>
      </c>
      <c r="B161" t="s">
        <v>55</v>
      </c>
      <c r="C161" t="s">
        <v>64</v>
      </c>
      <c r="D161">
        <v>26</v>
      </c>
      <c r="E161">
        <v>4125</v>
      </c>
      <c r="F161" t="s">
        <v>49</v>
      </c>
      <c r="G161" t="s">
        <v>30</v>
      </c>
      <c r="H161">
        <v>0</v>
      </c>
      <c r="I161" t="s">
        <v>54</v>
      </c>
      <c r="J161" t="s">
        <v>32</v>
      </c>
      <c r="K161" t="b">
        <v>0</v>
      </c>
      <c r="L161" t="b">
        <v>0</v>
      </c>
      <c r="M161" t="b">
        <v>0</v>
      </c>
      <c r="N161" t="b">
        <v>0</v>
      </c>
      <c r="O161" t="b">
        <v>0</v>
      </c>
      <c r="P161" t="b">
        <v>0</v>
      </c>
      <c r="Q161" t="b">
        <v>0</v>
      </c>
      <c r="R161" t="b">
        <v>0</v>
      </c>
      <c r="S161" t="b">
        <v>0</v>
      </c>
      <c r="T161" t="s">
        <v>119</v>
      </c>
      <c r="U161">
        <v>0</v>
      </c>
      <c r="V161">
        <v>3</v>
      </c>
      <c r="W161">
        <v>3</v>
      </c>
      <c r="X161">
        <v>1.425</v>
      </c>
      <c r="Y161" t="b">
        <v>1</v>
      </c>
      <c r="Z161" t="b">
        <v>0</v>
      </c>
      <c r="AA161" t="b">
        <v>0</v>
      </c>
      <c r="AB161">
        <v>0</v>
      </c>
      <c r="AC161" t="s">
        <v>34</v>
      </c>
      <c r="AE161" t="s">
        <v>35</v>
      </c>
      <c r="AF161" t="s">
        <v>43</v>
      </c>
      <c r="AG161">
        <v>41.497999999999998</v>
      </c>
      <c r="AH161">
        <v>1.421</v>
      </c>
      <c r="AI161" t="s">
        <v>43</v>
      </c>
      <c r="AJ161">
        <v>74.846000000000004</v>
      </c>
      <c r="AK161">
        <v>1.085</v>
      </c>
      <c r="AL161" t="s">
        <v>43</v>
      </c>
      <c r="AM161">
        <v>101.004</v>
      </c>
      <c r="AN161">
        <v>1.7689999999999999</v>
      </c>
    </row>
    <row r="162" spans="1:73" x14ac:dyDescent="0.2">
      <c r="A162" t="s">
        <v>36</v>
      </c>
      <c r="B162" t="s">
        <v>37</v>
      </c>
      <c r="C162" t="s">
        <v>45</v>
      </c>
      <c r="D162">
        <v>26</v>
      </c>
      <c r="E162">
        <v>4089</v>
      </c>
      <c r="F162" t="s">
        <v>53</v>
      </c>
      <c r="G162" t="s">
        <v>39</v>
      </c>
      <c r="H162">
        <v>147.15600000000001</v>
      </c>
      <c r="I162" t="s">
        <v>40</v>
      </c>
      <c r="J162" t="s">
        <v>41</v>
      </c>
      <c r="K162" t="b">
        <v>0</v>
      </c>
      <c r="L162" t="b">
        <v>0</v>
      </c>
      <c r="M162" t="b">
        <v>0</v>
      </c>
      <c r="N162" t="b">
        <v>0</v>
      </c>
      <c r="O162" t="b">
        <v>0</v>
      </c>
      <c r="P162" t="b">
        <v>0</v>
      </c>
      <c r="Q162" t="b">
        <v>0</v>
      </c>
      <c r="R162" t="b">
        <v>0</v>
      </c>
      <c r="S162" t="b">
        <v>0</v>
      </c>
      <c r="U162">
        <v>3</v>
      </c>
      <c r="V162">
        <v>5</v>
      </c>
      <c r="W162">
        <v>8</v>
      </c>
      <c r="X162">
        <v>27.911999999999999</v>
      </c>
      <c r="Y162" t="b">
        <v>1</v>
      </c>
      <c r="Z162" t="b">
        <v>1</v>
      </c>
      <c r="AA162" t="b">
        <v>0</v>
      </c>
      <c r="AB162">
        <v>0</v>
      </c>
      <c r="AC162" t="s">
        <v>34</v>
      </c>
      <c r="AD162">
        <v>0</v>
      </c>
      <c r="AE162" t="s">
        <v>43</v>
      </c>
      <c r="AF162">
        <v>0</v>
      </c>
      <c r="AG162">
        <v>212.779</v>
      </c>
      <c r="AH162">
        <v>3</v>
      </c>
      <c r="AI162" t="s">
        <v>43</v>
      </c>
      <c r="AJ162">
        <v>16.283999999999999</v>
      </c>
      <c r="AK162">
        <v>1.212</v>
      </c>
      <c r="AL162">
        <v>7</v>
      </c>
      <c r="AM162" t="s">
        <v>43</v>
      </c>
      <c r="AN162">
        <v>20.524999999999999</v>
      </c>
      <c r="AO162">
        <v>1.2629999999999999</v>
      </c>
      <c r="AQ162" t="s">
        <v>35</v>
      </c>
      <c r="AR162" t="s">
        <v>51</v>
      </c>
      <c r="AS162">
        <v>34.802</v>
      </c>
      <c r="AT162">
        <v>0.48799999999999999</v>
      </c>
      <c r="AU162" t="s">
        <v>51</v>
      </c>
      <c r="AV162">
        <v>43.442</v>
      </c>
      <c r="AW162">
        <v>0.437</v>
      </c>
      <c r="AX162" t="s">
        <v>43</v>
      </c>
      <c r="AY162">
        <v>64.531000000000006</v>
      </c>
      <c r="AZ162">
        <v>0.35499999999999998</v>
      </c>
      <c r="BA162" t="s">
        <v>51</v>
      </c>
      <c r="BB162">
        <v>91.289000000000001</v>
      </c>
      <c r="BC162">
        <v>0.68700000000000006</v>
      </c>
      <c r="BD162" t="s">
        <v>51</v>
      </c>
      <c r="BE162">
        <v>102.464</v>
      </c>
      <c r="BF162">
        <v>6.0750000000000002</v>
      </c>
      <c r="BG162" t="s">
        <v>42</v>
      </c>
      <c r="BH162">
        <v>131.25700000000001</v>
      </c>
      <c r="BI162">
        <v>0.70399999999999996</v>
      </c>
    </row>
    <row r="163" spans="1:73" x14ac:dyDescent="0.2">
      <c r="A163" t="s">
        <v>36</v>
      </c>
      <c r="B163" t="s">
        <v>47</v>
      </c>
      <c r="C163" t="s">
        <v>52</v>
      </c>
      <c r="D163">
        <v>26</v>
      </c>
      <c r="E163">
        <v>2147</v>
      </c>
      <c r="F163" t="s">
        <v>46</v>
      </c>
      <c r="G163" t="s">
        <v>39</v>
      </c>
      <c r="H163">
        <v>140.06</v>
      </c>
      <c r="I163" t="s">
        <v>54</v>
      </c>
      <c r="J163" t="s">
        <v>41</v>
      </c>
      <c r="K163" t="b">
        <v>1</v>
      </c>
      <c r="L163" t="b">
        <v>0</v>
      </c>
      <c r="M163" t="b">
        <v>0</v>
      </c>
      <c r="N163" t="b">
        <v>0</v>
      </c>
      <c r="O163" t="b">
        <v>0</v>
      </c>
      <c r="P163" t="b">
        <v>0</v>
      </c>
      <c r="Q163" t="b">
        <v>0</v>
      </c>
      <c r="R163" t="b">
        <v>0</v>
      </c>
      <c r="S163" t="b">
        <v>0</v>
      </c>
      <c r="T163" t="s">
        <v>120</v>
      </c>
      <c r="U163">
        <v>1</v>
      </c>
      <c r="V163">
        <v>6</v>
      </c>
      <c r="W163">
        <v>7</v>
      </c>
      <c r="X163">
        <v>43.0072857142857</v>
      </c>
      <c r="Y163" t="b">
        <v>1</v>
      </c>
      <c r="Z163" t="b">
        <v>0</v>
      </c>
      <c r="AA163" t="b">
        <v>0</v>
      </c>
      <c r="AB163">
        <v>0</v>
      </c>
      <c r="AC163" t="s">
        <v>34</v>
      </c>
      <c r="AD163">
        <v>0</v>
      </c>
      <c r="AE163" t="s">
        <v>43</v>
      </c>
      <c r="AF163">
        <v>0</v>
      </c>
      <c r="AG163">
        <v>265.685</v>
      </c>
      <c r="AI163" t="s">
        <v>35</v>
      </c>
      <c r="AJ163" t="s">
        <v>43</v>
      </c>
      <c r="AK163">
        <v>10.317</v>
      </c>
      <c r="AL163">
        <v>23.739000000000001</v>
      </c>
      <c r="AM163" t="s">
        <v>43</v>
      </c>
      <c r="AN163">
        <v>43.488999999999997</v>
      </c>
      <c r="AO163">
        <v>4.4450000000000003</v>
      </c>
      <c r="AP163" t="s">
        <v>43</v>
      </c>
      <c r="AQ163">
        <v>66.875</v>
      </c>
      <c r="AR163">
        <v>0.215</v>
      </c>
      <c r="AS163" t="s">
        <v>43</v>
      </c>
      <c r="AT163">
        <v>73.775000000000006</v>
      </c>
      <c r="AU163">
        <v>6.532</v>
      </c>
      <c r="AV163" t="s">
        <v>43</v>
      </c>
      <c r="AW163">
        <v>96.959000000000003</v>
      </c>
      <c r="AX163">
        <v>0.216</v>
      </c>
      <c r="AY163" t="s">
        <v>43</v>
      </c>
      <c r="AZ163">
        <v>119.51</v>
      </c>
      <c r="BA163">
        <v>0.219</v>
      </c>
    </row>
    <row r="164" spans="1:73" x14ac:dyDescent="0.2">
      <c r="A164" t="s">
        <v>36</v>
      </c>
      <c r="B164" t="s">
        <v>44</v>
      </c>
      <c r="C164" t="s">
        <v>38</v>
      </c>
      <c r="D164">
        <v>27</v>
      </c>
      <c r="E164">
        <v>2926</v>
      </c>
      <c r="F164" t="s">
        <v>49</v>
      </c>
      <c r="G164" t="s">
        <v>39</v>
      </c>
      <c r="H164">
        <v>0</v>
      </c>
      <c r="I164" t="s">
        <v>54</v>
      </c>
      <c r="J164" t="s">
        <v>32</v>
      </c>
      <c r="K164" t="b">
        <v>0</v>
      </c>
      <c r="L164" t="b">
        <v>0</v>
      </c>
      <c r="M164" t="b">
        <v>0</v>
      </c>
      <c r="N164" t="b">
        <v>0</v>
      </c>
      <c r="O164" t="b">
        <v>0</v>
      </c>
      <c r="P164" t="b">
        <v>0</v>
      </c>
      <c r="Q164" t="b">
        <v>0</v>
      </c>
      <c r="R164" t="b">
        <v>0</v>
      </c>
      <c r="S164" t="b">
        <v>0</v>
      </c>
      <c r="U164">
        <v>2</v>
      </c>
      <c r="V164">
        <v>5</v>
      </c>
      <c r="W164">
        <v>7</v>
      </c>
      <c r="X164">
        <v>31.1159999999999</v>
      </c>
      <c r="Y164" t="b">
        <v>1</v>
      </c>
      <c r="Z164" t="b">
        <v>0</v>
      </c>
      <c r="AA164" t="b">
        <v>0</v>
      </c>
      <c r="AB164">
        <v>0</v>
      </c>
      <c r="AC164" t="s">
        <v>34</v>
      </c>
      <c r="AD164">
        <v>0</v>
      </c>
      <c r="AE164" t="s">
        <v>43</v>
      </c>
      <c r="AF164">
        <v>0</v>
      </c>
      <c r="AG164">
        <v>171.67</v>
      </c>
      <c r="AH164">
        <v>-2</v>
      </c>
      <c r="AI164" t="s">
        <v>43</v>
      </c>
      <c r="AJ164">
        <v>2.403</v>
      </c>
      <c r="AK164">
        <v>0.435</v>
      </c>
      <c r="AM164" t="s">
        <v>35</v>
      </c>
      <c r="AN164" t="s">
        <v>43</v>
      </c>
      <c r="AO164">
        <v>15.368</v>
      </c>
      <c r="AP164">
        <v>5.3680000000000003</v>
      </c>
      <c r="AQ164" t="s">
        <v>43</v>
      </c>
      <c r="AR164">
        <v>25.305</v>
      </c>
      <c r="AS164">
        <v>9.5370000000000008</v>
      </c>
      <c r="AT164" t="s">
        <v>43</v>
      </c>
      <c r="AU164">
        <v>51.377000000000002</v>
      </c>
      <c r="AV164">
        <v>9.9359999999999999</v>
      </c>
      <c r="AW164" t="s">
        <v>43</v>
      </c>
      <c r="AX164">
        <v>70.822000000000003</v>
      </c>
      <c r="AY164">
        <v>7.1890000000000001</v>
      </c>
      <c r="AZ164" t="s">
        <v>43</v>
      </c>
      <c r="BA164">
        <v>89.381</v>
      </c>
      <c r="BB164">
        <v>13.677</v>
      </c>
      <c r="BC164" t="s">
        <v>42</v>
      </c>
      <c r="BD164">
        <v>111.11499999999999</v>
      </c>
      <c r="BE164">
        <v>4.6289999999999996</v>
      </c>
    </row>
    <row r="165" spans="1:73" x14ac:dyDescent="0.2">
      <c r="A165" t="s">
        <v>36</v>
      </c>
      <c r="B165" t="s">
        <v>28</v>
      </c>
      <c r="C165" t="s">
        <v>48</v>
      </c>
      <c r="D165">
        <v>27</v>
      </c>
      <c r="E165">
        <v>4980</v>
      </c>
      <c r="F165" t="s">
        <v>53</v>
      </c>
      <c r="G165" t="s">
        <v>30</v>
      </c>
      <c r="H165">
        <v>147.35300000000001</v>
      </c>
      <c r="I165" t="s">
        <v>40</v>
      </c>
      <c r="J165" t="s">
        <v>41</v>
      </c>
      <c r="K165" t="b">
        <v>0</v>
      </c>
      <c r="L165" t="b">
        <v>0</v>
      </c>
      <c r="M165" t="b">
        <v>0</v>
      </c>
      <c r="N165" t="b">
        <v>0</v>
      </c>
      <c r="O165" t="b">
        <v>0</v>
      </c>
      <c r="P165" t="b">
        <v>1</v>
      </c>
      <c r="Q165" t="b">
        <v>0</v>
      </c>
      <c r="R165" t="b">
        <v>0</v>
      </c>
      <c r="S165" t="b">
        <v>0</v>
      </c>
      <c r="T165" t="s">
        <v>121</v>
      </c>
      <c r="U165">
        <v>1</v>
      </c>
      <c r="V165">
        <v>0</v>
      </c>
      <c r="W165">
        <v>1</v>
      </c>
      <c r="X165">
        <v>168.33</v>
      </c>
      <c r="Y165" t="b">
        <v>1</v>
      </c>
      <c r="Z165" t="b">
        <v>0</v>
      </c>
      <c r="AA165" t="b">
        <v>0</v>
      </c>
      <c r="AB165">
        <v>0</v>
      </c>
      <c r="AC165" t="s">
        <v>34</v>
      </c>
      <c r="AD165">
        <v>0</v>
      </c>
      <c r="AE165" t="s">
        <v>43</v>
      </c>
      <c r="AF165">
        <v>0</v>
      </c>
      <c r="AG165">
        <v>168.33</v>
      </c>
      <c r="AI165" t="s">
        <v>35</v>
      </c>
      <c r="AJ165" t="s">
        <v>42</v>
      </c>
      <c r="AK165">
        <v>22.617000000000001</v>
      </c>
      <c r="AL165">
        <v>112.83799999999999</v>
      </c>
    </row>
    <row r="166" spans="1:73" x14ac:dyDescent="0.2">
      <c r="A166" t="s">
        <v>36</v>
      </c>
      <c r="B166" t="s">
        <v>47</v>
      </c>
      <c r="C166" t="s">
        <v>52</v>
      </c>
      <c r="D166">
        <v>27</v>
      </c>
      <c r="E166">
        <v>5920</v>
      </c>
      <c r="F166" t="s">
        <v>49</v>
      </c>
      <c r="G166" t="s">
        <v>30</v>
      </c>
      <c r="H166">
        <v>146.21700000000001</v>
      </c>
      <c r="I166" t="s">
        <v>40</v>
      </c>
      <c r="J166" t="s">
        <v>41</v>
      </c>
      <c r="K166" t="b">
        <v>1</v>
      </c>
      <c r="L166" t="b">
        <v>0</v>
      </c>
      <c r="M166" t="b">
        <v>0</v>
      </c>
      <c r="N166" t="b">
        <v>0</v>
      </c>
      <c r="O166" t="b">
        <v>0</v>
      </c>
      <c r="P166" t="b">
        <v>0</v>
      </c>
      <c r="Q166" t="b">
        <v>0</v>
      </c>
      <c r="R166" t="b">
        <v>0</v>
      </c>
      <c r="S166" t="b">
        <v>0</v>
      </c>
      <c r="T166" t="s">
        <v>122</v>
      </c>
      <c r="U166">
        <v>0</v>
      </c>
      <c r="V166">
        <v>0</v>
      </c>
      <c r="W166">
        <v>0</v>
      </c>
      <c r="X166" t="s">
        <v>33</v>
      </c>
      <c r="Y166" t="b">
        <v>0</v>
      </c>
      <c r="Z166" t="b">
        <v>0</v>
      </c>
      <c r="AA166" t="b">
        <v>0</v>
      </c>
      <c r="AB166">
        <v>0</v>
      </c>
      <c r="AC166" t="s">
        <v>34</v>
      </c>
      <c r="AE166" t="s">
        <v>35</v>
      </c>
      <c r="AF166" t="s">
        <v>42</v>
      </c>
      <c r="AG166">
        <v>0</v>
      </c>
      <c r="AH166">
        <v>143.304</v>
      </c>
      <c r="AI166" t="s">
        <v>42</v>
      </c>
      <c r="AJ166">
        <v>34.841999999999999</v>
      </c>
      <c r="AK166">
        <v>40.642000000000003</v>
      </c>
    </row>
    <row r="167" spans="1:73" x14ac:dyDescent="0.2">
      <c r="A167" t="s">
        <v>36</v>
      </c>
      <c r="B167" t="s">
        <v>37</v>
      </c>
      <c r="C167" t="s">
        <v>45</v>
      </c>
      <c r="D167">
        <v>27</v>
      </c>
      <c r="E167">
        <v>9613</v>
      </c>
      <c r="F167" t="s">
        <v>46</v>
      </c>
      <c r="G167" t="s">
        <v>30</v>
      </c>
      <c r="H167">
        <v>151.38800000000001</v>
      </c>
      <c r="I167" t="s">
        <v>57</v>
      </c>
      <c r="J167" t="s">
        <v>41</v>
      </c>
      <c r="K167" t="b">
        <v>0</v>
      </c>
      <c r="L167" t="b">
        <v>0</v>
      </c>
      <c r="M167" t="b">
        <v>0</v>
      </c>
      <c r="N167" t="b">
        <v>0</v>
      </c>
      <c r="O167" t="b">
        <v>0</v>
      </c>
      <c r="P167" t="b">
        <v>0</v>
      </c>
      <c r="Q167" t="b">
        <v>0</v>
      </c>
      <c r="R167" t="b">
        <v>0</v>
      </c>
      <c r="S167" t="b">
        <v>0</v>
      </c>
      <c r="U167">
        <v>1</v>
      </c>
      <c r="V167">
        <v>4</v>
      </c>
      <c r="W167">
        <v>5</v>
      </c>
      <c r="X167">
        <v>44.065399999999997</v>
      </c>
      <c r="Y167" t="b">
        <v>1</v>
      </c>
      <c r="Z167" t="b">
        <v>0</v>
      </c>
      <c r="AA167" t="b">
        <v>0</v>
      </c>
      <c r="AB167">
        <v>0</v>
      </c>
      <c r="AC167" t="s">
        <v>34</v>
      </c>
      <c r="AD167">
        <v>0</v>
      </c>
      <c r="AE167" t="s">
        <v>43</v>
      </c>
      <c r="AF167">
        <v>0</v>
      </c>
      <c r="AG167">
        <v>184.97</v>
      </c>
      <c r="AI167" t="s">
        <v>35</v>
      </c>
      <c r="AJ167" t="s">
        <v>43</v>
      </c>
      <c r="AK167">
        <v>30.26</v>
      </c>
      <c r="AL167">
        <v>13.298999999999999</v>
      </c>
      <c r="AM167" t="s">
        <v>43</v>
      </c>
      <c r="AN167">
        <v>51.764000000000003</v>
      </c>
      <c r="AO167">
        <v>12.083</v>
      </c>
      <c r="AP167" t="s">
        <v>43</v>
      </c>
      <c r="AQ167">
        <v>103.16800000000001</v>
      </c>
      <c r="AR167">
        <v>9.56</v>
      </c>
      <c r="AS167" t="s">
        <v>43</v>
      </c>
      <c r="AT167">
        <v>136.18</v>
      </c>
      <c r="AU167">
        <v>0.41499999999999998</v>
      </c>
    </row>
    <row r="168" spans="1:73" x14ac:dyDescent="0.2">
      <c r="A168" t="s">
        <v>36</v>
      </c>
      <c r="B168" t="s">
        <v>55</v>
      </c>
      <c r="C168" t="s">
        <v>64</v>
      </c>
      <c r="D168">
        <v>27</v>
      </c>
      <c r="E168">
        <v>492</v>
      </c>
      <c r="F168" t="s">
        <v>49</v>
      </c>
      <c r="G168" t="s">
        <v>30</v>
      </c>
      <c r="H168">
        <v>0</v>
      </c>
      <c r="I168" t="s">
        <v>57</v>
      </c>
      <c r="J168" t="s">
        <v>32</v>
      </c>
      <c r="K168" t="b">
        <v>0</v>
      </c>
      <c r="L168" t="b">
        <v>0</v>
      </c>
      <c r="M168" t="b">
        <v>0</v>
      </c>
      <c r="N168" t="b">
        <v>0</v>
      </c>
      <c r="O168" t="b">
        <v>0</v>
      </c>
      <c r="P168" t="b">
        <v>0</v>
      </c>
      <c r="Q168" t="b">
        <v>0</v>
      </c>
      <c r="R168" t="b">
        <v>0</v>
      </c>
      <c r="S168" t="b">
        <v>0</v>
      </c>
      <c r="U168">
        <v>0</v>
      </c>
      <c r="V168">
        <v>3</v>
      </c>
      <c r="W168">
        <v>3</v>
      </c>
      <c r="X168">
        <v>0.196333333333333</v>
      </c>
      <c r="Y168" t="b">
        <v>1</v>
      </c>
      <c r="Z168" t="b">
        <v>1</v>
      </c>
      <c r="AA168" t="b">
        <v>0</v>
      </c>
      <c r="AB168">
        <v>0</v>
      </c>
      <c r="AC168" t="s">
        <v>34</v>
      </c>
      <c r="AE168" t="s">
        <v>35</v>
      </c>
      <c r="AF168" t="s">
        <v>43</v>
      </c>
      <c r="AG168">
        <v>2.5790000000000002</v>
      </c>
      <c r="AH168">
        <v>0.14399999999999999</v>
      </c>
      <c r="AI168" t="s">
        <v>43</v>
      </c>
      <c r="AJ168">
        <v>3.0049999999999999</v>
      </c>
      <c r="AK168">
        <v>8.8999999999999996E-2</v>
      </c>
      <c r="AL168" t="s">
        <v>51</v>
      </c>
      <c r="AM168">
        <v>4.5149999999999997</v>
      </c>
      <c r="AN168">
        <v>0.35599999999999998</v>
      </c>
    </row>
    <row r="169" spans="1:73" x14ac:dyDescent="0.2">
      <c r="A169" t="s">
        <v>36</v>
      </c>
      <c r="B169" t="s">
        <v>63</v>
      </c>
      <c r="C169" t="s">
        <v>58</v>
      </c>
      <c r="D169">
        <v>28</v>
      </c>
      <c r="E169">
        <v>5468</v>
      </c>
      <c r="F169" t="s">
        <v>53</v>
      </c>
      <c r="G169" t="s">
        <v>39</v>
      </c>
      <c r="H169">
        <v>0</v>
      </c>
      <c r="I169" t="s">
        <v>54</v>
      </c>
      <c r="J169" t="s">
        <v>50</v>
      </c>
      <c r="K169" t="b">
        <v>0</v>
      </c>
      <c r="L169" t="b">
        <v>0</v>
      </c>
      <c r="M169" t="b">
        <v>0</v>
      </c>
      <c r="N169" t="b">
        <v>0</v>
      </c>
      <c r="O169" t="b">
        <v>0</v>
      </c>
      <c r="P169" t="b">
        <v>0</v>
      </c>
      <c r="Q169" t="b">
        <v>0</v>
      </c>
      <c r="R169" t="b">
        <v>0</v>
      </c>
      <c r="S169" t="b">
        <v>0</v>
      </c>
      <c r="U169">
        <v>1</v>
      </c>
      <c r="V169">
        <v>8</v>
      </c>
      <c r="W169">
        <v>9</v>
      </c>
      <c r="X169">
        <v>17.998666666666601</v>
      </c>
      <c r="Y169" t="b">
        <v>1</v>
      </c>
      <c r="Z169" t="b">
        <v>0</v>
      </c>
      <c r="AA169" t="b">
        <v>0</v>
      </c>
      <c r="AB169">
        <v>0</v>
      </c>
      <c r="AC169" t="s">
        <v>34</v>
      </c>
      <c r="AD169">
        <v>0</v>
      </c>
      <c r="AE169" t="s">
        <v>43</v>
      </c>
      <c r="AF169">
        <v>0</v>
      </c>
      <c r="AG169">
        <v>127.929</v>
      </c>
      <c r="AI169" t="s">
        <v>35</v>
      </c>
      <c r="AJ169" t="s">
        <v>42</v>
      </c>
      <c r="AK169">
        <v>23.338000000000001</v>
      </c>
      <c r="AL169">
        <v>2.78</v>
      </c>
      <c r="AM169" t="s">
        <v>42</v>
      </c>
      <c r="AN169">
        <v>36.345999999999997</v>
      </c>
      <c r="AO169">
        <v>7.9409999999999998</v>
      </c>
      <c r="AP169" t="s">
        <v>43</v>
      </c>
      <c r="AQ169">
        <v>56.695999999999998</v>
      </c>
      <c r="AR169">
        <v>0.34499999999999997</v>
      </c>
      <c r="AS169" t="s">
        <v>43</v>
      </c>
      <c r="AT169">
        <v>58.384</v>
      </c>
      <c r="AU169">
        <v>6.4660000000000002</v>
      </c>
      <c r="AV169" t="s">
        <v>43</v>
      </c>
      <c r="AW169">
        <v>69.225999999999999</v>
      </c>
      <c r="AX169">
        <v>4.649</v>
      </c>
      <c r="AY169" t="s">
        <v>43</v>
      </c>
      <c r="AZ169">
        <v>83.668999999999997</v>
      </c>
      <c r="BA169">
        <v>11.477</v>
      </c>
      <c r="BB169" t="s">
        <v>43</v>
      </c>
      <c r="BC169">
        <v>100.179</v>
      </c>
      <c r="BD169">
        <v>1.522</v>
      </c>
      <c r="BE169" t="s">
        <v>43</v>
      </c>
      <c r="BF169">
        <v>111.83499999999999</v>
      </c>
      <c r="BG169">
        <v>0.318</v>
      </c>
      <c r="BH169" t="s">
        <v>43</v>
      </c>
      <c r="BI169">
        <v>117.884</v>
      </c>
      <c r="BJ169">
        <v>6.3120000000000003</v>
      </c>
      <c r="BK169" t="s">
        <v>43</v>
      </c>
      <c r="BL169">
        <v>132.39400000000001</v>
      </c>
      <c r="BM169">
        <v>2.97</v>
      </c>
    </row>
    <row r="170" spans="1:73" x14ac:dyDescent="0.2">
      <c r="A170" t="s">
        <v>36</v>
      </c>
      <c r="B170" t="s">
        <v>28</v>
      </c>
      <c r="C170" t="s">
        <v>48</v>
      </c>
      <c r="D170">
        <v>28</v>
      </c>
      <c r="E170">
        <v>3712</v>
      </c>
      <c r="F170" t="s">
        <v>49</v>
      </c>
      <c r="G170" t="s">
        <v>30</v>
      </c>
      <c r="H170">
        <v>0</v>
      </c>
      <c r="I170" t="s">
        <v>57</v>
      </c>
      <c r="J170" t="s">
        <v>32</v>
      </c>
      <c r="K170" t="b">
        <v>0</v>
      </c>
      <c r="L170" t="b">
        <v>0</v>
      </c>
      <c r="M170" t="b">
        <v>0</v>
      </c>
      <c r="N170" t="b">
        <v>0</v>
      </c>
      <c r="O170" t="b">
        <v>0</v>
      </c>
      <c r="P170" t="b">
        <v>0</v>
      </c>
      <c r="Q170" t="b">
        <v>0</v>
      </c>
      <c r="R170" t="b">
        <v>0</v>
      </c>
      <c r="S170" t="b">
        <v>0</v>
      </c>
      <c r="T170" t="s">
        <v>123</v>
      </c>
      <c r="U170">
        <v>0</v>
      </c>
      <c r="V170">
        <v>1</v>
      </c>
      <c r="W170">
        <v>1</v>
      </c>
      <c r="X170">
        <v>3.036</v>
      </c>
      <c r="Y170" t="b">
        <v>1</v>
      </c>
      <c r="Z170" t="b">
        <v>0</v>
      </c>
      <c r="AA170" t="b">
        <v>0</v>
      </c>
      <c r="AB170">
        <v>0</v>
      </c>
      <c r="AC170" t="s">
        <v>34</v>
      </c>
      <c r="AE170" t="s">
        <v>35</v>
      </c>
      <c r="AF170" t="s">
        <v>43</v>
      </c>
      <c r="AG170">
        <v>26.181999999999999</v>
      </c>
      <c r="AH170">
        <v>3.036</v>
      </c>
    </row>
    <row r="171" spans="1:73" x14ac:dyDescent="0.2">
      <c r="A171" t="s">
        <v>36</v>
      </c>
      <c r="B171" t="s">
        <v>44</v>
      </c>
      <c r="C171" t="s">
        <v>38</v>
      </c>
      <c r="D171">
        <v>28</v>
      </c>
      <c r="E171">
        <v>1318</v>
      </c>
      <c r="F171" t="s">
        <v>46</v>
      </c>
      <c r="G171" t="s">
        <v>39</v>
      </c>
      <c r="H171">
        <v>149.63800000000001</v>
      </c>
      <c r="I171" t="s">
        <v>40</v>
      </c>
      <c r="J171" t="s">
        <v>41</v>
      </c>
      <c r="K171" t="b">
        <v>0</v>
      </c>
      <c r="L171" t="b">
        <v>0</v>
      </c>
      <c r="M171" t="b">
        <v>0</v>
      </c>
      <c r="N171" t="b">
        <v>0</v>
      </c>
      <c r="O171" t="b">
        <v>0</v>
      </c>
      <c r="P171" t="b">
        <v>0</v>
      </c>
      <c r="Q171" t="b">
        <v>0</v>
      </c>
      <c r="R171" t="b">
        <v>0</v>
      </c>
      <c r="S171" t="b">
        <v>0</v>
      </c>
      <c r="U171">
        <v>3</v>
      </c>
      <c r="V171">
        <v>9</v>
      </c>
      <c r="W171">
        <v>12</v>
      </c>
      <c r="X171">
        <v>12.1122499999999</v>
      </c>
      <c r="Y171" t="b">
        <v>1</v>
      </c>
      <c r="Z171" t="b">
        <v>0</v>
      </c>
      <c r="AA171" t="b">
        <v>0</v>
      </c>
      <c r="AB171">
        <v>0</v>
      </c>
      <c r="AC171" t="s">
        <v>34</v>
      </c>
      <c r="AD171">
        <v>0</v>
      </c>
      <c r="AE171" t="s">
        <v>43</v>
      </c>
      <c r="AF171">
        <v>0</v>
      </c>
      <c r="AG171">
        <v>110.081</v>
      </c>
      <c r="AH171">
        <v>-2</v>
      </c>
      <c r="AI171" t="s">
        <v>43</v>
      </c>
      <c r="AJ171">
        <v>6.4820000000000002</v>
      </c>
      <c r="AK171">
        <v>1.171</v>
      </c>
      <c r="AL171">
        <v>-3</v>
      </c>
      <c r="AM171" t="s">
        <v>43</v>
      </c>
      <c r="AN171">
        <v>11.754</v>
      </c>
      <c r="AO171">
        <v>1.601</v>
      </c>
      <c r="AQ171" t="s">
        <v>35</v>
      </c>
      <c r="AR171" t="s">
        <v>43</v>
      </c>
      <c r="AS171">
        <v>21.616</v>
      </c>
      <c r="AT171">
        <v>2.7170000000000001</v>
      </c>
      <c r="AU171" t="s">
        <v>43</v>
      </c>
      <c r="AV171">
        <v>30.527999999999999</v>
      </c>
      <c r="AW171">
        <v>1.2789999999999999</v>
      </c>
      <c r="AX171" t="s">
        <v>43</v>
      </c>
      <c r="AY171">
        <v>37.238</v>
      </c>
      <c r="AZ171">
        <v>3.2770000000000001</v>
      </c>
      <c r="BA171" t="s">
        <v>43</v>
      </c>
      <c r="BB171">
        <v>47.582999999999998</v>
      </c>
      <c r="BC171">
        <v>2.2250000000000001</v>
      </c>
      <c r="BD171" t="s">
        <v>43</v>
      </c>
      <c r="BE171">
        <v>54.015000000000001</v>
      </c>
      <c r="BF171">
        <v>7.1150000000000002</v>
      </c>
      <c r="BG171" t="s">
        <v>43</v>
      </c>
      <c r="BH171">
        <v>67.828999999999994</v>
      </c>
      <c r="BI171">
        <v>3.9980000000000002</v>
      </c>
      <c r="BJ171" t="s">
        <v>42</v>
      </c>
      <c r="BK171">
        <v>84.218000000000004</v>
      </c>
      <c r="BL171">
        <v>9.8030000000000008</v>
      </c>
      <c r="BM171" t="s">
        <v>43</v>
      </c>
      <c r="BN171">
        <v>99.552000000000007</v>
      </c>
      <c r="BO171">
        <v>4.9020000000000001</v>
      </c>
      <c r="BP171" t="s">
        <v>43</v>
      </c>
      <c r="BQ171">
        <v>110.878</v>
      </c>
      <c r="BR171">
        <v>6.2190000000000003</v>
      </c>
      <c r="BS171" t="s">
        <v>43</v>
      </c>
      <c r="BT171">
        <v>139.26300000000001</v>
      </c>
      <c r="BU171">
        <v>0.76200000000000001</v>
      </c>
    </row>
    <row r="172" spans="1:73" x14ac:dyDescent="0.2">
      <c r="A172" t="s">
        <v>36</v>
      </c>
      <c r="B172" t="s">
        <v>55</v>
      </c>
      <c r="C172" t="s">
        <v>64</v>
      </c>
      <c r="D172">
        <v>28</v>
      </c>
      <c r="E172">
        <v>9680</v>
      </c>
      <c r="F172" t="s">
        <v>49</v>
      </c>
      <c r="G172" t="s">
        <v>30</v>
      </c>
      <c r="H172">
        <v>0</v>
      </c>
      <c r="I172" t="s">
        <v>57</v>
      </c>
      <c r="J172" t="s">
        <v>32</v>
      </c>
      <c r="K172" t="b">
        <v>0</v>
      </c>
      <c r="L172" t="b">
        <v>0</v>
      </c>
      <c r="M172" t="b">
        <v>0</v>
      </c>
      <c r="N172" t="b">
        <v>0</v>
      </c>
      <c r="O172" t="b">
        <v>0</v>
      </c>
      <c r="P172" t="b">
        <v>0</v>
      </c>
      <c r="Q172" t="b">
        <v>0</v>
      </c>
      <c r="R172" t="b">
        <v>0</v>
      </c>
      <c r="S172" t="b">
        <v>0</v>
      </c>
      <c r="T172" t="s">
        <v>124</v>
      </c>
      <c r="U172">
        <v>0</v>
      </c>
      <c r="V172">
        <v>1</v>
      </c>
      <c r="W172">
        <v>1</v>
      </c>
      <c r="X172">
        <v>1.2529999999999999</v>
      </c>
      <c r="Y172" t="b">
        <v>0</v>
      </c>
      <c r="Z172" t="b">
        <v>1</v>
      </c>
      <c r="AA172" t="b">
        <v>0</v>
      </c>
      <c r="AB172">
        <v>0</v>
      </c>
      <c r="AC172" t="s">
        <v>34</v>
      </c>
      <c r="AE172" t="s">
        <v>35</v>
      </c>
    </row>
    <row r="173" spans="1:73" x14ac:dyDescent="0.2">
      <c r="A173" t="s">
        <v>36</v>
      </c>
      <c r="B173" t="s">
        <v>47</v>
      </c>
      <c r="C173" t="s">
        <v>52</v>
      </c>
      <c r="D173">
        <v>28</v>
      </c>
      <c r="E173">
        <v>4104</v>
      </c>
      <c r="F173" t="s">
        <v>46</v>
      </c>
      <c r="G173" t="s">
        <v>30</v>
      </c>
      <c r="H173">
        <v>120.883</v>
      </c>
      <c r="I173" t="s">
        <v>57</v>
      </c>
      <c r="J173" t="s">
        <v>50</v>
      </c>
      <c r="K173" t="b">
        <v>0</v>
      </c>
      <c r="L173" t="b">
        <v>1</v>
      </c>
      <c r="M173" t="b">
        <v>0</v>
      </c>
      <c r="N173" t="b">
        <v>0</v>
      </c>
      <c r="O173" t="b">
        <v>0</v>
      </c>
      <c r="P173" t="b">
        <v>0</v>
      </c>
      <c r="Q173" t="b">
        <v>0</v>
      </c>
      <c r="R173" t="b">
        <v>0</v>
      </c>
      <c r="S173" t="b">
        <v>0</v>
      </c>
      <c r="T173" t="s">
        <v>125</v>
      </c>
      <c r="U173">
        <v>1</v>
      </c>
      <c r="V173">
        <v>1</v>
      </c>
      <c r="W173">
        <v>2</v>
      </c>
      <c r="X173">
        <v>92.191999999999993</v>
      </c>
      <c r="Y173" t="b">
        <v>1</v>
      </c>
      <c r="Z173" t="b">
        <v>1</v>
      </c>
      <c r="AA173" t="b">
        <v>0</v>
      </c>
      <c r="AB173">
        <v>0</v>
      </c>
      <c r="AC173" t="s">
        <v>34</v>
      </c>
      <c r="AD173">
        <v>0</v>
      </c>
      <c r="AE173" t="s">
        <v>43</v>
      </c>
      <c r="AF173">
        <v>0</v>
      </c>
      <c r="AG173">
        <v>141.41900000000001</v>
      </c>
      <c r="AI173" t="s">
        <v>35</v>
      </c>
      <c r="AJ173" t="s">
        <v>51</v>
      </c>
      <c r="AK173">
        <v>52.265999999999998</v>
      </c>
      <c r="AL173">
        <v>42.965000000000003</v>
      </c>
    </row>
    <row r="174" spans="1:73" x14ac:dyDescent="0.2">
      <c r="A174" t="s">
        <v>36</v>
      </c>
      <c r="B174" t="s">
        <v>37</v>
      </c>
      <c r="C174" t="s">
        <v>45</v>
      </c>
      <c r="D174">
        <v>28</v>
      </c>
      <c r="E174">
        <v>3876</v>
      </c>
      <c r="F174" t="s">
        <v>53</v>
      </c>
      <c r="G174" t="s">
        <v>39</v>
      </c>
      <c r="H174">
        <v>146.18700000000001</v>
      </c>
      <c r="I174" t="s">
        <v>57</v>
      </c>
      <c r="J174" t="s">
        <v>41</v>
      </c>
      <c r="K174" t="b">
        <v>0</v>
      </c>
      <c r="L174" t="b">
        <v>0</v>
      </c>
      <c r="M174" t="b">
        <v>0</v>
      </c>
      <c r="N174" t="b">
        <v>0</v>
      </c>
      <c r="O174" t="b">
        <v>0</v>
      </c>
      <c r="P174" t="b">
        <v>0</v>
      </c>
      <c r="Q174" t="b">
        <v>0</v>
      </c>
      <c r="R174" t="b">
        <v>0</v>
      </c>
      <c r="S174" t="b">
        <v>0</v>
      </c>
      <c r="T174" t="s">
        <v>126</v>
      </c>
      <c r="U174">
        <v>1</v>
      </c>
      <c r="V174">
        <v>3</v>
      </c>
      <c r="W174">
        <v>4</v>
      </c>
      <c r="X174">
        <v>49.702999999999903</v>
      </c>
      <c r="Y174" t="b">
        <v>1</v>
      </c>
      <c r="Z174" t="b">
        <v>0</v>
      </c>
      <c r="AA174" t="b">
        <v>0</v>
      </c>
      <c r="AB174">
        <v>0</v>
      </c>
      <c r="AC174" t="s">
        <v>34</v>
      </c>
      <c r="AD174">
        <v>0</v>
      </c>
      <c r="AE174" t="s">
        <v>43</v>
      </c>
      <c r="AF174">
        <v>0</v>
      </c>
      <c r="AG174">
        <v>170.89699999999999</v>
      </c>
      <c r="AI174" t="s">
        <v>35</v>
      </c>
      <c r="AJ174" t="s">
        <v>43</v>
      </c>
      <c r="AK174">
        <v>38.526000000000003</v>
      </c>
      <c r="AL174">
        <v>13.885</v>
      </c>
      <c r="AM174" t="s">
        <v>43</v>
      </c>
      <c r="AN174">
        <v>89.896000000000001</v>
      </c>
      <c r="AO174">
        <v>13.51</v>
      </c>
      <c r="AP174" t="s">
        <v>43</v>
      </c>
      <c r="AQ174">
        <v>139.48099999999999</v>
      </c>
      <c r="AR174">
        <v>0.52</v>
      </c>
    </row>
    <row r="175" spans="1:73" x14ac:dyDescent="0.2">
      <c r="A175" t="s">
        <v>36</v>
      </c>
      <c r="B175" t="s">
        <v>63</v>
      </c>
      <c r="C175" t="s">
        <v>58</v>
      </c>
      <c r="D175">
        <v>29</v>
      </c>
      <c r="E175">
        <v>3574</v>
      </c>
      <c r="F175" t="s">
        <v>49</v>
      </c>
      <c r="G175" t="s">
        <v>39</v>
      </c>
      <c r="H175">
        <v>0</v>
      </c>
      <c r="I175" t="s">
        <v>40</v>
      </c>
      <c r="J175" t="s">
        <v>50</v>
      </c>
      <c r="K175" t="b">
        <v>0</v>
      </c>
      <c r="L175" t="b">
        <v>0</v>
      </c>
      <c r="M175" t="b">
        <v>0</v>
      </c>
      <c r="N175" t="b">
        <v>0</v>
      </c>
      <c r="O175" t="b">
        <v>0</v>
      </c>
      <c r="P175" t="b">
        <v>0</v>
      </c>
      <c r="Q175" t="b">
        <v>0</v>
      </c>
      <c r="R175" t="b">
        <v>0</v>
      </c>
      <c r="S175" t="b">
        <v>0</v>
      </c>
      <c r="U175">
        <v>0</v>
      </c>
      <c r="V175">
        <v>2</v>
      </c>
      <c r="W175">
        <v>2</v>
      </c>
      <c r="X175">
        <v>21.837499999999999</v>
      </c>
      <c r="Y175" t="b">
        <v>1</v>
      </c>
      <c r="Z175" t="b">
        <v>0</v>
      </c>
      <c r="AA175" t="b">
        <v>0</v>
      </c>
      <c r="AB175">
        <v>0</v>
      </c>
      <c r="AC175" t="s">
        <v>34</v>
      </c>
      <c r="AD175">
        <v>0</v>
      </c>
      <c r="AE175" t="s">
        <v>42</v>
      </c>
      <c r="AF175">
        <v>0</v>
      </c>
      <c r="AG175">
        <v>172.65</v>
      </c>
      <c r="AI175" t="s">
        <v>35</v>
      </c>
      <c r="AJ175" t="s">
        <v>43</v>
      </c>
      <c r="AK175">
        <v>9.0779999999999994</v>
      </c>
      <c r="AL175">
        <v>27.266999999999999</v>
      </c>
      <c r="AM175" t="s">
        <v>42</v>
      </c>
      <c r="AN175">
        <v>42.786000000000001</v>
      </c>
      <c r="AO175">
        <v>6.1029999999999998</v>
      </c>
      <c r="AP175" t="s">
        <v>42</v>
      </c>
      <c r="AQ175">
        <v>73.364000000000004</v>
      </c>
      <c r="AR175">
        <v>4.33</v>
      </c>
      <c r="AS175" t="s">
        <v>43</v>
      </c>
      <c r="AT175">
        <v>90.527000000000001</v>
      </c>
      <c r="AU175">
        <v>16.408000000000001</v>
      </c>
      <c r="AV175" t="s">
        <v>42</v>
      </c>
      <c r="AW175">
        <v>130.28299999999999</v>
      </c>
      <c r="AX175">
        <v>6.4569999999999999</v>
      </c>
    </row>
    <row r="176" spans="1:73" x14ac:dyDescent="0.2">
      <c r="A176" t="s">
        <v>36</v>
      </c>
      <c r="B176" t="s">
        <v>28</v>
      </c>
      <c r="C176" t="s">
        <v>48</v>
      </c>
      <c r="D176">
        <v>29</v>
      </c>
      <c r="E176">
        <v>4513</v>
      </c>
      <c r="F176" t="s">
        <v>46</v>
      </c>
      <c r="G176" t="s">
        <v>30</v>
      </c>
      <c r="H176">
        <v>133.745</v>
      </c>
      <c r="I176" t="s">
        <v>57</v>
      </c>
      <c r="J176" t="s">
        <v>41</v>
      </c>
      <c r="K176" t="b">
        <v>0</v>
      </c>
      <c r="L176" t="b">
        <v>0</v>
      </c>
      <c r="M176" t="b">
        <v>0</v>
      </c>
      <c r="N176" t="b">
        <v>0</v>
      </c>
      <c r="O176" t="b">
        <v>0</v>
      </c>
      <c r="P176" t="b">
        <v>1</v>
      </c>
      <c r="Q176" t="b">
        <v>0</v>
      </c>
      <c r="R176" t="b">
        <v>0</v>
      </c>
      <c r="S176" t="b">
        <v>0</v>
      </c>
      <c r="U176">
        <v>1</v>
      </c>
      <c r="V176">
        <v>3</v>
      </c>
      <c r="W176">
        <v>4</v>
      </c>
      <c r="X176">
        <v>67.271000000000001</v>
      </c>
      <c r="Y176" t="b">
        <v>1</v>
      </c>
      <c r="Z176" t="b">
        <v>0</v>
      </c>
      <c r="AA176" t="b">
        <v>0</v>
      </c>
      <c r="AB176">
        <v>0</v>
      </c>
      <c r="AC176" t="s">
        <v>34</v>
      </c>
      <c r="AD176">
        <v>0</v>
      </c>
      <c r="AE176" t="s">
        <v>43</v>
      </c>
      <c r="AF176">
        <v>0</v>
      </c>
      <c r="AG176">
        <v>221.73699999999999</v>
      </c>
      <c r="AI176" t="s">
        <v>35</v>
      </c>
      <c r="AJ176" t="s">
        <v>43</v>
      </c>
      <c r="AK176">
        <v>22.727</v>
      </c>
      <c r="AL176">
        <v>30.233000000000001</v>
      </c>
      <c r="AM176" t="s">
        <v>43</v>
      </c>
      <c r="AN176">
        <v>57.927</v>
      </c>
      <c r="AO176">
        <v>8.3109999999999999</v>
      </c>
      <c r="AP176" t="s">
        <v>42</v>
      </c>
      <c r="AQ176">
        <v>71.927999999999997</v>
      </c>
      <c r="AR176">
        <v>3.7160000000000002</v>
      </c>
      <c r="AS176" t="s">
        <v>42</v>
      </c>
      <c r="AT176">
        <v>76.094999999999999</v>
      </c>
      <c r="AU176">
        <v>0.45</v>
      </c>
      <c r="AV176" t="s">
        <v>43</v>
      </c>
      <c r="AW176">
        <v>77.992999999999995</v>
      </c>
      <c r="AX176">
        <v>8.8030000000000008</v>
      </c>
      <c r="AY176" t="s">
        <v>42</v>
      </c>
      <c r="AZ176">
        <v>97.061999999999998</v>
      </c>
      <c r="BA176">
        <v>7.484</v>
      </c>
    </row>
    <row r="177" spans="1:81" x14ac:dyDescent="0.2">
      <c r="A177" t="s">
        <v>36</v>
      </c>
      <c r="B177" t="s">
        <v>44</v>
      </c>
      <c r="C177" t="s">
        <v>38</v>
      </c>
      <c r="D177">
        <v>29</v>
      </c>
      <c r="E177">
        <v>6831</v>
      </c>
      <c r="F177" t="s">
        <v>53</v>
      </c>
      <c r="G177" t="s">
        <v>39</v>
      </c>
      <c r="H177">
        <v>146.59100000000001</v>
      </c>
      <c r="I177" t="s">
        <v>40</v>
      </c>
      <c r="J177" t="s">
        <v>41</v>
      </c>
      <c r="K177" t="b">
        <v>0</v>
      </c>
      <c r="L177" t="b">
        <v>0</v>
      </c>
      <c r="M177" t="b">
        <v>0</v>
      </c>
      <c r="N177" t="b">
        <v>0</v>
      </c>
      <c r="O177" t="b">
        <v>0</v>
      </c>
      <c r="P177" t="b">
        <v>0</v>
      </c>
      <c r="Q177" t="b">
        <v>0</v>
      </c>
      <c r="R177" t="b">
        <v>0</v>
      </c>
      <c r="S177" t="b">
        <v>0</v>
      </c>
      <c r="U177">
        <v>0</v>
      </c>
      <c r="V177">
        <v>4</v>
      </c>
      <c r="W177">
        <v>4</v>
      </c>
      <c r="X177">
        <v>14.4299999999999</v>
      </c>
      <c r="Y177" t="b">
        <v>1</v>
      </c>
      <c r="Z177" t="b">
        <v>1</v>
      </c>
      <c r="AA177" t="b">
        <v>0</v>
      </c>
      <c r="AB177">
        <v>0</v>
      </c>
      <c r="AC177" t="s">
        <v>34</v>
      </c>
      <c r="AD177">
        <v>0</v>
      </c>
      <c r="AE177" t="s">
        <v>42</v>
      </c>
      <c r="AF177">
        <v>0</v>
      </c>
      <c r="AG177">
        <v>28.873999999999999</v>
      </c>
      <c r="AH177">
        <v>-3</v>
      </c>
      <c r="AI177" t="s">
        <v>42</v>
      </c>
      <c r="AJ177">
        <v>7.25</v>
      </c>
      <c r="AK177">
        <v>2.706</v>
      </c>
      <c r="AM177" t="s">
        <v>35</v>
      </c>
      <c r="AN177" t="s">
        <v>43</v>
      </c>
      <c r="AO177">
        <v>24.475999999999999</v>
      </c>
      <c r="AP177">
        <v>34.753</v>
      </c>
      <c r="AQ177" t="s">
        <v>51</v>
      </c>
      <c r="AR177">
        <v>65.3</v>
      </c>
      <c r="AS177">
        <v>10.882999999999999</v>
      </c>
      <c r="AT177" t="s">
        <v>51</v>
      </c>
      <c r="AU177">
        <v>81.843000000000004</v>
      </c>
      <c r="AV177">
        <v>5.87</v>
      </c>
      <c r="AW177" t="s">
        <v>43</v>
      </c>
      <c r="AX177">
        <v>131.94999999999999</v>
      </c>
      <c r="AY177">
        <v>6.2140000000000004</v>
      </c>
    </row>
    <row r="178" spans="1:81" x14ac:dyDescent="0.2">
      <c r="A178" t="s">
        <v>36</v>
      </c>
      <c r="B178" t="s">
        <v>47</v>
      </c>
      <c r="C178" t="s">
        <v>52</v>
      </c>
      <c r="D178">
        <v>29</v>
      </c>
      <c r="E178">
        <v>6076</v>
      </c>
      <c r="F178" t="s">
        <v>49</v>
      </c>
      <c r="G178" t="s">
        <v>30</v>
      </c>
      <c r="H178">
        <v>0</v>
      </c>
      <c r="I178" t="s">
        <v>40</v>
      </c>
      <c r="J178" t="s">
        <v>32</v>
      </c>
      <c r="K178" t="b">
        <v>0</v>
      </c>
      <c r="L178" t="b">
        <v>0</v>
      </c>
      <c r="M178" t="b">
        <v>0</v>
      </c>
      <c r="N178" t="b">
        <v>0</v>
      </c>
      <c r="O178" t="b">
        <v>0</v>
      </c>
      <c r="P178" t="b">
        <v>0</v>
      </c>
      <c r="Q178" t="b">
        <v>0</v>
      </c>
      <c r="R178" t="b">
        <v>0</v>
      </c>
      <c r="S178" t="b">
        <v>0</v>
      </c>
      <c r="U178">
        <v>0</v>
      </c>
      <c r="V178">
        <v>2</v>
      </c>
      <c r="W178">
        <v>2</v>
      </c>
      <c r="X178">
        <v>122.595</v>
      </c>
      <c r="Y178" t="b">
        <v>0</v>
      </c>
      <c r="Z178" t="b">
        <v>1</v>
      </c>
      <c r="AA178" t="b">
        <v>0</v>
      </c>
      <c r="AB178">
        <v>0</v>
      </c>
      <c r="AC178" t="s">
        <v>34</v>
      </c>
      <c r="AE178" t="s">
        <v>35</v>
      </c>
      <c r="AF178" t="s">
        <v>51</v>
      </c>
      <c r="AG178">
        <v>0</v>
      </c>
      <c r="AH178">
        <v>241.28299999999999</v>
      </c>
      <c r="AI178" t="s">
        <v>51</v>
      </c>
      <c r="AJ178">
        <v>30.452000000000002</v>
      </c>
      <c r="AK178">
        <v>3.907</v>
      </c>
      <c r="AL178" t="s">
        <v>42</v>
      </c>
      <c r="AM178">
        <v>38.853000000000002</v>
      </c>
      <c r="AN178">
        <v>6.7329999999999997</v>
      </c>
      <c r="AO178" t="s">
        <v>42</v>
      </c>
      <c r="AP178">
        <v>54.116</v>
      </c>
      <c r="AQ178">
        <v>19.135000000000002</v>
      </c>
    </row>
    <row r="179" spans="1:81" x14ac:dyDescent="0.2">
      <c r="A179" t="s">
        <v>36</v>
      </c>
      <c r="B179" t="s">
        <v>44</v>
      </c>
      <c r="C179" t="s">
        <v>78</v>
      </c>
      <c r="D179">
        <v>29</v>
      </c>
      <c r="E179">
        <v>3574</v>
      </c>
      <c r="F179" t="s">
        <v>49</v>
      </c>
      <c r="G179" t="s">
        <v>39</v>
      </c>
      <c r="H179">
        <v>153.816</v>
      </c>
      <c r="I179" t="s">
        <v>40</v>
      </c>
      <c r="J179" t="s">
        <v>41</v>
      </c>
      <c r="K179" t="b">
        <v>0</v>
      </c>
      <c r="L179" t="b">
        <v>0</v>
      </c>
      <c r="M179" t="b">
        <v>0</v>
      </c>
      <c r="N179" t="b">
        <v>0</v>
      </c>
      <c r="O179" t="b">
        <v>0</v>
      </c>
      <c r="P179" t="b">
        <v>0</v>
      </c>
      <c r="Q179" t="b">
        <v>0</v>
      </c>
      <c r="R179" t="b">
        <v>0</v>
      </c>
      <c r="S179" t="b">
        <v>0</v>
      </c>
      <c r="U179">
        <v>1</v>
      </c>
      <c r="V179">
        <v>0</v>
      </c>
      <c r="W179">
        <v>1</v>
      </c>
      <c r="X179">
        <v>241.327</v>
      </c>
      <c r="Y179" t="b">
        <v>1</v>
      </c>
      <c r="Z179" t="b">
        <v>0</v>
      </c>
      <c r="AA179" t="b">
        <v>0</v>
      </c>
      <c r="AB179">
        <v>0</v>
      </c>
      <c r="AC179" t="s">
        <v>34</v>
      </c>
      <c r="AD179">
        <v>0</v>
      </c>
      <c r="AE179" t="s">
        <v>43</v>
      </c>
      <c r="AF179">
        <v>0</v>
      </c>
      <c r="AG179">
        <v>241.327</v>
      </c>
      <c r="AH179">
        <v>-1</v>
      </c>
      <c r="AI179" t="s">
        <v>42</v>
      </c>
      <c r="AJ179">
        <v>7.5540000000000003</v>
      </c>
      <c r="AK179">
        <v>5.2039999999999997</v>
      </c>
      <c r="AM179" t="s">
        <v>35</v>
      </c>
      <c r="AN179" t="s">
        <v>42</v>
      </c>
      <c r="AO179">
        <v>20.507000000000001</v>
      </c>
      <c r="AP179">
        <v>26.960999999999999</v>
      </c>
      <c r="AQ179" t="s">
        <v>42</v>
      </c>
      <c r="AR179">
        <v>62.731999999999999</v>
      </c>
      <c r="AS179">
        <v>10.701000000000001</v>
      </c>
      <c r="AT179" t="s">
        <v>42</v>
      </c>
      <c r="AU179">
        <v>87.32</v>
      </c>
      <c r="AV179">
        <v>15.361000000000001</v>
      </c>
      <c r="AW179" t="s">
        <v>42</v>
      </c>
      <c r="AX179">
        <v>122.18600000000001</v>
      </c>
      <c r="AY179">
        <v>12.714</v>
      </c>
    </row>
    <row r="180" spans="1:81" x14ac:dyDescent="0.2">
      <c r="A180" t="s">
        <v>36</v>
      </c>
      <c r="B180" t="s">
        <v>55</v>
      </c>
      <c r="C180" t="s">
        <v>127</v>
      </c>
      <c r="D180">
        <v>29</v>
      </c>
      <c r="E180">
        <v>4692</v>
      </c>
      <c r="F180" t="s">
        <v>66</v>
      </c>
      <c r="G180" t="s">
        <v>30</v>
      </c>
      <c r="H180">
        <v>143.02799999999999</v>
      </c>
      <c r="I180" t="s">
        <v>40</v>
      </c>
      <c r="J180" t="s">
        <v>41</v>
      </c>
      <c r="K180" t="b">
        <v>0</v>
      </c>
      <c r="L180" t="b">
        <v>0</v>
      </c>
      <c r="M180" t="b">
        <v>0</v>
      </c>
      <c r="N180" t="b">
        <v>0</v>
      </c>
      <c r="O180" t="b">
        <v>0</v>
      </c>
      <c r="P180" t="b">
        <v>1</v>
      </c>
      <c r="Q180" t="b">
        <v>0</v>
      </c>
      <c r="R180" t="b">
        <v>0</v>
      </c>
      <c r="S180" t="b">
        <v>0</v>
      </c>
      <c r="T180" t="s">
        <v>128</v>
      </c>
      <c r="U180">
        <v>0</v>
      </c>
      <c r="V180">
        <v>1</v>
      </c>
      <c r="W180">
        <v>1</v>
      </c>
      <c r="X180">
        <v>0.71699999999999997</v>
      </c>
      <c r="Y180" t="b">
        <v>0</v>
      </c>
      <c r="Z180" t="b">
        <v>1</v>
      </c>
      <c r="AA180" t="b">
        <v>0</v>
      </c>
      <c r="AB180">
        <v>0</v>
      </c>
      <c r="AC180" t="s">
        <v>34</v>
      </c>
      <c r="AE180" t="s">
        <v>35</v>
      </c>
      <c r="AF180" t="s">
        <v>51</v>
      </c>
      <c r="AG180">
        <v>25.588999999999999</v>
      </c>
      <c r="AH180">
        <v>0.71699999999999997</v>
      </c>
    </row>
    <row r="181" spans="1:81" x14ac:dyDescent="0.2">
      <c r="A181" t="s">
        <v>36</v>
      </c>
      <c r="B181" t="s">
        <v>63</v>
      </c>
      <c r="C181" t="s">
        <v>58</v>
      </c>
      <c r="D181">
        <v>30</v>
      </c>
      <c r="E181">
        <v>2811</v>
      </c>
      <c r="F181" t="s">
        <v>49</v>
      </c>
      <c r="G181" t="s">
        <v>39</v>
      </c>
      <c r="H181">
        <v>133.26499999999999</v>
      </c>
      <c r="I181" t="s">
        <v>40</v>
      </c>
      <c r="J181" t="s">
        <v>41</v>
      </c>
      <c r="K181" t="b">
        <v>0</v>
      </c>
      <c r="L181" t="b">
        <v>0</v>
      </c>
      <c r="M181" t="b">
        <v>0</v>
      </c>
      <c r="N181" t="b">
        <v>0</v>
      </c>
      <c r="O181" t="b">
        <v>0</v>
      </c>
      <c r="P181" t="b">
        <v>0</v>
      </c>
      <c r="Q181" t="b">
        <v>0</v>
      </c>
      <c r="R181" t="b">
        <v>0</v>
      </c>
      <c r="S181" t="b">
        <v>0</v>
      </c>
      <c r="T181" t="s">
        <v>129</v>
      </c>
      <c r="U181">
        <v>3</v>
      </c>
      <c r="V181">
        <v>5</v>
      </c>
      <c r="W181">
        <v>8</v>
      </c>
      <c r="X181">
        <v>27.8236249999999</v>
      </c>
      <c r="Y181" t="b">
        <v>1</v>
      </c>
      <c r="Z181" t="b">
        <v>0</v>
      </c>
      <c r="AA181" t="b">
        <v>1</v>
      </c>
      <c r="AB181">
        <v>1</v>
      </c>
      <c r="AC181" t="s">
        <v>34</v>
      </c>
      <c r="AD181">
        <v>0</v>
      </c>
      <c r="AE181" t="s">
        <v>43</v>
      </c>
      <c r="AF181">
        <v>0</v>
      </c>
      <c r="AG181">
        <v>176.32400000000001</v>
      </c>
      <c r="AH181">
        <v>-1</v>
      </c>
      <c r="AI181" t="s">
        <v>43</v>
      </c>
      <c r="AJ181">
        <v>9.07</v>
      </c>
      <c r="AK181">
        <v>1.8839999999999999</v>
      </c>
      <c r="AL181">
        <v>4</v>
      </c>
      <c r="AM181" t="s">
        <v>43</v>
      </c>
      <c r="AN181">
        <v>11.746</v>
      </c>
      <c r="AO181">
        <v>1.2929999999999999</v>
      </c>
      <c r="AQ181" t="s">
        <v>35</v>
      </c>
      <c r="AR181" t="s">
        <v>42</v>
      </c>
      <c r="AS181">
        <v>25.254000000000001</v>
      </c>
      <c r="AT181">
        <v>9.4740000000000002</v>
      </c>
      <c r="AU181" t="s">
        <v>43</v>
      </c>
      <c r="AV181">
        <v>38.045999999999999</v>
      </c>
      <c r="AW181">
        <v>3.0270000000000001</v>
      </c>
      <c r="AX181" t="s">
        <v>42</v>
      </c>
      <c r="AY181">
        <v>45.756</v>
      </c>
      <c r="AZ181">
        <v>3.8929999999999998</v>
      </c>
      <c r="BA181" t="s">
        <v>43</v>
      </c>
      <c r="BB181">
        <v>55.566000000000003</v>
      </c>
      <c r="BC181">
        <v>1.1499999999999999</v>
      </c>
      <c r="BD181" t="s">
        <v>43</v>
      </c>
      <c r="BE181">
        <v>64.64</v>
      </c>
      <c r="BF181">
        <v>6.1</v>
      </c>
      <c r="BG181" t="s">
        <v>42</v>
      </c>
      <c r="BH181">
        <v>81.241</v>
      </c>
      <c r="BI181">
        <v>6.1669999999999998</v>
      </c>
      <c r="BJ181" t="s">
        <v>43</v>
      </c>
      <c r="BK181">
        <v>97.105999999999995</v>
      </c>
      <c r="BL181">
        <v>5.367</v>
      </c>
      <c r="BM181" t="s">
        <v>81</v>
      </c>
      <c r="BN181">
        <v>116.101</v>
      </c>
      <c r="BO181">
        <v>27.443999999999999</v>
      </c>
    </row>
    <row r="182" spans="1:81" x14ac:dyDescent="0.2">
      <c r="A182" t="s">
        <v>36</v>
      </c>
      <c r="B182" t="s">
        <v>28</v>
      </c>
      <c r="C182" t="s">
        <v>48</v>
      </c>
      <c r="D182">
        <v>30</v>
      </c>
      <c r="E182">
        <v>4131</v>
      </c>
      <c r="F182" t="s">
        <v>53</v>
      </c>
      <c r="G182" t="s">
        <v>39</v>
      </c>
      <c r="H182">
        <v>0</v>
      </c>
      <c r="I182" t="s">
        <v>40</v>
      </c>
      <c r="J182" t="s">
        <v>32</v>
      </c>
      <c r="K182" t="b">
        <v>0</v>
      </c>
      <c r="L182" t="b">
        <v>0</v>
      </c>
      <c r="M182" t="b">
        <v>0</v>
      </c>
      <c r="N182" t="b">
        <v>0</v>
      </c>
      <c r="O182" t="b">
        <v>0</v>
      </c>
      <c r="P182" t="b">
        <v>0</v>
      </c>
      <c r="Q182" t="b">
        <v>0</v>
      </c>
      <c r="R182" t="b">
        <v>0</v>
      </c>
      <c r="S182" t="b">
        <v>0</v>
      </c>
      <c r="U182">
        <v>1</v>
      </c>
      <c r="V182">
        <v>8</v>
      </c>
      <c r="W182">
        <v>9</v>
      </c>
      <c r="X182">
        <v>20.3811111111111</v>
      </c>
      <c r="Y182" t="b">
        <v>1</v>
      </c>
      <c r="Z182" t="b">
        <v>1</v>
      </c>
      <c r="AA182" t="b">
        <v>0</v>
      </c>
      <c r="AB182">
        <v>0</v>
      </c>
      <c r="AC182" t="s">
        <v>34</v>
      </c>
      <c r="AD182">
        <v>0</v>
      </c>
      <c r="AE182" t="s">
        <v>43</v>
      </c>
      <c r="AF182">
        <v>0</v>
      </c>
      <c r="AG182">
        <v>136.434</v>
      </c>
      <c r="AI182" t="s">
        <v>35</v>
      </c>
      <c r="AJ182" t="s">
        <v>51</v>
      </c>
      <c r="AK182">
        <v>16.62</v>
      </c>
      <c r="AL182">
        <v>13.545</v>
      </c>
      <c r="AM182" t="s">
        <v>51</v>
      </c>
      <c r="AN182">
        <v>33.414999999999999</v>
      </c>
      <c r="AO182">
        <v>4.1500000000000004</v>
      </c>
      <c r="AP182" t="s">
        <v>43</v>
      </c>
      <c r="AQ182">
        <v>45.231999999999999</v>
      </c>
      <c r="AR182">
        <v>0.6</v>
      </c>
      <c r="AS182" t="s">
        <v>51</v>
      </c>
      <c r="AT182">
        <v>51.201000000000001</v>
      </c>
      <c r="AU182">
        <v>1.3640000000000001</v>
      </c>
      <c r="AV182" t="s">
        <v>43</v>
      </c>
      <c r="AW182">
        <v>56.225999999999999</v>
      </c>
      <c r="AX182">
        <v>10.64</v>
      </c>
      <c r="AY182" t="s">
        <v>51</v>
      </c>
      <c r="AZ182">
        <v>82.018000000000001</v>
      </c>
      <c r="BA182">
        <v>4.9320000000000004</v>
      </c>
      <c r="BB182" t="s">
        <v>51</v>
      </c>
      <c r="BC182">
        <v>95.251000000000005</v>
      </c>
      <c r="BD182">
        <v>0.4</v>
      </c>
      <c r="BE182" t="s">
        <v>43</v>
      </c>
      <c r="BF182">
        <v>116.40300000000001</v>
      </c>
      <c r="BG182">
        <v>11.365</v>
      </c>
    </row>
    <row r="183" spans="1:81" x14ac:dyDescent="0.2">
      <c r="A183" t="s">
        <v>36</v>
      </c>
      <c r="B183" t="s">
        <v>44</v>
      </c>
      <c r="C183" t="s">
        <v>38</v>
      </c>
      <c r="D183">
        <v>30</v>
      </c>
      <c r="E183">
        <v>9613</v>
      </c>
      <c r="F183" t="s">
        <v>46</v>
      </c>
      <c r="G183" t="s">
        <v>30</v>
      </c>
      <c r="H183">
        <v>0</v>
      </c>
      <c r="I183" t="s">
        <v>57</v>
      </c>
      <c r="J183" t="s">
        <v>32</v>
      </c>
      <c r="K183" t="b">
        <v>0</v>
      </c>
      <c r="L183" t="b">
        <v>1</v>
      </c>
      <c r="M183" t="b">
        <v>0</v>
      </c>
      <c r="N183" t="b">
        <v>0</v>
      </c>
      <c r="O183" t="b">
        <v>0</v>
      </c>
      <c r="P183" t="b">
        <v>0</v>
      </c>
      <c r="Q183" t="b">
        <v>0</v>
      </c>
      <c r="R183" t="b">
        <v>0</v>
      </c>
      <c r="S183" t="b">
        <v>0</v>
      </c>
      <c r="U183">
        <v>1</v>
      </c>
      <c r="V183">
        <v>1</v>
      </c>
      <c r="W183">
        <v>2</v>
      </c>
      <c r="X183">
        <v>63.317499999999903</v>
      </c>
      <c r="Y183" t="b">
        <v>1</v>
      </c>
      <c r="Z183" t="b">
        <v>0</v>
      </c>
      <c r="AA183" t="b">
        <v>0</v>
      </c>
      <c r="AB183">
        <v>0</v>
      </c>
      <c r="AC183" t="s">
        <v>34</v>
      </c>
      <c r="AD183">
        <v>0</v>
      </c>
      <c r="AE183" t="s">
        <v>43</v>
      </c>
      <c r="AF183">
        <v>0</v>
      </c>
      <c r="AG183">
        <v>102.99299999999999</v>
      </c>
      <c r="AI183" t="s">
        <v>35</v>
      </c>
      <c r="AJ183" t="s">
        <v>43</v>
      </c>
      <c r="AK183">
        <v>36.92</v>
      </c>
      <c r="AL183">
        <v>23.641999999999999</v>
      </c>
    </row>
    <row r="184" spans="1:81" x14ac:dyDescent="0.2">
      <c r="A184" t="s">
        <v>36</v>
      </c>
      <c r="B184" t="s">
        <v>47</v>
      </c>
      <c r="C184" t="s">
        <v>52</v>
      </c>
      <c r="D184">
        <v>30</v>
      </c>
      <c r="E184">
        <v>492</v>
      </c>
      <c r="F184" t="s">
        <v>53</v>
      </c>
      <c r="G184" t="s">
        <v>30</v>
      </c>
      <c r="H184">
        <v>138.86199999999999</v>
      </c>
      <c r="I184" t="s">
        <v>40</v>
      </c>
      <c r="J184" t="s">
        <v>41</v>
      </c>
      <c r="K184" t="b">
        <v>0</v>
      </c>
      <c r="L184" t="b">
        <v>0</v>
      </c>
      <c r="M184" t="b">
        <v>0</v>
      </c>
      <c r="N184" t="b">
        <v>0</v>
      </c>
      <c r="O184" t="b">
        <v>0</v>
      </c>
      <c r="P184" t="b">
        <v>0</v>
      </c>
      <c r="Q184" t="b">
        <v>0</v>
      </c>
      <c r="R184" t="b">
        <v>0</v>
      </c>
      <c r="S184" t="b">
        <v>0</v>
      </c>
      <c r="T184" t="s">
        <v>130</v>
      </c>
      <c r="U184">
        <v>1</v>
      </c>
      <c r="V184">
        <v>5</v>
      </c>
      <c r="W184">
        <v>6</v>
      </c>
      <c r="X184">
        <v>25.282833333333301</v>
      </c>
      <c r="Y184" t="b">
        <v>1</v>
      </c>
      <c r="Z184" t="b">
        <v>0</v>
      </c>
      <c r="AA184" t="b">
        <v>0</v>
      </c>
      <c r="AB184">
        <v>0</v>
      </c>
      <c r="AC184" t="s">
        <v>34</v>
      </c>
      <c r="AD184">
        <v>0</v>
      </c>
      <c r="AE184" t="s">
        <v>43</v>
      </c>
      <c r="AF184">
        <v>0</v>
      </c>
      <c r="AG184">
        <v>123.96299999999999</v>
      </c>
      <c r="AI184" t="s">
        <v>35</v>
      </c>
      <c r="AJ184" t="s">
        <v>43</v>
      </c>
      <c r="AK184">
        <v>23.725999999999999</v>
      </c>
      <c r="AL184">
        <v>0.40300000000000002</v>
      </c>
      <c r="AM184" t="s">
        <v>42</v>
      </c>
      <c r="AN184">
        <v>40.874000000000002</v>
      </c>
      <c r="AO184">
        <v>4.8070000000000004</v>
      </c>
      <c r="AP184" t="s">
        <v>42</v>
      </c>
      <c r="AQ184">
        <v>46.369</v>
      </c>
      <c r="AR184">
        <v>1.6859999999999999</v>
      </c>
      <c r="AS184" t="s">
        <v>42</v>
      </c>
      <c r="AT184">
        <v>49.706000000000003</v>
      </c>
      <c r="AU184">
        <v>0.70799999999999996</v>
      </c>
      <c r="AV184" t="s">
        <v>42</v>
      </c>
      <c r="AW184">
        <v>56.335000000000001</v>
      </c>
      <c r="AX184">
        <v>1.72</v>
      </c>
      <c r="AY184" t="s">
        <v>42</v>
      </c>
      <c r="AZ184">
        <v>61.494999999999997</v>
      </c>
      <c r="BA184">
        <v>1.819</v>
      </c>
      <c r="BB184" t="s">
        <v>43</v>
      </c>
      <c r="BC184">
        <v>65.92</v>
      </c>
      <c r="BD184">
        <v>4.5069999999999997</v>
      </c>
      <c r="BE184" t="s">
        <v>43</v>
      </c>
      <c r="BF184">
        <v>84.317999999999998</v>
      </c>
      <c r="BG184">
        <v>10.59</v>
      </c>
      <c r="BH184" t="s">
        <v>43</v>
      </c>
      <c r="BI184">
        <v>104.919</v>
      </c>
      <c r="BJ184">
        <v>7.0049999999999999</v>
      </c>
      <c r="BK184" t="s">
        <v>42</v>
      </c>
      <c r="BL184">
        <v>118.09699999999999</v>
      </c>
      <c r="BM184">
        <v>7.9269999999999996</v>
      </c>
      <c r="BN184" t="s">
        <v>43</v>
      </c>
      <c r="BO184">
        <v>128.029</v>
      </c>
      <c r="BP184">
        <v>5.2290000000000001</v>
      </c>
    </row>
    <row r="185" spans="1:81" x14ac:dyDescent="0.2">
      <c r="A185" t="s">
        <v>36</v>
      </c>
      <c r="B185" t="s">
        <v>37</v>
      </c>
      <c r="C185" t="s">
        <v>78</v>
      </c>
      <c r="D185">
        <v>30</v>
      </c>
      <c r="E185">
        <v>5920</v>
      </c>
      <c r="F185" t="s">
        <v>46</v>
      </c>
      <c r="G185" t="s">
        <v>30</v>
      </c>
      <c r="H185">
        <v>0</v>
      </c>
      <c r="I185" t="s">
        <v>31</v>
      </c>
      <c r="J185" t="s">
        <v>32</v>
      </c>
      <c r="K185" t="b">
        <v>0</v>
      </c>
      <c r="L185" t="b">
        <v>0</v>
      </c>
      <c r="M185" t="b">
        <v>0</v>
      </c>
      <c r="N185" t="b">
        <v>0</v>
      </c>
      <c r="O185" t="b">
        <v>0</v>
      </c>
      <c r="P185" t="b">
        <v>0</v>
      </c>
      <c r="Q185" t="b">
        <v>0</v>
      </c>
      <c r="R185" t="b">
        <v>0</v>
      </c>
      <c r="S185" t="b">
        <v>0</v>
      </c>
      <c r="T185" t="s">
        <v>131</v>
      </c>
      <c r="U185">
        <v>0</v>
      </c>
      <c r="V185">
        <v>0</v>
      </c>
      <c r="W185">
        <v>0</v>
      </c>
      <c r="X185" t="s">
        <v>33</v>
      </c>
      <c r="Y185" t="b">
        <v>0</v>
      </c>
      <c r="Z185" t="b">
        <v>0</v>
      </c>
      <c r="AA185" t="b">
        <v>0</v>
      </c>
      <c r="AB185">
        <v>0</v>
      </c>
      <c r="AC185" t="s">
        <v>34</v>
      </c>
      <c r="AD185">
        <v>0</v>
      </c>
      <c r="AE185" t="s">
        <v>42</v>
      </c>
      <c r="AF185">
        <v>0</v>
      </c>
      <c r="AG185">
        <v>115.282</v>
      </c>
      <c r="AI185" t="s">
        <v>35</v>
      </c>
    </row>
    <row r="186" spans="1:81" x14ac:dyDescent="0.2">
      <c r="A186" t="s">
        <v>36</v>
      </c>
      <c r="B186" t="s">
        <v>55</v>
      </c>
      <c r="C186" t="s">
        <v>127</v>
      </c>
      <c r="D186">
        <v>30</v>
      </c>
      <c r="E186">
        <v>8532</v>
      </c>
      <c r="F186" t="s">
        <v>53</v>
      </c>
      <c r="G186" t="s">
        <v>39</v>
      </c>
      <c r="H186">
        <v>0</v>
      </c>
      <c r="I186" t="s">
        <v>57</v>
      </c>
      <c r="J186" t="s">
        <v>32</v>
      </c>
      <c r="K186" t="b">
        <v>0</v>
      </c>
      <c r="L186" t="b">
        <v>0</v>
      </c>
      <c r="M186" t="b">
        <v>0</v>
      </c>
      <c r="N186" t="b">
        <v>0</v>
      </c>
      <c r="O186" t="b">
        <v>0</v>
      </c>
      <c r="P186" t="b">
        <v>0</v>
      </c>
      <c r="Q186" t="b">
        <v>0</v>
      </c>
      <c r="R186" t="b">
        <v>0</v>
      </c>
      <c r="S186" t="b">
        <v>0</v>
      </c>
      <c r="T186" t="s">
        <v>132</v>
      </c>
      <c r="U186">
        <v>1</v>
      </c>
      <c r="V186">
        <v>2</v>
      </c>
      <c r="W186">
        <v>3</v>
      </c>
      <c r="X186">
        <v>39.457666666666597</v>
      </c>
      <c r="Y186" t="b">
        <v>1</v>
      </c>
      <c r="Z186" t="b">
        <v>1</v>
      </c>
      <c r="AA186" t="b">
        <v>0</v>
      </c>
      <c r="AB186">
        <v>0</v>
      </c>
      <c r="AC186" t="s">
        <v>34</v>
      </c>
      <c r="AD186">
        <v>0</v>
      </c>
      <c r="AE186" t="s">
        <v>43</v>
      </c>
      <c r="AF186">
        <v>0</v>
      </c>
      <c r="AG186">
        <v>112.77800000000001</v>
      </c>
      <c r="AI186" t="s">
        <v>35</v>
      </c>
      <c r="AJ186" t="s">
        <v>51</v>
      </c>
      <c r="AK186">
        <v>47.817</v>
      </c>
      <c r="AL186">
        <v>4.7130000000000001</v>
      </c>
      <c r="AM186" t="s">
        <v>42</v>
      </c>
      <c r="AN186">
        <v>69.102000000000004</v>
      </c>
      <c r="AO186">
        <v>0.78300000000000003</v>
      </c>
      <c r="AP186" t="s">
        <v>42</v>
      </c>
      <c r="AQ186">
        <v>93.427000000000007</v>
      </c>
      <c r="AR186">
        <v>10.077</v>
      </c>
      <c r="AS186" t="s">
        <v>43</v>
      </c>
      <c r="AT186">
        <v>106.206</v>
      </c>
      <c r="AU186">
        <v>0.88200000000000001</v>
      </c>
    </row>
    <row r="187" spans="1:81" x14ac:dyDescent="0.2">
      <c r="A187" t="s">
        <v>36</v>
      </c>
      <c r="B187" t="s">
        <v>63</v>
      </c>
      <c r="C187" t="s">
        <v>58</v>
      </c>
      <c r="D187">
        <v>31</v>
      </c>
      <c r="E187">
        <v>9680</v>
      </c>
      <c r="F187" t="s">
        <v>49</v>
      </c>
      <c r="G187" t="s">
        <v>39</v>
      </c>
      <c r="H187">
        <v>0</v>
      </c>
      <c r="I187" t="s">
        <v>40</v>
      </c>
      <c r="J187" t="s">
        <v>32</v>
      </c>
      <c r="K187" t="b">
        <v>0</v>
      </c>
      <c r="L187" t="b">
        <v>0</v>
      </c>
      <c r="M187" t="b">
        <v>0</v>
      </c>
      <c r="N187" t="b">
        <v>0</v>
      </c>
      <c r="O187" t="b">
        <v>0</v>
      </c>
      <c r="P187" t="b">
        <v>0</v>
      </c>
      <c r="Q187" t="b">
        <v>0</v>
      </c>
      <c r="R187" t="b">
        <v>0</v>
      </c>
      <c r="S187" t="b">
        <v>0</v>
      </c>
      <c r="U187">
        <v>0</v>
      </c>
      <c r="V187">
        <v>0</v>
      </c>
      <c r="W187">
        <v>0</v>
      </c>
      <c r="X187" t="s">
        <v>33</v>
      </c>
      <c r="Y187" t="b">
        <v>0</v>
      </c>
      <c r="Z187" t="b">
        <v>0</v>
      </c>
      <c r="AA187" t="b">
        <v>0</v>
      </c>
      <c r="AB187">
        <v>0</v>
      </c>
      <c r="AC187" t="s">
        <v>34</v>
      </c>
      <c r="AE187" t="s">
        <v>35</v>
      </c>
      <c r="AF187" t="s">
        <v>42</v>
      </c>
      <c r="AG187">
        <v>42.963000000000001</v>
      </c>
      <c r="AH187">
        <v>3.8919999999999999</v>
      </c>
      <c r="AI187" t="s">
        <v>42</v>
      </c>
      <c r="AJ187">
        <v>50.106000000000002</v>
      </c>
      <c r="AK187">
        <v>7.6840000000000002</v>
      </c>
      <c r="AL187" t="s">
        <v>42</v>
      </c>
      <c r="AM187">
        <v>83.257999999999996</v>
      </c>
      <c r="AN187">
        <v>3.891</v>
      </c>
    </row>
    <row r="188" spans="1:81" x14ac:dyDescent="0.2">
      <c r="A188" t="s">
        <v>36</v>
      </c>
      <c r="B188" t="s">
        <v>28</v>
      </c>
      <c r="C188" t="s">
        <v>48</v>
      </c>
      <c r="D188">
        <v>31</v>
      </c>
      <c r="E188">
        <v>6443</v>
      </c>
      <c r="F188" t="s">
        <v>46</v>
      </c>
      <c r="G188" t="s">
        <v>39</v>
      </c>
      <c r="H188">
        <v>0</v>
      </c>
      <c r="I188" t="s">
        <v>40</v>
      </c>
      <c r="J188" t="s">
        <v>32</v>
      </c>
      <c r="K188" t="b">
        <v>0</v>
      </c>
      <c r="L188" t="b">
        <v>0</v>
      </c>
      <c r="M188" t="b">
        <v>0</v>
      </c>
      <c r="N188" t="b">
        <v>0</v>
      </c>
      <c r="O188" t="b">
        <v>0</v>
      </c>
      <c r="P188" t="b">
        <v>0</v>
      </c>
      <c r="Q188" t="b">
        <v>0</v>
      </c>
      <c r="R188" t="b">
        <v>0</v>
      </c>
      <c r="S188" t="b">
        <v>0</v>
      </c>
      <c r="U188">
        <v>2</v>
      </c>
      <c r="V188">
        <v>8</v>
      </c>
      <c r="W188">
        <v>10</v>
      </c>
      <c r="X188">
        <v>30.977999999999899</v>
      </c>
      <c r="Y188" t="b">
        <v>1</v>
      </c>
      <c r="Z188" t="b">
        <v>1</v>
      </c>
      <c r="AA188" t="b">
        <v>0</v>
      </c>
      <c r="AB188">
        <v>0</v>
      </c>
      <c r="AC188" t="s">
        <v>34</v>
      </c>
      <c r="AD188">
        <v>0</v>
      </c>
      <c r="AE188" t="s">
        <v>43</v>
      </c>
      <c r="AF188">
        <v>0</v>
      </c>
      <c r="AG188">
        <v>265.72899999999998</v>
      </c>
      <c r="AH188">
        <v>-2</v>
      </c>
      <c r="AI188" t="s">
        <v>43</v>
      </c>
      <c r="AJ188">
        <v>4.3479999999999999</v>
      </c>
      <c r="AK188">
        <v>0.89800000000000002</v>
      </c>
      <c r="AL188">
        <v>-1</v>
      </c>
      <c r="AM188" t="s">
        <v>42</v>
      </c>
      <c r="AN188">
        <v>6.5949999999999998</v>
      </c>
      <c r="AO188">
        <v>0.81699999999999995</v>
      </c>
      <c r="AP188">
        <v>5</v>
      </c>
      <c r="AQ188" t="s">
        <v>42</v>
      </c>
      <c r="AR188">
        <v>10.327999999999999</v>
      </c>
      <c r="AS188">
        <v>1.1819999999999999</v>
      </c>
      <c r="AT188">
        <v>4</v>
      </c>
      <c r="AU188" t="s">
        <v>42</v>
      </c>
      <c r="AV188">
        <v>13.092000000000001</v>
      </c>
      <c r="AW188">
        <v>2.8660000000000001</v>
      </c>
      <c r="AY188" t="s">
        <v>35</v>
      </c>
      <c r="AZ188" t="s">
        <v>51</v>
      </c>
      <c r="BA188">
        <v>25.22</v>
      </c>
      <c r="BB188">
        <v>7.3970000000000002</v>
      </c>
      <c r="BC188" t="s">
        <v>42</v>
      </c>
      <c r="BD188">
        <v>49.65</v>
      </c>
      <c r="BE188">
        <v>10.584</v>
      </c>
      <c r="BF188" t="s">
        <v>51</v>
      </c>
      <c r="BG188">
        <v>62.783000000000001</v>
      </c>
      <c r="BH188">
        <v>5.867</v>
      </c>
      <c r="BI188" t="s">
        <v>51</v>
      </c>
      <c r="BJ188">
        <v>74.283000000000001</v>
      </c>
      <c r="BK188">
        <v>2.3010000000000002</v>
      </c>
      <c r="BL188" t="s">
        <v>43</v>
      </c>
      <c r="BM188">
        <v>84.016999999999996</v>
      </c>
      <c r="BN188">
        <v>5.468</v>
      </c>
      <c r="BO188" t="s">
        <v>43</v>
      </c>
      <c r="BP188">
        <v>94.5</v>
      </c>
      <c r="BQ188">
        <v>0.318</v>
      </c>
      <c r="BR188" t="s">
        <v>51</v>
      </c>
      <c r="BS188">
        <v>101.318</v>
      </c>
      <c r="BT188">
        <v>9.452</v>
      </c>
      <c r="BU188" t="s">
        <v>51</v>
      </c>
      <c r="BV188">
        <v>119.801</v>
      </c>
      <c r="BW188">
        <v>7.4669999999999996</v>
      </c>
      <c r="BX188" t="s">
        <v>43</v>
      </c>
      <c r="BY188">
        <v>134.61799999999999</v>
      </c>
      <c r="BZ188">
        <v>4.883</v>
      </c>
      <c r="CA188" t="s">
        <v>42</v>
      </c>
      <c r="CB188">
        <v>145.684</v>
      </c>
      <c r="CC188">
        <v>5.0339999999999998</v>
      </c>
    </row>
    <row r="189" spans="1:81" x14ac:dyDescent="0.2">
      <c r="A189" t="s">
        <v>36</v>
      </c>
      <c r="B189" t="s">
        <v>44</v>
      </c>
      <c r="C189" t="s">
        <v>38</v>
      </c>
      <c r="D189">
        <v>31</v>
      </c>
      <c r="E189">
        <v>1595</v>
      </c>
      <c r="F189" t="s">
        <v>53</v>
      </c>
      <c r="G189" t="s">
        <v>39</v>
      </c>
      <c r="H189">
        <v>137.14400000000001</v>
      </c>
      <c r="I189" t="s">
        <v>40</v>
      </c>
      <c r="J189" t="s">
        <v>41</v>
      </c>
      <c r="K189" t="b">
        <v>0</v>
      </c>
      <c r="L189" t="b">
        <v>0</v>
      </c>
      <c r="M189" t="b">
        <v>0</v>
      </c>
      <c r="N189" t="b">
        <v>0</v>
      </c>
      <c r="O189" t="b">
        <v>0</v>
      </c>
      <c r="P189" t="b">
        <v>0</v>
      </c>
      <c r="Q189" t="b">
        <v>0</v>
      </c>
      <c r="R189" t="b">
        <v>0</v>
      </c>
      <c r="S189" t="b">
        <v>0</v>
      </c>
      <c r="U189">
        <v>0</v>
      </c>
      <c r="V189">
        <v>10</v>
      </c>
      <c r="W189">
        <v>10</v>
      </c>
      <c r="X189">
        <v>7.0750999999999999</v>
      </c>
      <c r="Y189" t="b">
        <v>1</v>
      </c>
      <c r="Z189" t="b">
        <v>0</v>
      </c>
      <c r="AA189" t="b">
        <v>0</v>
      </c>
      <c r="AB189">
        <v>0</v>
      </c>
      <c r="AC189" t="s">
        <v>34</v>
      </c>
      <c r="AE189" t="s">
        <v>35</v>
      </c>
      <c r="AF189" t="s">
        <v>43</v>
      </c>
      <c r="AG189">
        <v>0</v>
      </c>
      <c r="AH189">
        <v>27.271999999999998</v>
      </c>
      <c r="AI189" t="s">
        <v>43</v>
      </c>
      <c r="AJ189">
        <v>20.353999999999999</v>
      </c>
      <c r="AK189">
        <v>0.93300000000000005</v>
      </c>
      <c r="AL189" t="s">
        <v>43</v>
      </c>
      <c r="AM189">
        <v>25.472000000000001</v>
      </c>
      <c r="AN189">
        <v>1.2370000000000001</v>
      </c>
      <c r="AO189" t="s">
        <v>43</v>
      </c>
      <c r="AP189">
        <v>28.225000000000001</v>
      </c>
      <c r="AQ189">
        <v>4.218</v>
      </c>
      <c r="AR189" t="s">
        <v>43</v>
      </c>
      <c r="AS189">
        <v>34.834000000000003</v>
      </c>
      <c r="AT189">
        <v>3.5209999999999999</v>
      </c>
      <c r="AU189" t="s">
        <v>43</v>
      </c>
      <c r="AV189">
        <v>44.77</v>
      </c>
      <c r="AW189">
        <v>15.196999999999999</v>
      </c>
      <c r="AX189" t="s">
        <v>43</v>
      </c>
      <c r="AY189">
        <v>71.947999999999993</v>
      </c>
      <c r="AZ189">
        <v>2.4409999999999998</v>
      </c>
      <c r="BA189" t="s">
        <v>43</v>
      </c>
      <c r="BB189">
        <v>76.183999999999997</v>
      </c>
      <c r="BC189">
        <v>3.891</v>
      </c>
      <c r="BD189" t="s">
        <v>43</v>
      </c>
      <c r="BE189">
        <v>101.655</v>
      </c>
      <c r="BF189">
        <v>5.0670000000000002</v>
      </c>
      <c r="BG189" t="s">
        <v>43</v>
      </c>
      <c r="BH189">
        <v>115.069</v>
      </c>
      <c r="BI189">
        <v>6.9740000000000002</v>
      </c>
    </row>
    <row r="190" spans="1:81" x14ac:dyDescent="0.2">
      <c r="A190" t="s">
        <v>36</v>
      </c>
      <c r="B190" t="s">
        <v>63</v>
      </c>
      <c r="C190" t="s">
        <v>58</v>
      </c>
      <c r="D190">
        <v>32</v>
      </c>
      <c r="E190">
        <v>2926</v>
      </c>
      <c r="F190" t="s">
        <v>46</v>
      </c>
      <c r="G190" t="s">
        <v>39</v>
      </c>
      <c r="H190">
        <v>0</v>
      </c>
      <c r="I190" t="s">
        <v>54</v>
      </c>
      <c r="J190" t="s">
        <v>32</v>
      </c>
      <c r="K190" t="b">
        <v>0</v>
      </c>
      <c r="L190" t="b">
        <v>0</v>
      </c>
      <c r="M190" t="b">
        <v>0</v>
      </c>
      <c r="N190" t="b">
        <v>0</v>
      </c>
      <c r="O190" t="b">
        <v>0</v>
      </c>
      <c r="P190" t="b">
        <v>0</v>
      </c>
      <c r="Q190" t="b">
        <v>0</v>
      </c>
      <c r="R190" t="b">
        <v>0</v>
      </c>
      <c r="S190" t="b">
        <v>0</v>
      </c>
      <c r="U190">
        <v>3</v>
      </c>
      <c r="V190">
        <v>5</v>
      </c>
      <c r="W190">
        <v>8</v>
      </c>
      <c r="X190">
        <v>26.600999999999999</v>
      </c>
      <c r="Y190" t="b">
        <v>1</v>
      </c>
      <c r="Z190" t="b">
        <v>0</v>
      </c>
      <c r="AA190" t="b">
        <v>0</v>
      </c>
      <c r="AB190">
        <v>0</v>
      </c>
      <c r="AC190" t="s">
        <v>34</v>
      </c>
      <c r="AD190">
        <v>0</v>
      </c>
      <c r="AE190" t="s">
        <v>43</v>
      </c>
      <c r="AF190">
        <v>0</v>
      </c>
      <c r="AG190">
        <v>181.154</v>
      </c>
      <c r="AH190">
        <v>-2</v>
      </c>
      <c r="AI190" t="s">
        <v>43</v>
      </c>
      <c r="AJ190">
        <v>7.2519999999999998</v>
      </c>
      <c r="AK190">
        <v>0.53900000000000003</v>
      </c>
      <c r="AL190">
        <v>-1</v>
      </c>
      <c r="AM190" t="s">
        <v>43</v>
      </c>
      <c r="AN190">
        <v>11.209</v>
      </c>
      <c r="AO190">
        <v>0.51300000000000001</v>
      </c>
      <c r="AQ190" t="s">
        <v>35</v>
      </c>
      <c r="AR190" t="s">
        <v>42</v>
      </c>
      <c r="AS190">
        <v>21.998000000000001</v>
      </c>
      <c r="AT190">
        <v>10.090999999999999</v>
      </c>
      <c r="AU190" t="s">
        <v>43</v>
      </c>
      <c r="AV190">
        <v>38.484000000000002</v>
      </c>
      <c r="AW190">
        <v>2.8929999999999998</v>
      </c>
      <c r="AX190" t="s">
        <v>43</v>
      </c>
      <c r="AY190">
        <v>46.271999999999998</v>
      </c>
      <c r="AZ190">
        <v>8.9890000000000008</v>
      </c>
      <c r="BA190" t="s">
        <v>43</v>
      </c>
      <c r="BB190">
        <v>61.658999999999999</v>
      </c>
      <c r="BC190">
        <v>2.2610000000000001</v>
      </c>
      <c r="BD190" t="s">
        <v>42</v>
      </c>
      <c r="BE190">
        <v>69.816999999999993</v>
      </c>
      <c r="BF190">
        <v>0.44800000000000001</v>
      </c>
      <c r="BG190" t="s">
        <v>43</v>
      </c>
      <c r="BH190">
        <v>89.346999999999994</v>
      </c>
      <c r="BI190">
        <v>5.173</v>
      </c>
      <c r="BJ190" t="s">
        <v>43</v>
      </c>
      <c r="BK190">
        <v>112.917</v>
      </c>
      <c r="BL190">
        <v>11.286</v>
      </c>
    </row>
    <row r="191" spans="1:81" x14ac:dyDescent="0.2">
      <c r="A191" t="s">
        <v>36</v>
      </c>
      <c r="B191" t="s">
        <v>28</v>
      </c>
      <c r="C191" t="s">
        <v>48</v>
      </c>
      <c r="D191">
        <v>32</v>
      </c>
      <c r="E191">
        <v>3876</v>
      </c>
      <c r="F191" t="s">
        <v>53</v>
      </c>
      <c r="G191" t="s">
        <v>30</v>
      </c>
      <c r="H191">
        <v>155.018</v>
      </c>
      <c r="I191" t="s">
        <v>57</v>
      </c>
      <c r="J191" t="s">
        <v>41</v>
      </c>
      <c r="K191" t="b">
        <v>0</v>
      </c>
      <c r="L191" t="b">
        <v>0</v>
      </c>
      <c r="M191" t="b">
        <v>0</v>
      </c>
      <c r="N191" t="b">
        <v>0</v>
      </c>
      <c r="O191" t="b">
        <v>0</v>
      </c>
      <c r="P191" t="b">
        <v>0</v>
      </c>
      <c r="Q191" t="b">
        <v>0</v>
      </c>
      <c r="R191" t="b">
        <v>0</v>
      </c>
      <c r="S191" t="b">
        <v>0</v>
      </c>
      <c r="U191">
        <v>0</v>
      </c>
      <c r="V191">
        <v>2</v>
      </c>
      <c r="W191">
        <v>2</v>
      </c>
      <c r="X191">
        <v>14.249499999999999</v>
      </c>
      <c r="Y191" t="b">
        <v>1</v>
      </c>
      <c r="Z191" t="b">
        <v>0</v>
      </c>
      <c r="AA191" t="b">
        <v>0</v>
      </c>
      <c r="AB191">
        <v>0</v>
      </c>
      <c r="AC191" t="s">
        <v>34</v>
      </c>
      <c r="AD191">
        <v>0</v>
      </c>
      <c r="AE191" t="s">
        <v>42</v>
      </c>
      <c r="AF191">
        <v>0</v>
      </c>
      <c r="AG191">
        <v>188.15199999999999</v>
      </c>
      <c r="AI191" t="s">
        <v>35</v>
      </c>
      <c r="AJ191" t="s">
        <v>43</v>
      </c>
      <c r="AK191">
        <v>35.366999999999997</v>
      </c>
      <c r="AL191">
        <v>12.648</v>
      </c>
      <c r="AM191" t="s">
        <v>42</v>
      </c>
      <c r="AN191">
        <v>102.001</v>
      </c>
      <c r="AO191">
        <v>16.399000000000001</v>
      </c>
      <c r="AP191" t="s">
        <v>43</v>
      </c>
      <c r="AQ191">
        <v>131.95099999999999</v>
      </c>
      <c r="AR191">
        <v>15.851000000000001</v>
      </c>
    </row>
    <row r="192" spans="1:81" x14ac:dyDescent="0.2">
      <c r="A192" t="s">
        <v>36</v>
      </c>
      <c r="B192" t="s">
        <v>44</v>
      </c>
      <c r="C192" t="s">
        <v>38</v>
      </c>
      <c r="D192">
        <v>32</v>
      </c>
      <c r="E192">
        <v>4060</v>
      </c>
      <c r="F192" t="s">
        <v>49</v>
      </c>
      <c r="G192" t="s">
        <v>30</v>
      </c>
      <c r="H192">
        <v>149.98500000000001</v>
      </c>
      <c r="I192" t="s">
        <v>54</v>
      </c>
      <c r="J192" t="s">
        <v>50</v>
      </c>
      <c r="K192" t="b">
        <v>0</v>
      </c>
      <c r="L192" t="b">
        <v>0</v>
      </c>
      <c r="M192" t="b">
        <v>0</v>
      </c>
      <c r="N192" t="b">
        <v>0</v>
      </c>
      <c r="O192" t="b">
        <v>0</v>
      </c>
      <c r="P192" t="b">
        <v>1</v>
      </c>
      <c r="Q192" t="b">
        <v>0</v>
      </c>
      <c r="R192" t="b">
        <v>0</v>
      </c>
      <c r="S192" t="b">
        <v>0</v>
      </c>
      <c r="T192" t="s">
        <v>133</v>
      </c>
      <c r="U192">
        <v>1</v>
      </c>
      <c r="V192">
        <v>0</v>
      </c>
      <c r="W192">
        <v>1</v>
      </c>
      <c r="X192">
        <v>56.426000000000002</v>
      </c>
      <c r="Y192" t="b">
        <v>1</v>
      </c>
      <c r="Z192" t="b">
        <v>0</v>
      </c>
      <c r="AA192" t="b">
        <v>0</v>
      </c>
      <c r="AB192">
        <v>0</v>
      </c>
      <c r="AC192" t="s">
        <v>34</v>
      </c>
      <c r="AD192">
        <v>0</v>
      </c>
      <c r="AE192" t="s">
        <v>43</v>
      </c>
      <c r="AF192">
        <v>0</v>
      </c>
      <c r="AG192">
        <v>56.426000000000002</v>
      </c>
      <c r="AI192" t="s">
        <v>35</v>
      </c>
      <c r="AJ192" t="s">
        <v>42</v>
      </c>
      <c r="AK192">
        <v>33.380000000000003</v>
      </c>
      <c r="AL192">
        <v>0.34</v>
      </c>
      <c r="AM192" t="s">
        <v>42</v>
      </c>
      <c r="AN192">
        <v>35.280999999999999</v>
      </c>
      <c r="AO192">
        <v>4.7889999999999997</v>
      </c>
      <c r="AP192" t="s">
        <v>42</v>
      </c>
      <c r="AQ192">
        <v>46.36</v>
      </c>
      <c r="AR192">
        <v>7.8659999999999997</v>
      </c>
    </row>
    <row r="193" spans="1:69" x14ac:dyDescent="0.2">
      <c r="A193" t="s">
        <v>36</v>
      </c>
      <c r="B193" t="s">
        <v>47</v>
      </c>
      <c r="C193" t="s">
        <v>52</v>
      </c>
      <c r="D193">
        <v>32</v>
      </c>
      <c r="E193">
        <v>3712</v>
      </c>
      <c r="F193" t="s">
        <v>49</v>
      </c>
      <c r="G193" t="s">
        <v>30</v>
      </c>
      <c r="H193">
        <v>146.672</v>
      </c>
      <c r="I193" t="s">
        <v>31</v>
      </c>
      <c r="J193" t="s">
        <v>41</v>
      </c>
      <c r="K193" t="b">
        <v>0</v>
      </c>
      <c r="L193" t="b">
        <v>0</v>
      </c>
      <c r="M193" t="b">
        <v>0</v>
      </c>
      <c r="N193" t="b">
        <v>0</v>
      </c>
      <c r="O193" t="b">
        <v>0</v>
      </c>
      <c r="P193" t="b">
        <v>0</v>
      </c>
      <c r="Q193" t="b">
        <v>1</v>
      </c>
      <c r="R193" t="b">
        <v>0</v>
      </c>
      <c r="S193" t="b">
        <v>0</v>
      </c>
      <c r="T193" t="s">
        <v>134</v>
      </c>
      <c r="U193">
        <v>0</v>
      </c>
      <c r="V193">
        <v>1</v>
      </c>
      <c r="W193">
        <v>1</v>
      </c>
      <c r="X193">
        <v>92.731999999999999</v>
      </c>
      <c r="Y193" t="b">
        <v>1</v>
      </c>
      <c r="Z193" t="b">
        <v>0</v>
      </c>
      <c r="AA193" t="b">
        <v>0</v>
      </c>
      <c r="AB193">
        <v>0</v>
      </c>
      <c r="AC193" t="s">
        <v>34</v>
      </c>
      <c r="AE193" t="s">
        <v>35</v>
      </c>
      <c r="AF193" t="s">
        <v>43</v>
      </c>
      <c r="AG193">
        <v>0</v>
      </c>
      <c r="AH193">
        <v>92.731999999999999</v>
      </c>
    </row>
    <row r="194" spans="1:69" x14ac:dyDescent="0.2">
      <c r="A194" t="s">
        <v>36</v>
      </c>
      <c r="B194" t="s">
        <v>55</v>
      </c>
      <c r="C194" t="s">
        <v>127</v>
      </c>
      <c r="D194">
        <v>32</v>
      </c>
      <c r="E194">
        <v>2147</v>
      </c>
      <c r="F194" t="s">
        <v>46</v>
      </c>
      <c r="G194" t="s">
        <v>39</v>
      </c>
      <c r="H194">
        <v>154.642</v>
      </c>
      <c r="I194" t="s">
        <v>40</v>
      </c>
      <c r="J194" t="s">
        <v>50</v>
      </c>
      <c r="K194" t="b">
        <v>0</v>
      </c>
      <c r="L194" t="b">
        <v>0</v>
      </c>
      <c r="M194" t="b">
        <v>0</v>
      </c>
      <c r="N194" t="b">
        <v>0</v>
      </c>
      <c r="O194" t="b">
        <v>0</v>
      </c>
      <c r="P194" t="b">
        <v>0</v>
      </c>
      <c r="Q194" t="b">
        <v>0</v>
      </c>
      <c r="R194" t="b">
        <v>1</v>
      </c>
      <c r="S194" t="b">
        <v>0</v>
      </c>
      <c r="T194" t="s">
        <v>135</v>
      </c>
      <c r="U194">
        <v>2</v>
      </c>
      <c r="V194">
        <v>6</v>
      </c>
      <c r="W194">
        <v>8</v>
      </c>
      <c r="X194">
        <v>16.452750000000002</v>
      </c>
      <c r="Y194" t="b">
        <v>1</v>
      </c>
      <c r="Z194" t="b">
        <v>0</v>
      </c>
      <c r="AA194" t="b">
        <v>0</v>
      </c>
      <c r="AB194">
        <v>0</v>
      </c>
      <c r="AC194" t="s">
        <v>34</v>
      </c>
      <c r="AD194">
        <v>0</v>
      </c>
      <c r="AE194" t="s">
        <v>43</v>
      </c>
      <c r="AF194">
        <v>0</v>
      </c>
      <c r="AG194">
        <v>76.497</v>
      </c>
      <c r="AH194">
        <v>2</v>
      </c>
      <c r="AI194" t="s">
        <v>43</v>
      </c>
      <c r="AJ194">
        <v>6.02</v>
      </c>
      <c r="AK194">
        <v>2.819</v>
      </c>
      <c r="AM194" t="s">
        <v>35</v>
      </c>
      <c r="AN194" t="s">
        <v>43</v>
      </c>
      <c r="AO194">
        <v>24.798999999999999</v>
      </c>
      <c r="AP194">
        <v>6.0289999999999999</v>
      </c>
      <c r="AQ194" t="s">
        <v>43</v>
      </c>
      <c r="AR194">
        <v>34.380000000000003</v>
      </c>
      <c r="AS194">
        <v>4.819</v>
      </c>
      <c r="AT194" t="s">
        <v>43</v>
      </c>
      <c r="AU194">
        <v>52.293999999999997</v>
      </c>
      <c r="AV194">
        <v>22.445</v>
      </c>
      <c r="AW194" t="s">
        <v>43</v>
      </c>
      <c r="AX194">
        <v>97.644999999999996</v>
      </c>
      <c r="AY194">
        <v>11.334</v>
      </c>
      <c r="AZ194" t="s">
        <v>43</v>
      </c>
      <c r="BA194">
        <v>119.35899999999999</v>
      </c>
      <c r="BB194">
        <v>3.6160000000000001</v>
      </c>
      <c r="BC194" t="s">
        <v>43</v>
      </c>
      <c r="BD194">
        <v>127.342</v>
      </c>
      <c r="BE194">
        <v>4.0629999999999997</v>
      </c>
    </row>
    <row r="195" spans="1:69" x14ac:dyDescent="0.2">
      <c r="A195" t="s">
        <v>36</v>
      </c>
      <c r="B195" t="s">
        <v>47</v>
      </c>
      <c r="C195" t="s">
        <v>52</v>
      </c>
      <c r="D195">
        <v>32</v>
      </c>
      <c r="E195">
        <v>5468</v>
      </c>
      <c r="F195" t="s">
        <v>46</v>
      </c>
      <c r="G195" t="s">
        <v>39</v>
      </c>
      <c r="H195">
        <v>134.25399999999999</v>
      </c>
      <c r="I195" t="s">
        <v>40</v>
      </c>
      <c r="J195" t="s">
        <v>41</v>
      </c>
      <c r="K195" t="b">
        <v>0</v>
      </c>
      <c r="L195" t="b">
        <v>0</v>
      </c>
      <c r="M195" t="b">
        <v>0</v>
      </c>
      <c r="N195" t="b">
        <v>0</v>
      </c>
      <c r="O195" t="b">
        <v>0</v>
      </c>
      <c r="P195" t="b">
        <v>0</v>
      </c>
      <c r="Q195" t="b">
        <v>0</v>
      </c>
      <c r="R195" t="b">
        <v>0</v>
      </c>
      <c r="S195" t="b">
        <v>0</v>
      </c>
      <c r="U195">
        <v>2</v>
      </c>
      <c r="V195">
        <v>6</v>
      </c>
      <c r="W195">
        <v>8</v>
      </c>
      <c r="X195">
        <v>12.219374999999999</v>
      </c>
      <c r="Y195" t="b">
        <v>1</v>
      </c>
      <c r="Z195" t="b">
        <v>0</v>
      </c>
      <c r="AA195" t="b">
        <v>0</v>
      </c>
      <c r="AB195">
        <v>0</v>
      </c>
      <c r="AC195" t="s">
        <v>34</v>
      </c>
      <c r="AD195">
        <v>0</v>
      </c>
      <c r="AE195" t="s">
        <v>43</v>
      </c>
      <c r="AF195">
        <v>0</v>
      </c>
      <c r="AG195">
        <v>67.585999999999999</v>
      </c>
      <c r="AH195">
        <v>3</v>
      </c>
      <c r="AI195" t="s">
        <v>43</v>
      </c>
      <c r="AJ195">
        <v>6.883</v>
      </c>
      <c r="AK195">
        <v>0.96899999999999997</v>
      </c>
      <c r="AM195" t="s">
        <v>35</v>
      </c>
      <c r="AN195" t="s">
        <v>43</v>
      </c>
      <c r="AO195">
        <v>20.649000000000001</v>
      </c>
      <c r="AP195">
        <v>3.39</v>
      </c>
      <c r="AQ195" t="s">
        <v>42</v>
      </c>
      <c r="AR195">
        <v>27.661999999999999</v>
      </c>
      <c r="AS195">
        <v>5.9610000000000003</v>
      </c>
      <c r="AT195" t="s">
        <v>43</v>
      </c>
      <c r="AU195">
        <v>37.045000000000002</v>
      </c>
      <c r="AV195">
        <v>2.9049999999999998</v>
      </c>
      <c r="AW195" t="s">
        <v>42</v>
      </c>
      <c r="AX195">
        <v>44.274000000000001</v>
      </c>
      <c r="AY195">
        <v>4.7590000000000003</v>
      </c>
      <c r="AZ195" t="s">
        <v>43</v>
      </c>
      <c r="BA195">
        <v>51.387</v>
      </c>
      <c r="BB195">
        <v>9.0670000000000002</v>
      </c>
      <c r="BC195" t="s">
        <v>43</v>
      </c>
      <c r="BD195">
        <v>67.066999999999993</v>
      </c>
      <c r="BE195">
        <v>1.99</v>
      </c>
      <c r="BF195" t="s">
        <v>42</v>
      </c>
      <c r="BG195">
        <v>76.587000000000003</v>
      </c>
      <c r="BH195">
        <v>20.009</v>
      </c>
      <c r="BI195" t="s">
        <v>43</v>
      </c>
      <c r="BJ195">
        <v>99.013999999999996</v>
      </c>
      <c r="BK195">
        <v>7.4610000000000003</v>
      </c>
      <c r="BL195" t="s">
        <v>42</v>
      </c>
      <c r="BM195">
        <v>112.637</v>
      </c>
      <c r="BN195">
        <v>5.6029999999999998</v>
      </c>
      <c r="BO195" t="s">
        <v>43</v>
      </c>
      <c r="BP195">
        <v>125.14400000000001</v>
      </c>
      <c r="BQ195">
        <v>4.3869999999999996</v>
      </c>
    </row>
    <row r="196" spans="1:69" x14ac:dyDescent="0.2">
      <c r="A196" t="s">
        <v>36</v>
      </c>
      <c r="B196" t="s">
        <v>37</v>
      </c>
      <c r="C196" t="s">
        <v>78</v>
      </c>
      <c r="D196">
        <v>31</v>
      </c>
      <c r="E196">
        <v>4104</v>
      </c>
      <c r="F196" t="s">
        <v>49</v>
      </c>
      <c r="G196" t="s">
        <v>30</v>
      </c>
      <c r="H196">
        <v>126.932</v>
      </c>
      <c r="I196" t="s">
        <v>57</v>
      </c>
      <c r="J196" t="s">
        <v>50</v>
      </c>
      <c r="K196" t="b">
        <v>0</v>
      </c>
      <c r="L196" t="b">
        <v>0</v>
      </c>
      <c r="M196" t="b">
        <v>0</v>
      </c>
      <c r="N196" t="b">
        <v>0</v>
      </c>
      <c r="O196" t="b">
        <v>0</v>
      </c>
      <c r="P196" t="b">
        <v>0</v>
      </c>
      <c r="Q196" t="b">
        <v>0</v>
      </c>
      <c r="R196" t="b">
        <v>0</v>
      </c>
      <c r="S196" t="b">
        <v>0</v>
      </c>
      <c r="T196" t="s">
        <v>136</v>
      </c>
      <c r="U196">
        <v>1</v>
      </c>
      <c r="V196">
        <v>0</v>
      </c>
      <c r="W196">
        <v>1</v>
      </c>
      <c r="X196">
        <v>212.66900000000001</v>
      </c>
      <c r="Y196" t="b">
        <v>1</v>
      </c>
      <c r="Z196" t="b">
        <v>0</v>
      </c>
      <c r="AA196" t="b">
        <v>0</v>
      </c>
      <c r="AB196">
        <v>0</v>
      </c>
      <c r="AC196" t="s">
        <v>34</v>
      </c>
      <c r="AD196">
        <v>0</v>
      </c>
      <c r="AE196" t="s">
        <v>43</v>
      </c>
      <c r="AF196">
        <v>0</v>
      </c>
      <c r="AG196">
        <v>212.66900000000001</v>
      </c>
      <c r="AI196" t="s">
        <v>35</v>
      </c>
    </row>
    <row r="197" spans="1:69" x14ac:dyDescent="0.2">
      <c r="A197" t="s">
        <v>36</v>
      </c>
      <c r="B197" t="s">
        <v>55</v>
      </c>
      <c r="C197" t="s">
        <v>127</v>
      </c>
      <c r="D197">
        <v>31</v>
      </c>
      <c r="E197">
        <v>9438</v>
      </c>
      <c r="F197" t="s">
        <v>46</v>
      </c>
      <c r="G197" t="s">
        <v>39</v>
      </c>
      <c r="H197">
        <v>153.822</v>
      </c>
      <c r="I197" t="s">
        <v>40</v>
      </c>
      <c r="J197" t="s">
        <v>41</v>
      </c>
      <c r="K197" t="b">
        <v>0</v>
      </c>
      <c r="L197" t="b">
        <v>0</v>
      </c>
      <c r="M197" t="b">
        <v>0</v>
      </c>
      <c r="N197" t="b">
        <v>0</v>
      </c>
      <c r="O197" t="b">
        <v>0</v>
      </c>
      <c r="P197" t="b">
        <v>0</v>
      </c>
      <c r="Q197" t="b">
        <v>0</v>
      </c>
      <c r="R197" t="b">
        <v>0</v>
      </c>
      <c r="S197" t="b">
        <v>0</v>
      </c>
      <c r="U197">
        <v>2</v>
      </c>
      <c r="V197">
        <v>3</v>
      </c>
      <c r="W197">
        <v>5</v>
      </c>
      <c r="X197">
        <v>50.072799999999901</v>
      </c>
      <c r="Y197" t="b">
        <v>1</v>
      </c>
      <c r="Z197" t="b">
        <v>0</v>
      </c>
      <c r="AA197" t="b">
        <v>0</v>
      </c>
      <c r="AB197">
        <v>0</v>
      </c>
      <c r="AC197" t="s">
        <v>34</v>
      </c>
      <c r="AD197">
        <v>0</v>
      </c>
      <c r="AE197" t="s">
        <v>43</v>
      </c>
      <c r="AF197">
        <v>0</v>
      </c>
      <c r="AG197">
        <v>217.05199999999999</v>
      </c>
      <c r="AH197">
        <v>2</v>
      </c>
      <c r="AI197" t="s">
        <v>43</v>
      </c>
      <c r="AJ197">
        <v>5.5620000000000003</v>
      </c>
      <c r="AK197">
        <v>1.325</v>
      </c>
      <c r="AM197" t="s">
        <v>35</v>
      </c>
      <c r="AN197" t="s">
        <v>42</v>
      </c>
      <c r="AO197">
        <v>44.271999999999998</v>
      </c>
      <c r="AP197">
        <v>30.693999999999999</v>
      </c>
      <c r="AQ197" t="s">
        <v>43</v>
      </c>
      <c r="AR197">
        <v>77.605999999999995</v>
      </c>
      <c r="AS197">
        <v>2.0169999999999999</v>
      </c>
      <c r="AT197" t="s">
        <v>43</v>
      </c>
      <c r="AU197">
        <v>98.299000000000007</v>
      </c>
      <c r="AV197">
        <v>18.736000000000001</v>
      </c>
      <c r="AW197" t="s">
        <v>43</v>
      </c>
      <c r="AX197">
        <v>132.101</v>
      </c>
      <c r="AY197">
        <v>11.234</v>
      </c>
    </row>
    <row r="198" spans="1:69" x14ac:dyDescent="0.2">
      <c r="A198" t="s">
        <v>36</v>
      </c>
      <c r="B198" t="s">
        <v>63</v>
      </c>
      <c r="C198" t="s">
        <v>58</v>
      </c>
      <c r="D198">
        <v>31</v>
      </c>
      <c r="E198">
        <v>2811</v>
      </c>
      <c r="F198" t="s">
        <v>49</v>
      </c>
      <c r="G198" t="s">
        <v>39</v>
      </c>
      <c r="H198">
        <v>157.732</v>
      </c>
      <c r="I198" t="s">
        <v>40</v>
      </c>
      <c r="J198" t="s">
        <v>41</v>
      </c>
      <c r="K198" t="b">
        <v>0</v>
      </c>
      <c r="L198" t="b">
        <v>0</v>
      </c>
      <c r="M198" t="b">
        <v>0</v>
      </c>
      <c r="N198" t="b">
        <v>0</v>
      </c>
      <c r="O198" t="b">
        <v>0</v>
      </c>
      <c r="P198" t="b">
        <v>0</v>
      </c>
      <c r="Q198" t="b">
        <v>0</v>
      </c>
      <c r="R198" t="b">
        <v>0</v>
      </c>
      <c r="S198" t="b">
        <v>0</v>
      </c>
      <c r="U198">
        <v>1</v>
      </c>
      <c r="V198">
        <v>7</v>
      </c>
      <c r="W198">
        <v>8</v>
      </c>
      <c r="X198">
        <v>24.139499999999899</v>
      </c>
      <c r="Y198" t="b">
        <v>1</v>
      </c>
      <c r="Z198" t="b">
        <v>1</v>
      </c>
      <c r="AA198" t="b">
        <v>0</v>
      </c>
      <c r="AB198">
        <v>0</v>
      </c>
      <c r="AC198" t="s">
        <v>34</v>
      </c>
      <c r="AD198">
        <v>0</v>
      </c>
      <c r="AE198" t="s">
        <v>43</v>
      </c>
      <c r="AF198">
        <v>0</v>
      </c>
      <c r="AG198">
        <v>145.37799999999999</v>
      </c>
      <c r="AH198">
        <v>5</v>
      </c>
      <c r="AI198" t="s">
        <v>42</v>
      </c>
      <c r="AJ198">
        <v>12.571999999999999</v>
      </c>
      <c r="AK198">
        <v>3.6419999999999999</v>
      </c>
      <c r="AM198" t="s">
        <v>35</v>
      </c>
      <c r="AN198" t="s">
        <v>43</v>
      </c>
      <c r="AO198">
        <v>28.111999999999998</v>
      </c>
      <c r="AP198">
        <v>3.0329999999999999</v>
      </c>
      <c r="AQ198" t="s">
        <v>43</v>
      </c>
      <c r="AR198">
        <v>48.276000000000003</v>
      </c>
      <c r="AS198">
        <v>5.415</v>
      </c>
      <c r="AT198" t="s">
        <v>43</v>
      </c>
      <c r="AU198">
        <v>61.137</v>
      </c>
      <c r="AV198">
        <v>7.03</v>
      </c>
      <c r="AW198" t="s">
        <v>43</v>
      </c>
      <c r="AX198">
        <v>74.602999999999994</v>
      </c>
      <c r="AY198">
        <v>2.9140000000000001</v>
      </c>
      <c r="AZ198" t="s">
        <v>51</v>
      </c>
      <c r="BA198">
        <v>86.025999999999996</v>
      </c>
      <c r="BB198">
        <v>14.776999999999999</v>
      </c>
      <c r="BC198" t="s">
        <v>43</v>
      </c>
      <c r="BD198">
        <v>104.01600000000001</v>
      </c>
      <c r="BE198">
        <v>7.4870000000000001</v>
      </c>
      <c r="BF198" t="s">
        <v>43</v>
      </c>
      <c r="BG198">
        <v>121.52500000000001</v>
      </c>
      <c r="BH198">
        <v>7.0819999999999999</v>
      </c>
    </row>
    <row r="199" spans="1:69" x14ac:dyDescent="0.2">
      <c r="A199" t="s">
        <v>36</v>
      </c>
      <c r="B199" t="s">
        <v>28</v>
      </c>
      <c r="C199" t="s">
        <v>48</v>
      </c>
      <c r="D199">
        <v>33</v>
      </c>
      <c r="E199">
        <v>4125</v>
      </c>
      <c r="F199" t="s">
        <v>46</v>
      </c>
      <c r="G199" t="s">
        <v>39</v>
      </c>
      <c r="H199">
        <v>0</v>
      </c>
      <c r="I199" t="s">
        <v>40</v>
      </c>
      <c r="J199" t="s">
        <v>32</v>
      </c>
      <c r="K199" t="b">
        <v>0</v>
      </c>
      <c r="L199" t="b">
        <v>0</v>
      </c>
      <c r="M199" t="b">
        <v>0</v>
      </c>
      <c r="N199" t="b">
        <v>0</v>
      </c>
      <c r="O199" t="b">
        <v>0</v>
      </c>
      <c r="P199" t="b">
        <v>0</v>
      </c>
      <c r="Q199" t="b">
        <v>0</v>
      </c>
      <c r="R199" t="b">
        <v>0</v>
      </c>
      <c r="S199" t="b">
        <v>0</v>
      </c>
      <c r="U199">
        <v>2</v>
      </c>
      <c r="V199">
        <v>5</v>
      </c>
      <c r="W199">
        <v>7</v>
      </c>
      <c r="X199">
        <v>27.551285714285701</v>
      </c>
      <c r="Y199" t="b">
        <v>1</v>
      </c>
      <c r="Z199" t="b">
        <v>1</v>
      </c>
      <c r="AA199" t="b">
        <v>0</v>
      </c>
      <c r="AB199">
        <v>0</v>
      </c>
      <c r="AC199" t="s">
        <v>34</v>
      </c>
      <c r="AD199">
        <v>0</v>
      </c>
      <c r="AE199" t="s">
        <v>43</v>
      </c>
      <c r="AF199">
        <v>0</v>
      </c>
      <c r="AG199">
        <v>143.83699999999999</v>
      </c>
      <c r="AH199">
        <v>-2</v>
      </c>
      <c r="AI199" t="s">
        <v>43</v>
      </c>
      <c r="AJ199">
        <v>6.0880000000000001</v>
      </c>
      <c r="AK199">
        <v>1.145</v>
      </c>
      <c r="AM199" t="s">
        <v>35</v>
      </c>
      <c r="AN199" t="s">
        <v>43</v>
      </c>
      <c r="AO199">
        <v>21.097000000000001</v>
      </c>
      <c r="AP199">
        <v>7.1840000000000002</v>
      </c>
      <c r="AQ199" t="s">
        <v>42</v>
      </c>
      <c r="AR199">
        <v>34.680999999999997</v>
      </c>
      <c r="AS199">
        <v>7.4829999999999997</v>
      </c>
      <c r="AT199" t="s">
        <v>42</v>
      </c>
      <c r="AU199">
        <v>52.997999999999998</v>
      </c>
      <c r="AV199">
        <v>13.484999999999999</v>
      </c>
      <c r="AW199" t="s">
        <v>43</v>
      </c>
      <c r="AX199">
        <v>69.847999999999999</v>
      </c>
      <c r="AY199">
        <v>2.95</v>
      </c>
      <c r="AZ199" t="s">
        <v>51</v>
      </c>
      <c r="BA199">
        <v>77.444000000000003</v>
      </c>
      <c r="BB199">
        <v>16.207999999999998</v>
      </c>
      <c r="BC199" t="s">
        <v>51</v>
      </c>
      <c r="BD199">
        <v>115.54600000000001</v>
      </c>
      <c r="BE199">
        <v>11.435</v>
      </c>
      <c r="BF199" t="s">
        <v>51</v>
      </c>
      <c r="BG199">
        <v>137.15100000000001</v>
      </c>
      <c r="BH199">
        <v>10.1</v>
      </c>
    </row>
    <row r="200" spans="1:69" x14ac:dyDescent="0.2">
      <c r="A200" t="s">
        <v>36</v>
      </c>
      <c r="B200" t="s">
        <v>44</v>
      </c>
      <c r="C200" t="s">
        <v>38</v>
      </c>
      <c r="D200">
        <v>33</v>
      </c>
      <c r="E200">
        <v>4980</v>
      </c>
      <c r="F200" t="s">
        <v>53</v>
      </c>
      <c r="G200" t="s">
        <v>39</v>
      </c>
      <c r="H200">
        <v>156.929</v>
      </c>
      <c r="I200" t="s">
        <v>40</v>
      </c>
      <c r="J200" t="s">
        <v>50</v>
      </c>
      <c r="K200" t="b">
        <v>0</v>
      </c>
      <c r="L200" t="b">
        <v>0</v>
      </c>
      <c r="M200" t="b">
        <v>0</v>
      </c>
      <c r="N200" t="b">
        <v>0</v>
      </c>
      <c r="O200" t="b">
        <v>0</v>
      </c>
      <c r="P200" t="b">
        <v>0</v>
      </c>
      <c r="Q200" t="b">
        <v>1</v>
      </c>
      <c r="R200" t="b">
        <v>0</v>
      </c>
      <c r="S200" t="b">
        <v>0</v>
      </c>
      <c r="T200" t="s">
        <v>137</v>
      </c>
      <c r="U200">
        <v>0</v>
      </c>
      <c r="V200">
        <v>1</v>
      </c>
      <c r="W200">
        <v>1</v>
      </c>
      <c r="X200">
        <v>16.254999999999999</v>
      </c>
      <c r="Y200" t="b">
        <v>1</v>
      </c>
      <c r="Z200" t="b">
        <v>0</v>
      </c>
      <c r="AA200" t="b">
        <v>0</v>
      </c>
      <c r="AB200">
        <v>0</v>
      </c>
      <c r="AC200" t="s">
        <v>34</v>
      </c>
      <c r="AD200">
        <v>0</v>
      </c>
      <c r="AE200" t="s">
        <v>42</v>
      </c>
      <c r="AF200">
        <v>0</v>
      </c>
      <c r="AG200">
        <v>92.483999999999995</v>
      </c>
      <c r="AI200" t="s">
        <v>35</v>
      </c>
      <c r="AJ200" t="s">
        <v>42</v>
      </c>
      <c r="AK200">
        <v>25.138999999999999</v>
      </c>
      <c r="AL200">
        <v>14.893000000000001</v>
      </c>
      <c r="AM200" t="s">
        <v>42</v>
      </c>
      <c r="AN200">
        <v>52.41</v>
      </c>
      <c r="AO200">
        <v>6.8559999999999999</v>
      </c>
      <c r="AP200" t="s">
        <v>43</v>
      </c>
      <c r="AQ200">
        <v>62.856999999999999</v>
      </c>
      <c r="AR200">
        <v>16.254999999999999</v>
      </c>
    </row>
    <row r="201" spans="1:69" x14ac:dyDescent="0.2">
      <c r="A201" t="s">
        <v>36</v>
      </c>
      <c r="B201" t="s">
        <v>47</v>
      </c>
      <c r="C201" t="s">
        <v>52</v>
      </c>
      <c r="D201">
        <v>33</v>
      </c>
      <c r="E201">
        <v>6343</v>
      </c>
      <c r="F201" t="s">
        <v>66</v>
      </c>
      <c r="G201" t="s">
        <v>39</v>
      </c>
      <c r="H201">
        <v>0</v>
      </c>
      <c r="I201" t="s">
        <v>31</v>
      </c>
      <c r="J201" t="s">
        <v>32</v>
      </c>
      <c r="K201" t="b">
        <v>0</v>
      </c>
      <c r="L201" t="b">
        <v>0</v>
      </c>
      <c r="M201" t="b">
        <v>0</v>
      </c>
      <c r="N201" t="b">
        <v>0</v>
      </c>
      <c r="O201" t="b">
        <v>0</v>
      </c>
      <c r="P201" t="b">
        <v>0</v>
      </c>
      <c r="Q201" t="b">
        <v>0</v>
      </c>
      <c r="R201" t="b">
        <v>0</v>
      </c>
      <c r="S201" t="b">
        <v>0</v>
      </c>
      <c r="U201">
        <v>0</v>
      </c>
      <c r="V201">
        <v>7</v>
      </c>
      <c r="W201">
        <v>7</v>
      </c>
      <c r="X201">
        <v>4.8015714285714202</v>
      </c>
      <c r="Y201" t="b">
        <v>0</v>
      </c>
      <c r="Z201" t="b">
        <v>1</v>
      </c>
      <c r="AA201" t="b">
        <v>0</v>
      </c>
      <c r="AB201">
        <v>0</v>
      </c>
      <c r="AC201" t="s">
        <v>34</v>
      </c>
      <c r="AE201" t="s">
        <v>35</v>
      </c>
      <c r="AF201" t="s">
        <v>51</v>
      </c>
      <c r="AG201">
        <v>22.786999999999999</v>
      </c>
      <c r="AH201">
        <v>5.8419999999999996</v>
      </c>
      <c r="AI201" t="s">
        <v>51</v>
      </c>
      <c r="AJ201">
        <v>31.55</v>
      </c>
      <c r="AK201">
        <v>5.1589999999999998</v>
      </c>
      <c r="AL201" t="s">
        <v>51</v>
      </c>
      <c r="AM201">
        <v>42.302</v>
      </c>
      <c r="AN201">
        <v>2.5880000000000001</v>
      </c>
      <c r="AO201" t="s">
        <v>51</v>
      </c>
      <c r="AP201">
        <v>52.152000000000001</v>
      </c>
      <c r="AQ201">
        <v>9.1660000000000004</v>
      </c>
      <c r="AR201" t="s">
        <v>51</v>
      </c>
      <c r="AS201">
        <v>67.888999999999996</v>
      </c>
      <c r="AT201">
        <v>3.964</v>
      </c>
      <c r="AU201" t="s">
        <v>42</v>
      </c>
      <c r="AV201">
        <v>81.159000000000006</v>
      </c>
      <c r="AW201">
        <v>5.2720000000000002</v>
      </c>
      <c r="AX201" t="s">
        <v>42</v>
      </c>
      <c r="AY201">
        <v>92.156999999999996</v>
      </c>
      <c r="AZ201">
        <v>13.506</v>
      </c>
      <c r="BA201" t="s">
        <v>51</v>
      </c>
      <c r="BB201">
        <v>110.958</v>
      </c>
      <c r="BC201">
        <v>2.4350000000000001</v>
      </c>
      <c r="BD201" t="s">
        <v>42</v>
      </c>
      <c r="BE201">
        <v>118.304</v>
      </c>
      <c r="BF201">
        <v>9.8140000000000001</v>
      </c>
      <c r="BG201" t="s">
        <v>51</v>
      </c>
      <c r="BH201">
        <v>131.773</v>
      </c>
      <c r="BI201">
        <v>4.4569999999999999</v>
      </c>
    </row>
    <row r="202" spans="1:69" x14ac:dyDescent="0.2">
      <c r="A202" t="s">
        <v>36</v>
      </c>
      <c r="B202" t="s">
        <v>37</v>
      </c>
      <c r="C202" t="s">
        <v>78</v>
      </c>
      <c r="D202">
        <v>33</v>
      </c>
      <c r="E202">
        <v>4131</v>
      </c>
      <c r="F202" t="s">
        <v>53</v>
      </c>
      <c r="G202" t="s">
        <v>30</v>
      </c>
      <c r="H202">
        <v>0</v>
      </c>
      <c r="I202" t="s">
        <v>31</v>
      </c>
      <c r="J202" t="s">
        <v>32</v>
      </c>
      <c r="K202" t="b">
        <v>0</v>
      </c>
      <c r="L202" t="b">
        <v>0</v>
      </c>
      <c r="M202" t="b">
        <v>0</v>
      </c>
      <c r="N202" t="b">
        <v>0</v>
      </c>
      <c r="O202" t="b">
        <v>0</v>
      </c>
      <c r="P202" t="b">
        <v>0</v>
      </c>
      <c r="Q202" t="b">
        <v>0</v>
      </c>
      <c r="R202" t="b">
        <v>0</v>
      </c>
      <c r="S202" t="b">
        <v>0</v>
      </c>
      <c r="T202" t="s">
        <v>138</v>
      </c>
      <c r="U202">
        <v>0</v>
      </c>
      <c r="V202">
        <v>2</v>
      </c>
      <c r="W202">
        <v>2</v>
      </c>
      <c r="X202">
        <v>8.5664999999999996</v>
      </c>
      <c r="Y202" t="b">
        <v>1</v>
      </c>
      <c r="Z202" t="b">
        <v>0</v>
      </c>
      <c r="AA202" t="b">
        <v>0</v>
      </c>
      <c r="AB202">
        <v>0</v>
      </c>
      <c r="AC202" t="s">
        <v>34</v>
      </c>
      <c r="AD202">
        <v>0</v>
      </c>
      <c r="AE202" t="s">
        <v>42</v>
      </c>
      <c r="AF202">
        <v>0</v>
      </c>
      <c r="AG202">
        <v>78.006</v>
      </c>
      <c r="AI202" t="s">
        <v>35</v>
      </c>
      <c r="AJ202" t="s">
        <v>43</v>
      </c>
      <c r="AK202">
        <v>23.745000000000001</v>
      </c>
      <c r="AL202">
        <v>2.9630000000000001</v>
      </c>
      <c r="AM202" t="s">
        <v>43</v>
      </c>
      <c r="AN202">
        <v>66.066999999999993</v>
      </c>
      <c r="AO202">
        <v>14.17</v>
      </c>
    </row>
    <row r="203" spans="1:69" x14ac:dyDescent="0.2">
      <c r="A203" t="s">
        <v>36</v>
      </c>
      <c r="B203" t="s">
        <v>55</v>
      </c>
      <c r="C203" t="s">
        <v>127</v>
      </c>
      <c r="D203">
        <v>33</v>
      </c>
      <c r="E203">
        <v>1318</v>
      </c>
      <c r="F203" t="s">
        <v>46</v>
      </c>
      <c r="G203" t="s">
        <v>39</v>
      </c>
      <c r="H203">
        <v>0</v>
      </c>
      <c r="I203" t="s">
        <v>31</v>
      </c>
      <c r="J203" t="s">
        <v>32</v>
      </c>
      <c r="K203" t="b">
        <v>0</v>
      </c>
      <c r="L203" t="b">
        <v>0</v>
      </c>
      <c r="M203" t="b">
        <v>0</v>
      </c>
      <c r="N203" t="b">
        <v>0</v>
      </c>
      <c r="O203" t="b">
        <v>0</v>
      </c>
      <c r="P203" t="b">
        <v>0</v>
      </c>
      <c r="Q203" t="b">
        <v>0</v>
      </c>
      <c r="R203" t="b">
        <v>0</v>
      </c>
      <c r="S203" t="b">
        <v>0</v>
      </c>
      <c r="U203">
        <v>3</v>
      </c>
      <c r="V203">
        <v>5</v>
      </c>
      <c r="W203">
        <v>8</v>
      </c>
      <c r="X203">
        <v>4.2143749999999898</v>
      </c>
      <c r="Y203" t="b">
        <v>1</v>
      </c>
      <c r="Z203" t="b">
        <v>0</v>
      </c>
      <c r="AA203" t="b">
        <v>0</v>
      </c>
      <c r="AB203">
        <v>0</v>
      </c>
      <c r="AC203" t="s">
        <v>34</v>
      </c>
      <c r="AD203">
        <v>2</v>
      </c>
      <c r="AE203" t="s">
        <v>43</v>
      </c>
      <c r="AF203">
        <v>5.351</v>
      </c>
      <c r="AG203">
        <v>2.9380000000000002</v>
      </c>
      <c r="AH203">
        <v>1</v>
      </c>
      <c r="AI203" t="s">
        <v>43</v>
      </c>
      <c r="AJ203">
        <v>12.054</v>
      </c>
      <c r="AK203">
        <v>0.71399999999999997</v>
      </c>
      <c r="AL203">
        <v>3</v>
      </c>
      <c r="AM203" t="s">
        <v>43</v>
      </c>
      <c r="AN203">
        <v>15.551</v>
      </c>
      <c r="AO203">
        <v>0.78700000000000003</v>
      </c>
      <c r="AQ203" t="s">
        <v>35</v>
      </c>
      <c r="AR203" t="s">
        <v>42</v>
      </c>
      <c r="AS203">
        <v>21.646000000000001</v>
      </c>
      <c r="AT203">
        <v>7.101</v>
      </c>
      <c r="AU203" t="s">
        <v>42</v>
      </c>
      <c r="AV203">
        <v>36.816000000000003</v>
      </c>
      <c r="AW203">
        <v>7.0309999999999997</v>
      </c>
      <c r="AX203" t="s">
        <v>43</v>
      </c>
      <c r="AY203">
        <v>46.981000000000002</v>
      </c>
      <c r="AZ203">
        <v>2.6459999999999999</v>
      </c>
      <c r="BA203" t="s">
        <v>43</v>
      </c>
      <c r="BB203">
        <v>58.023000000000003</v>
      </c>
      <c r="BC203">
        <v>4.5439999999999996</v>
      </c>
      <c r="BD203" t="s">
        <v>43</v>
      </c>
      <c r="BE203">
        <v>71.314999999999998</v>
      </c>
      <c r="BF203">
        <v>5.7679999999999998</v>
      </c>
      <c r="BG203" t="s">
        <v>43</v>
      </c>
      <c r="BH203">
        <v>80.5</v>
      </c>
      <c r="BI203">
        <v>5.1340000000000003</v>
      </c>
      <c r="BJ203" t="s">
        <v>42</v>
      </c>
      <c r="BK203">
        <v>103.209</v>
      </c>
      <c r="BL203">
        <v>11.109</v>
      </c>
      <c r="BM203" t="s">
        <v>43</v>
      </c>
      <c r="BN203">
        <v>129.76900000000001</v>
      </c>
      <c r="BO203">
        <v>11.183999999999999</v>
      </c>
    </row>
    <row r="204" spans="1:69" x14ac:dyDescent="0.2">
      <c r="A204">
        <v>0.79600000000000004</v>
      </c>
      <c r="D204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Module5.ImportText">
                <anchor moveWithCells="1" sizeWithCells="1">
                  <from>
                    <xdr:col>0</xdr:col>
                    <xdr:colOff>38100</xdr:colOff>
                    <xdr:row>0</xdr:row>
                    <xdr:rowOff>50800</xdr:rowOff>
                  </from>
                  <to>
                    <xdr:col>1</xdr:col>
                    <xdr:colOff>673100</xdr:colOff>
                    <xdr:row>1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53EC5-BBCA-4DBF-8BF0-2C80C06B8BF5}">
  <sheetPr codeName="Sheet2"/>
  <dimension ref="A1:W37"/>
  <sheetViews>
    <sheetView topLeftCell="A11" workbookViewId="0">
      <selection activeCell="A10" sqref="A10"/>
    </sheetView>
  </sheetViews>
  <sheetFormatPr baseColWidth="10" defaultColWidth="8.83203125" defaultRowHeight="15" x14ac:dyDescent="0.2"/>
  <sheetData>
    <row r="1" spans="1:23" x14ac:dyDescent="0.2">
      <c r="A1" t="str" cm="1">
        <f t="array" ref="A1:A3">_xlfn.UNIQUE(Sheet1!E:E)</f>
        <v>teamNum</v>
      </c>
      <c r="B1" t="s">
        <v>139</v>
      </c>
      <c r="C1" t="s">
        <v>140</v>
      </c>
      <c r="D1" t="s">
        <v>141</v>
      </c>
      <c r="E1" t="s">
        <v>142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148</v>
      </c>
      <c r="L1" t="s">
        <v>149</v>
      </c>
      <c r="M1" t="s">
        <v>150</v>
      </c>
      <c r="N1" t="s">
        <v>151</v>
      </c>
      <c r="O1" t="s">
        <v>152</v>
      </c>
      <c r="P1" t="s">
        <v>153</v>
      </c>
      <c r="S1" s="2" t="s">
        <v>154</v>
      </c>
      <c r="U1" t="s">
        <v>155</v>
      </c>
    </row>
    <row r="2" spans="1:23" hidden="1" x14ac:dyDescent="0.2">
      <c r="A2">
        <v>0</v>
      </c>
      <c r="B2">
        <f>COUNTIF(Sheet1!E:E,Averages!A2)</f>
        <v>1</v>
      </c>
      <c r="C2" t="e">
        <f>AVERAGE(getData(Sheet1!X:X,Sheet1!D:D,Sheet1!E:E,Averages!A2))</f>
        <v>#VALUE!</v>
      </c>
      <c r="D2" t="e">
        <f>_xlfn.STDEV.S(getData(Sheet1!X:X,Sheet1!D:D,Sheet1!E:E,Averages!A2))</f>
        <v>#VALUE!</v>
      </c>
      <c r="E2" t="e">
        <f>AVERAGE(getData(Sheet1!W:W,Sheet1!D:D,Sheet1!E:E,Averages!A2))</f>
        <v>#VALUE!</v>
      </c>
      <c r="F2" t="e" cm="1">
        <f t="array" ref="F2">_xlfn.CONCAT(IF(contains(getData(Sheet1!Y:Y,Sheet1!D:D,Sheet1!E:E,Averages!A2),TRUE),"Speaker,",""),IF(contains(getData(Sheet1!Z:Z,Sheet1!D:D,Sheet1!E:E,Averages!A2),TRUE),"Amp",""))</f>
        <v>#VALUE!</v>
      </c>
      <c r="K2" t="e" cm="1">
        <f t="array" ref="K2">contains(getData(Sheet1!J:J,Sheet1!D:D,Sheet1!E:E,Averages!A2),"climb success")</f>
        <v>#VALUE!</v>
      </c>
      <c r="L2" t="e">
        <f>AVERAGE(getData(Sheet1!H:H,Sheet1!D:D,Sheet1!E:E,Averages!A2))</f>
        <v>#VALUE!</v>
      </c>
      <c r="M2" t="e">
        <f>_xlfn.STDEV.S(getData(Sheet1!H:H,Sheet1!D:D,Sheet1!E:E,Averages!A2))</f>
        <v>#VALUE!</v>
      </c>
      <c r="N2" t="e" cm="1">
        <f t="array" ref="N2">countIfArray(getData(Sheet1!J:J,Sheet1!D:D,Sheet1!E:E,Averages!A2),"climb success")</f>
        <v>#VALUE!</v>
      </c>
      <c r="O2" t="e" cm="1">
        <f t="array" ref="O2">countIfArray(getData(Sheet1!J:J,Sheet1!D:D,Sheet1!E:E,Averages!A2),"climb failed")</f>
        <v>#VALUE!</v>
      </c>
      <c r="P2" t="e" cm="1">
        <f t="array" ref="P2">countIfArray(getData(Sheet1!P:P,Sheet1!D:D,Sheet1!E:E,Averages!A2),TRUE)</f>
        <v>#VALUE!</v>
      </c>
      <c r="S2" s="2" t="s">
        <v>140</v>
      </c>
      <c r="U2" s="2" t="s">
        <v>156</v>
      </c>
      <c r="W2" s="2" t="s">
        <v>141</v>
      </c>
    </row>
    <row r="3" spans="1:23" x14ac:dyDescent="0.2">
      <c r="A3">
        <v>0</v>
      </c>
      <c r="B3">
        <f>COUNTIF(Sheet1!E:E,Averages!A3)</f>
        <v>1</v>
      </c>
      <c r="C3" t="e">
        <f>AVERAGE(getData(Sheet1!X:X,Sheet1!D:D,Sheet1!E:E,Averages!A3))</f>
        <v>#VALUE!</v>
      </c>
      <c r="D3" t="e">
        <f>_xlfn.STDEV.S(getData(Sheet1!X:X,Sheet1!D:D,Sheet1!E:E,Averages!A3))</f>
        <v>#VALUE!</v>
      </c>
      <c r="E3" t="e">
        <f>AVERAGE(getData(Sheet1!W:W,Sheet1!D:D,Sheet1!E:E,Averages!A3))</f>
        <v>#VALUE!</v>
      </c>
      <c r="F3" t="e" cm="1">
        <f t="array" ref="F3">_xlfn.CONCAT(IF(contains(getData(Sheet1!Y:Y,Sheet1!D:D,Sheet1!E:E,Averages!A3),TRUE),"Speaker,",""),IF(contains(getData(Sheet1!Z:Z,Sheet1!D:D,Sheet1!E:E,Averages!A3),TRUE),"Amp",""))</f>
        <v>#VALUE!</v>
      </c>
      <c r="G3" t="e">
        <f>_xlfn.CONCAT(IF(OR(contains(getData(Sheet1!I:I,Sheet1!D:D,Sheet1!E:E,Averages!A3),"ground and source"),contains(getData(Sheet1!I:I,Sheet1!D:D,Sheet1!E:E,Averages!A3),"ground only")),"Ground,",""),IF(OR(contains(getData(Sheet1!I:I,Sheet1!D:D,Sheet1!E:E,Averages!A3),"ground and source"),contains(getData(Sheet1!I:I,Sheet1!D:D,Sheet1!E:E,Averages!A3),"source only")),"Source",""))</f>
        <v>#VALUE!</v>
      </c>
      <c r="H3" t="e">
        <f>AVERAGE(getData(Sheet1!U:U,Sheet1!D:D,Sheet1!E:E,Averages!A3))</f>
        <v>#VALUE!</v>
      </c>
      <c r="I3" t="e">
        <f>AVERAGE(getData(Sheet1!V:V,Sheet1!D:D,Sheet1!E:E,Averages!A3))</f>
        <v>#VALUE!</v>
      </c>
      <c r="J3" t="e">
        <f>_xlfn.STDEV.S(getData(Sheet1!H:H,Sheet1!D:D,Sheet1!E:E,Averages!A3))</f>
        <v>#VALUE!</v>
      </c>
      <c r="K3" t="e" cm="1">
        <f t="array" ref="K3">contains(getData(Sheet1!J:J,Sheet1!D:D,Sheet1!E:E,Averages!A3),"climb success")</f>
        <v>#VALUE!</v>
      </c>
      <c r="L3" t="e">
        <f>AVERAGE(getData(Sheet1!H:H,Sheet1!D:D,Sheet1!E:E,Averages!A3))</f>
        <v>#VALUE!</v>
      </c>
      <c r="M3" t="e">
        <f>_xlfn.STDEV.S(getData(Sheet1!H:H,Sheet1!D:D,Sheet1!E:E,Averages!A3))</f>
        <v>#VALUE!</v>
      </c>
      <c r="N3" t="e" cm="1">
        <f t="array" ref="N3">countIfArray(getData(Sheet1!J:J,Sheet1!D:D,Sheet1!E:E,Averages!A3),"climb success")</f>
        <v>#VALUE!</v>
      </c>
      <c r="O3" t="e" cm="1">
        <f t="array" ref="O3">countIfArray(getData(Sheet1!J:J,Sheet1!D:D,Sheet1!E:E,Averages!A3),"climb failed")</f>
        <v>#VALUE!</v>
      </c>
      <c r="P3" t="e" cm="1">
        <f t="array" ref="P3">countIfArray(getData(Sheet1!P:P,Sheet1!D:D,Sheet1!E:E,Averages!A3),TRUE)</f>
        <v>#VALUE!</v>
      </c>
      <c r="S3" s="2" t="s">
        <v>157</v>
      </c>
    </row>
    <row r="4" spans="1:23" x14ac:dyDescent="0.2">
      <c r="B4">
        <f>COUNTIF(Sheet1!E:E,Averages!A4)</f>
        <v>1</v>
      </c>
      <c r="C4" t="e">
        <f>AVERAGE(getData(Sheet1!X:X,Sheet1!D:D,Sheet1!E:E,Averages!A4))</f>
        <v>#VALUE!</v>
      </c>
      <c r="D4" t="e">
        <f>_xlfn.STDEV.S(getData(Sheet1!X:X,Sheet1!D:D,Sheet1!E:E,Averages!A4))</f>
        <v>#VALUE!</v>
      </c>
      <c r="E4" t="e">
        <f>AVERAGE(getData(Sheet1!W:W,Sheet1!D:D,Sheet1!E:E,Averages!A4))</f>
        <v>#VALUE!</v>
      </c>
      <c r="F4" t="e" cm="1">
        <f t="array" ref="F4">_xlfn.CONCAT(IF(contains(getData(Sheet1!Y:Y,Sheet1!D:D,Sheet1!E:E,Averages!A4),TRUE),"Speaker,",""),IF(contains(getData(Sheet1!Z:Z,Sheet1!D:D,Sheet1!E:E,Averages!A4),TRUE),"Amp",""))</f>
        <v>#VALUE!</v>
      </c>
      <c r="G4" t="e">
        <f>_xlfn.CONCAT(IF(OR(contains(getData(Sheet1!I:I,Sheet1!D:D,Sheet1!E:E,Averages!A4),"ground and source"),contains(getData(Sheet1!I:I,Sheet1!D:D,Sheet1!E:E,Averages!A4),"ground only")),"Ground,",""),IF(OR(contains(getData(Sheet1!I:I,Sheet1!D:D,Sheet1!E:E,Averages!A4),"ground and source"),contains(getData(Sheet1!I:I,Sheet1!D:D,Sheet1!E:E,Averages!A4),"source only")),"Source",""))</f>
        <v>#VALUE!</v>
      </c>
      <c r="H4" t="e">
        <f>AVERAGE(getData(Sheet1!U:U,Sheet1!D:D,Sheet1!E:E,Averages!A4))</f>
        <v>#VALUE!</v>
      </c>
      <c r="I4" t="e">
        <f>AVERAGE(getData(Sheet1!V:V,Sheet1!D:D,Sheet1!E:E,Averages!A4))</f>
        <v>#VALUE!</v>
      </c>
      <c r="J4" t="e">
        <f>_xlfn.STDEV.S(getData(Sheet1!H:H,Sheet1!D:D,Sheet1!E:E,Averages!A4))</f>
        <v>#VALUE!</v>
      </c>
      <c r="K4" t="e" cm="1">
        <f t="array" ref="K4">contains(getData(Sheet1!J:J,Sheet1!D:D,Sheet1!E:E,Averages!A4),"climb success")</f>
        <v>#VALUE!</v>
      </c>
      <c r="L4" t="e">
        <f>AVERAGE(getData(Sheet1!H:H,Sheet1!D:D,Sheet1!E:E,Averages!A4))</f>
        <v>#VALUE!</v>
      </c>
      <c r="M4" t="e">
        <f>_xlfn.STDEV.S(getData(Sheet1!H:H,Sheet1!D:D,Sheet1!E:E,Averages!A4))</f>
        <v>#VALUE!</v>
      </c>
      <c r="N4" t="e" cm="1">
        <f t="array" ref="N4">countIfArray(getData(Sheet1!J:J,Sheet1!D:D,Sheet1!E:E,Averages!A4),"climb success")</f>
        <v>#VALUE!</v>
      </c>
      <c r="O4" t="e" cm="1">
        <f t="array" ref="O4">countIfArray(getData(Sheet1!J:J,Sheet1!D:D,Sheet1!E:E,Averages!A4),"climb failed")</f>
        <v>#VALUE!</v>
      </c>
      <c r="P4" t="e" cm="1">
        <f t="array" ref="P4">countIfArray(getData(Sheet1!P:P,Sheet1!D:D,Sheet1!E:E,Averages!A4),TRUE)</f>
        <v>#VALUE!</v>
      </c>
      <c r="S4" s="2" t="s">
        <v>158</v>
      </c>
      <c r="W4" t="s">
        <v>159</v>
      </c>
    </row>
    <row r="5" spans="1:23" x14ac:dyDescent="0.2">
      <c r="B5">
        <f>COUNTIF(Sheet1!E:E,Averages!A5)</f>
        <v>1</v>
      </c>
      <c r="C5" t="e">
        <f>AVERAGE(getData(Sheet1!X:X,Sheet1!D:D,Sheet1!E:E,Averages!A5))</f>
        <v>#VALUE!</v>
      </c>
      <c r="D5" t="e">
        <f>_xlfn.STDEV.S(getData(Sheet1!X:X,Sheet1!D:D,Sheet1!E:E,Averages!A5))</f>
        <v>#VALUE!</v>
      </c>
      <c r="E5" t="e">
        <f>AVERAGE(getData(Sheet1!W:W,Sheet1!D:D,Sheet1!E:E,Averages!A5))</f>
        <v>#VALUE!</v>
      </c>
      <c r="F5" t="e" cm="1">
        <f t="array" ref="F5">_xlfn.CONCAT(IF(contains(getData(Sheet1!Y:Y,Sheet1!D:D,Sheet1!E:E,Averages!A5),TRUE),"Speaker,",""),IF(contains(getData(Sheet1!Z:Z,Sheet1!D:D,Sheet1!E:E,Averages!A5),TRUE),"Amp",""))</f>
        <v>#VALUE!</v>
      </c>
      <c r="G5" t="e">
        <f>_xlfn.CONCAT(IF(OR(contains(getData(Sheet1!I:I,Sheet1!D:D,Sheet1!E:E,Averages!A5),"ground and source"),contains(getData(Sheet1!I:I,Sheet1!D:D,Sheet1!E:E,Averages!A5),"ground only")),"Ground,",""),IF(OR(contains(getData(Sheet1!I:I,Sheet1!D:D,Sheet1!E:E,Averages!A5),"ground and source"),contains(getData(Sheet1!I:I,Sheet1!D:D,Sheet1!E:E,Averages!A5),"source only")),"Source",""))</f>
        <v>#VALUE!</v>
      </c>
      <c r="H5" t="e">
        <f>AVERAGE(getData(Sheet1!U:U,Sheet1!D:D,Sheet1!E:E,Averages!A5))</f>
        <v>#VALUE!</v>
      </c>
      <c r="I5" t="e">
        <f>AVERAGE(getData(Sheet1!V:V,Sheet1!D:D,Sheet1!E:E,Averages!A5))</f>
        <v>#VALUE!</v>
      </c>
      <c r="J5" t="e">
        <f>_xlfn.STDEV.S(getData(Sheet1!H:H,Sheet1!D:D,Sheet1!E:E,Averages!A5))</f>
        <v>#VALUE!</v>
      </c>
      <c r="K5" t="e" cm="1">
        <f t="array" ref="K5">contains(getData(Sheet1!J:J,Sheet1!D:D,Sheet1!E:E,Averages!A5),"climb success")</f>
        <v>#VALUE!</v>
      </c>
      <c r="L5" t="e">
        <f>AVERAGE(getData(Sheet1!H:H,Sheet1!D:D,Sheet1!E:E,Averages!A5))</f>
        <v>#VALUE!</v>
      </c>
      <c r="M5" t="e">
        <f>_xlfn.STDEV.S(getData(Sheet1!H:H,Sheet1!D:D,Sheet1!E:E,Averages!A5))</f>
        <v>#VALUE!</v>
      </c>
      <c r="N5" t="e" cm="1">
        <f t="array" ref="N5">countIfArray(getData(Sheet1!J:J,Sheet1!D:D,Sheet1!E:E,Averages!A5),"climb success")</f>
        <v>#VALUE!</v>
      </c>
      <c r="O5" t="e" cm="1">
        <f t="array" ref="O5">countIfArray(getData(Sheet1!J:J,Sheet1!D:D,Sheet1!E:E,Averages!A5),"climb failed")</f>
        <v>#VALUE!</v>
      </c>
      <c r="P5" t="e" cm="1">
        <f t="array" ref="P5">countIfArray(getData(Sheet1!P:P,Sheet1!D:D,Sheet1!E:E,Averages!A5),TRUE)</f>
        <v>#VALUE!</v>
      </c>
      <c r="S5" s="2" t="s">
        <v>148</v>
      </c>
      <c r="W5" t="s">
        <v>160</v>
      </c>
    </row>
    <row r="6" spans="1:23" x14ac:dyDescent="0.2">
      <c r="B6">
        <f>COUNTIF(Sheet1!E:E,Averages!A6)</f>
        <v>1</v>
      </c>
      <c r="C6" t="e">
        <f>AVERAGE(getData(Sheet1!X:X,Sheet1!D:D,Sheet1!E:E,Averages!A6))</f>
        <v>#VALUE!</v>
      </c>
      <c r="D6" t="e">
        <f>_xlfn.STDEV.S(getData(Sheet1!X:X,Sheet1!D:D,Sheet1!E:E,Averages!A6))</f>
        <v>#VALUE!</v>
      </c>
      <c r="E6" t="e">
        <f>AVERAGE(getData(Sheet1!W:W,Sheet1!D:D,Sheet1!E:E,Averages!A6))</f>
        <v>#VALUE!</v>
      </c>
      <c r="F6" t="e" cm="1">
        <f t="array" ref="F6">_xlfn.CONCAT(IF(contains(getData(Sheet1!Y:Y,Sheet1!D:D,Sheet1!E:E,Averages!A6),TRUE),"Speaker,",""),IF(contains(getData(Sheet1!Z:Z,Sheet1!D:D,Sheet1!E:E,Averages!A6),TRUE),"Amp",""))</f>
        <v>#VALUE!</v>
      </c>
      <c r="G6" t="e">
        <f>_xlfn.CONCAT(IF(OR(contains(getData(Sheet1!I:I,Sheet1!D:D,Sheet1!E:E,Averages!A6),"ground and source"),contains(getData(Sheet1!I:I,Sheet1!D:D,Sheet1!E:E,Averages!A6),"ground only")),"Ground,",""),IF(OR(contains(getData(Sheet1!I:I,Sheet1!D:D,Sheet1!E:E,Averages!A6),"ground and source"),contains(getData(Sheet1!I:I,Sheet1!D:D,Sheet1!E:E,Averages!A6),"source only")),"Source",""))</f>
        <v>#VALUE!</v>
      </c>
      <c r="H6" t="e">
        <f>AVERAGE(getData(Sheet1!U:U,Sheet1!D:D,Sheet1!E:E,Averages!A6))</f>
        <v>#VALUE!</v>
      </c>
      <c r="I6" t="e">
        <f>AVERAGE(getData(Sheet1!V:V,Sheet1!D:D,Sheet1!E:E,Averages!A6))</f>
        <v>#VALUE!</v>
      </c>
      <c r="J6" t="e">
        <f>_xlfn.STDEV.S(getData(Sheet1!H:H,Sheet1!D:D,Sheet1!E:E,Averages!A6))</f>
        <v>#VALUE!</v>
      </c>
      <c r="K6" t="e" cm="1">
        <f t="array" ref="K6">contains(getData(Sheet1!J:J,Sheet1!D:D,Sheet1!E:E,Averages!A6),"climb success")</f>
        <v>#VALUE!</v>
      </c>
      <c r="L6" t="e">
        <f>AVERAGE(getData(Sheet1!H:H,Sheet1!D:D,Sheet1!E:E,Averages!A6))</f>
        <v>#VALUE!</v>
      </c>
      <c r="M6" t="e">
        <f>_xlfn.STDEV.S(getData(Sheet1!H:H,Sheet1!D:D,Sheet1!E:E,Averages!A6))</f>
        <v>#VALUE!</v>
      </c>
      <c r="N6" t="e" cm="1">
        <f t="array" ref="N6">countIfArray(getData(Sheet1!J:J,Sheet1!D:D,Sheet1!E:E,Averages!A6),"climb success")</f>
        <v>#VALUE!</v>
      </c>
      <c r="O6" t="e" cm="1">
        <f t="array" ref="O6">countIfArray(getData(Sheet1!J:J,Sheet1!D:D,Sheet1!E:E,Averages!A6),"climb failed")</f>
        <v>#VALUE!</v>
      </c>
      <c r="P6" t="e" cm="1">
        <f t="array" ref="P6">countIfArray(getData(Sheet1!P:P,Sheet1!D:D,Sheet1!E:E,Averages!A6),TRUE)</f>
        <v>#VALUE!</v>
      </c>
      <c r="S6" s="2" t="s">
        <v>161</v>
      </c>
      <c r="U6" s="2" t="s">
        <v>162</v>
      </c>
    </row>
    <row r="7" spans="1:23" x14ac:dyDescent="0.2">
      <c r="B7">
        <f>COUNTIF(Sheet1!E:E,Averages!A7)</f>
        <v>1</v>
      </c>
      <c r="C7" t="e">
        <f>AVERAGE(getData(Sheet1!X:X,Sheet1!D:D,Sheet1!E:E,Averages!A7))</f>
        <v>#VALUE!</v>
      </c>
      <c r="D7" t="e">
        <f>_xlfn.STDEV.S(getData(Sheet1!X:X,Sheet1!D:D,Sheet1!E:E,Averages!A7))</f>
        <v>#VALUE!</v>
      </c>
      <c r="E7" t="e">
        <f>AVERAGE(getData(Sheet1!W:W,Sheet1!D:D,Sheet1!E:E,Averages!A7))</f>
        <v>#VALUE!</v>
      </c>
      <c r="F7" t="e" cm="1">
        <f t="array" ref="F7">_xlfn.CONCAT(IF(contains(getData(Sheet1!Y:Y,Sheet1!D:D,Sheet1!E:E,Averages!A7),TRUE),"Speaker,",""),IF(contains(getData(Sheet1!Z:Z,Sheet1!D:D,Sheet1!E:E,Averages!A7),TRUE),"Amp",""))</f>
        <v>#VALUE!</v>
      </c>
      <c r="G7" t="e">
        <f>_xlfn.CONCAT(IF(OR(contains(getData(Sheet1!I:I,Sheet1!D:D,Sheet1!E:E,Averages!A7),"ground and source"),contains(getData(Sheet1!I:I,Sheet1!D:D,Sheet1!E:E,Averages!A7),"ground only")),"Ground,",""),IF(OR(contains(getData(Sheet1!I:I,Sheet1!D:D,Sheet1!E:E,Averages!A7),"ground and source"),contains(getData(Sheet1!I:I,Sheet1!D:D,Sheet1!E:E,Averages!A7),"source only")),"Source",""))</f>
        <v>#VALUE!</v>
      </c>
      <c r="H7" t="e">
        <f>AVERAGE(getData(Sheet1!U:U,Sheet1!D:D,Sheet1!E:E,Averages!A7))</f>
        <v>#VALUE!</v>
      </c>
      <c r="I7" t="e">
        <f>AVERAGE(getData(Sheet1!V:V,Sheet1!D:D,Sheet1!E:E,Averages!A7))</f>
        <v>#VALUE!</v>
      </c>
      <c r="J7" t="e">
        <f>_xlfn.STDEV.S(getData(Sheet1!H:H,Sheet1!D:D,Sheet1!E:E,Averages!A7))</f>
        <v>#VALUE!</v>
      </c>
      <c r="K7" t="e" cm="1">
        <f t="array" ref="K7">contains(getData(Sheet1!J:J,Sheet1!D:D,Sheet1!E:E,Averages!A7),"climb success")</f>
        <v>#VALUE!</v>
      </c>
      <c r="L7" t="e">
        <f>AVERAGE(getData(Sheet1!H:H,Sheet1!D:D,Sheet1!E:E,Averages!A7))</f>
        <v>#VALUE!</v>
      </c>
      <c r="M7" t="e">
        <f>_xlfn.STDEV.S(getData(Sheet1!H:H,Sheet1!D:D,Sheet1!E:E,Averages!A7))</f>
        <v>#VALUE!</v>
      </c>
      <c r="N7" t="e" cm="1">
        <f t="array" ref="N7">countIfArray(getData(Sheet1!J:J,Sheet1!D:D,Sheet1!E:E,Averages!A7),"climb success")</f>
        <v>#VALUE!</v>
      </c>
      <c r="O7" t="e" cm="1">
        <f t="array" ref="O7">countIfArray(getData(Sheet1!J:J,Sheet1!D:D,Sheet1!E:E,Averages!A7),"climb failed")</f>
        <v>#VALUE!</v>
      </c>
      <c r="P7" t="e" cm="1">
        <f t="array" ref="P7">countIfArray(getData(Sheet1!P:P,Sheet1!D:D,Sheet1!E:E,Averages!A7),TRUE)</f>
        <v>#VALUE!</v>
      </c>
      <c r="S7" s="2" t="s">
        <v>163</v>
      </c>
    </row>
    <row r="8" spans="1:23" x14ac:dyDescent="0.2">
      <c r="B8">
        <f>COUNTIF(Sheet1!E:E,Averages!A8)</f>
        <v>1</v>
      </c>
      <c r="C8" t="e">
        <f>AVERAGE(getData(Sheet1!X:X,Sheet1!D:D,Sheet1!E:E,Averages!A8))</f>
        <v>#VALUE!</v>
      </c>
      <c r="D8" t="e">
        <f>_xlfn.STDEV.S(getData(Sheet1!X:X,Sheet1!D:D,Sheet1!E:E,Averages!A8))</f>
        <v>#VALUE!</v>
      </c>
      <c r="E8" t="e">
        <f>AVERAGE(getData(Sheet1!W:W,Sheet1!D:D,Sheet1!E:E,Averages!A8))</f>
        <v>#VALUE!</v>
      </c>
      <c r="F8" t="e" cm="1">
        <f t="array" ref="F8">_xlfn.CONCAT(IF(contains(getData(Sheet1!Y:Y,Sheet1!D:D,Sheet1!E:E,Averages!A8),TRUE),"Speaker,",""),IF(contains(getData(Sheet1!Z:Z,Sheet1!D:D,Sheet1!E:E,Averages!A8),TRUE),"Amp",""))</f>
        <v>#VALUE!</v>
      </c>
      <c r="G8" t="e">
        <f>_xlfn.CONCAT(IF(OR(contains(getData(Sheet1!I:I,Sheet1!D:D,Sheet1!E:E,Averages!A8),"ground and source"),contains(getData(Sheet1!I:I,Sheet1!D:D,Sheet1!E:E,Averages!A8),"ground only")),"Ground,",""),IF(OR(contains(getData(Sheet1!I:I,Sheet1!D:D,Sheet1!E:E,Averages!A8),"ground and source"),contains(getData(Sheet1!I:I,Sheet1!D:D,Sheet1!E:E,Averages!A8),"source only")),"Source",""))</f>
        <v>#VALUE!</v>
      </c>
      <c r="H8" t="e">
        <f>AVERAGE(getData(Sheet1!U:U,Sheet1!D:D,Sheet1!E:E,Averages!A8))</f>
        <v>#VALUE!</v>
      </c>
      <c r="I8" t="e">
        <f>AVERAGE(getData(Sheet1!V:V,Sheet1!D:D,Sheet1!E:E,Averages!A8))</f>
        <v>#VALUE!</v>
      </c>
      <c r="J8" t="e">
        <f>_xlfn.STDEV.S(getData(Sheet1!H:H,Sheet1!D:D,Sheet1!E:E,Averages!A8))</f>
        <v>#VALUE!</v>
      </c>
      <c r="K8" t="e" cm="1">
        <f t="array" ref="K8">contains(getData(Sheet1!J:J,Sheet1!D:D,Sheet1!E:E,Averages!A8),"climb success")</f>
        <v>#VALUE!</v>
      </c>
      <c r="L8" t="e">
        <f>AVERAGE(getData(Sheet1!H:H,Sheet1!D:D,Sheet1!E:E,Averages!A8))</f>
        <v>#VALUE!</v>
      </c>
      <c r="M8" t="e">
        <f>_xlfn.STDEV.S(getData(Sheet1!H:H,Sheet1!D:D,Sheet1!E:E,Averages!A8))</f>
        <v>#VALUE!</v>
      </c>
      <c r="N8" t="e" cm="1">
        <f t="array" ref="N8">countIfArray(getData(Sheet1!J:J,Sheet1!D:D,Sheet1!E:E,Averages!A8),"climb success")</f>
        <v>#VALUE!</v>
      </c>
      <c r="O8" t="e" cm="1">
        <f t="array" ref="O8">countIfArray(getData(Sheet1!J:J,Sheet1!D:D,Sheet1!E:E,Averages!A8),"climb failed")</f>
        <v>#VALUE!</v>
      </c>
      <c r="P8" t="e" cm="1">
        <f t="array" ref="P8">countIfArray(getData(Sheet1!P:P,Sheet1!D:D,Sheet1!E:E,Averages!A8),TRUE)</f>
        <v>#VALUE!</v>
      </c>
    </row>
    <row r="9" spans="1:23" x14ac:dyDescent="0.2">
      <c r="B9">
        <f>COUNTIF(Sheet1!E:E,Averages!A9)</f>
        <v>1</v>
      </c>
      <c r="C9" t="e">
        <f>AVERAGE(getData(Sheet1!X:X,Sheet1!D:D,Sheet1!E:E,Averages!A9))</f>
        <v>#VALUE!</v>
      </c>
      <c r="D9" t="e">
        <f>_xlfn.STDEV.S(getData(Sheet1!X:X,Sheet1!D:D,Sheet1!E:E,Averages!A9))</f>
        <v>#VALUE!</v>
      </c>
      <c r="E9" t="e">
        <f>AVERAGE(getData(Sheet1!W:W,Sheet1!D:D,Sheet1!E:E,Averages!A9))</f>
        <v>#VALUE!</v>
      </c>
      <c r="F9" t="e" cm="1">
        <f t="array" ref="F9">_xlfn.CONCAT(IF(contains(getData(Sheet1!Y:Y,Sheet1!D:D,Sheet1!E:E,Averages!A9),TRUE),"Speaker,",""),IF(contains(getData(Sheet1!Z:Z,Sheet1!D:D,Sheet1!E:E,Averages!A9),TRUE),"Amp",""))</f>
        <v>#VALUE!</v>
      </c>
      <c r="G9" t="e">
        <f>_xlfn.CONCAT(IF(OR(contains(getData(Sheet1!I:I,Sheet1!D:D,Sheet1!E:E,Averages!A9),"ground and source"),contains(getData(Sheet1!I:I,Sheet1!D:D,Sheet1!E:E,Averages!A9),"ground only")),"Ground,",""),IF(OR(contains(getData(Sheet1!I:I,Sheet1!D:D,Sheet1!E:E,Averages!A9),"ground and source"),contains(getData(Sheet1!I:I,Sheet1!D:D,Sheet1!E:E,Averages!A9),"source only")),"Source",""))</f>
        <v>#VALUE!</v>
      </c>
      <c r="H9" t="e">
        <f>AVERAGE(getData(Sheet1!U:U,Sheet1!D:D,Sheet1!E:E,Averages!A9))</f>
        <v>#VALUE!</v>
      </c>
      <c r="I9" t="e">
        <f>AVERAGE(getData(Sheet1!V:V,Sheet1!D:D,Sheet1!E:E,Averages!A9))</f>
        <v>#VALUE!</v>
      </c>
      <c r="J9" t="e">
        <f>_xlfn.STDEV.S(getData(Sheet1!H:H,Sheet1!D:D,Sheet1!E:E,Averages!A9))</f>
        <v>#VALUE!</v>
      </c>
      <c r="K9" t="e" cm="1">
        <f t="array" ref="K9">contains(getData(Sheet1!J:J,Sheet1!D:D,Sheet1!E:E,Averages!A9),"climb success")</f>
        <v>#VALUE!</v>
      </c>
      <c r="L9" t="e">
        <f>AVERAGE(getData(Sheet1!H:H,Sheet1!D:D,Sheet1!E:E,Averages!A9))</f>
        <v>#VALUE!</v>
      </c>
      <c r="M9" t="e">
        <f>_xlfn.STDEV.S(getData(Sheet1!H:H,Sheet1!D:D,Sheet1!E:E,Averages!A9))</f>
        <v>#VALUE!</v>
      </c>
      <c r="N9" t="e" cm="1">
        <f t="array" ref="N9">countIfArray(getData(Sheet1!J:J,Sheet1!D:D,Sheet1!E:E,Averages!A9),"climb success")</f>
        <v>#VALUE!</v>
      </c>
      <c r="O9" t="e" cm="1">
        <f t="array" ref="O9">countIfArray(getData(Sheet1!J:J,Sheet1!D:D,Sheet1!E:E,Averages!A9),"climb failed")</f>
        <v>#VALUE!</v>
      </c>
      <c r="P9" t="e" cm="1">
        <f t="array" ref="P9">countIfArray(getData(Sheet1!P:P,Sheet1!D:D,Sheet1!E:E,Averages!A9),TRUE)</f>
        <v>#VALUE!</v>
      </c>
      <c r="S9" t="s">
        <v>164</v>
      </c>
    </row>
    <row r="10" spans="1:23" x14ac:dyDescent="0.2">
      <c r="B10">
        <f>COUNTIF(Sheet1!E:E,Averages!A10)</f>
        <v>1</v>
      </c>
      <c r="C10" t="e">
        <f>AVERAGE(getData(Sheet1!X:X,Sheet1!D:D,Sheet1!E:E,Averages!A10))</f>
        <v>#VALUE!</v>
      </c>
      <c r="D10" t="e">
        <f>_xlfn.STDEV.S(getData(Sheet1!X:X,Sheet1!D:D,Sheet1!E:E,Averages!A10))</f>
        <v>#VALUE!</v>
      </c>
      <c r="E10" t="e">
        <f>AVERAGE(getData(Sheet1!W:W,Sheet1!D:D,Sheet1!E:E,Averages!A10))</f>
        <v>#VALUE!</v>
      </c>
      <c r="F10" t="e" cm="1">
        <f t="array" ref="F10">_xlfn.CONCAT(IF(contains(getData(Sheet1!Y:Y,Sheet1!D:D,Sheet1!E:E,Averages!A10),TRUE),"Speaker,",""),IF(contains(getData(Sheet1!Z:Z,Sheet1!D:D,Sheet1!E:E,Averages!A10),TRUE),"Amp",""))</f>
        <v>#VALUE!</v>
      </c>
      <c r="G10" t="e">
        <f>_xlfn.CONCAT(IF(OR(contains(getData(Sheet1!I:I,Sheet1!D:D,Sheet1!E:E,Averages!A10),"ground and source"),contains(getData(Sheet1!I:I,Sheet1!D:D,Sheet1!E:E,Averages!A10),"ground only")),"Ground,",""),IF(OR(contains(getData(Sheet1!I:I,Sheet1!D:D,Sheet1!E:E,Averages!A10),"ground and source"),contains(getData(Sheet1!I:I,Sheet1!D:D,Sheet1!E:E,Averages!A10),"source only")),"Source",""))</f>
        <v>#VALUE!</v>
      </c>
      <c r="H10" t="e">
        <f>AVERAGE(getData(Sheet1!U:U,Sheet1!D:D,Sheet1!E:E,Averages!A10))</f>
        <v>#VALUE!</v>
      </c>
      <c r="I10" t="e">
        <f>AVERAGE(getData(Sheet1!V:V,Sheet1!D:D,Sheet1!E:E,Averages!A10))</f>
        <v>#VALUE!</v>
      </c>
      <c r="J10" t="e">
        <f>_xlfn.STDEV.S(getData(Sheet1!H:H,Sheet1!D:D,Sheet1!E:E,Averages!A10))</f>
        <v>#VALUE!</v>
      </c>
      <c r="K10" t="e" cm="1">
        <f t="array" ref="K10">contains(getData(Sheet1!J:J,Sheet1!D:D,Sheet1!E:E,Averages!A10),"climb success")</f>
        <v>#VALUE!</v>
      </c>
      <c r="L10" t="e">
        <f>AVERAGE(getData(Sheet1!H:H,Sheet1!D:D,Sheet1!E:E,Averages!A10))</f>
        <v>#VALUE!</v>
      </c>
      <c r="M10" t="e">
        <f>_xlfn.STDEV.S(getData(Sheet1!H:H,Sheet1!D:D,Sheet1!E:E,Averages!A10))</f>
        <v>#VALUE!</v>
      </c>
      <c r="N10" t="e" cm="1">
        <f t="array" ref="N10">countIfArray(getData(Sheet1!J:J,Sheet1!D:D,Sheet1!E:E,Averages!A10),"climb success")</f>
        <v>#VALUE!</v>
      </c>
      <c r="O10" t="e" cm="1">
        <f t="array" ref="O10">countIfArray(getData(Sheet1!J:J,Sheet1!D:D,Sheet1!E:E,Averages!A10),"climb failed")</f>
        <v>#VALUE!</v>
      </c>
      <c r="P10" t="e" cm="1">
        <f t="array" ref="P10">countIfArray(getData(Sheet1!P:P,Sheet1!D:D,Sheet1!E:E,Averages!A10),TRUE)</f>
        <v>#VALUE!</v>
      </c>
      <c r="W10" t="s">
        <v>165</v>
      </c>
    </row>
    <row r="11" spans="1:23" x14ac:dyDescent="0.2">
      <c r="B11">
        <f>COUNTIF(Sheet1!E:E,Averages!A11)</f>
        <v>1</v>
      </c>
      <c r="C11" t="e">
        <f>AVERAGE(getData(Sheet1!X:X,Sheet1!D:D,Sheet1!E:E,Averages!A11))</f>
        <v>#VALUE!</v>
      </c>
      <c r="D11" t="e">
        <f>_xlfn.STDEV.S(getData(Sheet1!X:X,Sheet1!D:D,Sheet1!E:E,Averages!A11))</f>
        <v>#VALUE!</v>
      </c>
      <c r="E11" t="e">
        <f>AVERAGE(getData(Sheet1!W:W,Sheet1!D:D,Sheet1!E:E,Averages!A11))</f>
        <v>#VALUE!</v>
      </c>
      <c r="F11" t="e" cm="1">
        <f t="array" ref="F11">_xlfn.CONCAT(IF(contains(getData(Sheet1!Y:Y,Sheet1!D:D,Sheet1!E:E,Averages!A11),TRUE),"Speaker,",""),IF(contains(getData(Sheet1!Z:Z,Sheet1!D:D,Sheet1!E:E,Averages!A11),TRUE),"Amp",""))</f>
        <v>#VALUE!</v>
      </c>
      <c r="G11" t="e">
        <f>_xlfn.CONCAT(IF(OR(contains(getData(Sheet1!I:I,Sheet1!D:D,Sheet1!E:E,Averages!A11),"ground and source"),contains(getData(Sheet1!I:I,Sheet1!D:D,Sheet1!E:E,Averages!A11),"ground only")),"Ground,",""),IF(OR(contains(getData(Sheet1!I:I,Sheet1!D:D,Sheet1!E:E,Averages!A11),"ground and source"),contains(getData(Sheet1!I:I,Sheet1!D:D,Sheet1!E:E,Averages!A11),"source only")),"Source",""))</f>
        <v>#VALUE!</v>
      </c>
      <c r="H11" t="e">
        <f>AVERAGE(getData(Sheet1!U:U,Sheet1!D:D,Sheet1!E:E,Averages!A11))</f>
        <v>#VALUE!</v>
      </c>
      <c r="I11" t="e">
        <f>AVERAGE(getData(Sheet1!V:V,Sheet1!D:D,Sheet1!E:E,Averages!A11))</f>
        <v>#VALUE!</v>
      </c>
      <c r="J11" t="e">
        <f>_xlfn.STDEV.S(getData(Sheet1!H:H,Sheet1!D:D,Sheet1!E:E,Averages!A11))</f>
        <v>#VALUE!</v>
      </c>
      <c r="K11" t="e" cm="1">
        <f t="array" ref="K11">contains(getData(Sheet1!J:J,Sheet1!D:D,Sheet1!E:E,Averages!A11),"climb success")</f>
        <v>#VALUE!</v>
      </c>
      <c r="L11" t="e">
        <f>AVERAGE(getData(Sheet1!H:H,Sheet1!D:D,Sheet1!E:E,Averages!A11))</f>
        <v>#VALUE!</v>
      </c>
      <c r="M11" t="e">
        <f>_xlfn.STDEV.S(getData(Sheet1!H:H,Sheet1!D:D,Sheet1!E:E,Averages!A11))</f>
        <v>#VALUE!</v>
      </c>
      <c r="N11" t="e" cm="1">
        <f t="array" ref="N11">countIfArray(getData(Sheet1!J:J,Sheet1!D:D,Sheet1!E:E,Averages!A11),"climb success")</f>
        <v>#VALUE!</v>
      </c>
      <c r="O11" t="e" cm="1">
        <f t="array" ref="O11">countIfArray(getData(Sheet1!J:J,Sheet1!D:D,Sheet1!E:E,Averages!A11),"climb failed")</f>
        <v>#VALUE!</v>
      </c>
      <c r="P11" t="e" cm="1">
        <f t="array" ref="P11">countIfArray(getData(Sheet1!P:P,Sheet1!D:D,Sheet1!E:E,Averages!A11),TRUE)</f>
        <v>#VALUE!</v>
      </c>
    </row>
    <row r="12" spans="1:23" x14ac:dyDescent="0.2">
      <c r="B12">
        <f>COUNTIF(Sheet1!E:E,Averages!A12)</f>
        <v>1</v>
      </c>
      <c r="C12" t="e">
        <f>AVERAGE(getData(Sheet1!X:X,Sheet1!D:D,Sheet1!E:E,Averages!A12))</f>
        <v>#VALUE!</v>
      </c>
      <c r="D12" t="e">
        <f>_xlfn.STDEV.S(getData(Sheet1!X:X,Sheet1!D:D,Sheet1!E:E,Averages!A12))</f>
        <v>#VALUE!</v>
      </c>
      <c r="E12" t="e">
        <f>AVERAGE(getData(Sheet1!W:W,Sheet1!D:D,Sheet1!E:E,Averages!A12))</f>
        <v>#VALUE!</v>
      </c>
      <c r="F12" t="e" cm="1">
        <f t="array" ref="F12">_xlfn.CONCAT(IF(contains(getData(Sheet1!Y:Y,Sheet1!D:D,Sheet1!E:E,Averages!A12),TRUE),"Speaker,",""),IF(contains(getData(Sheet1!Z:Z,Sheet1!D:D,Sheet1!E:E,Averages!A12),TRUE),"Amp",""))</f>
        <v>#VALUE!</v>
      </c>
      <c r="G12" t="e">
        <f>_xlfn.CONCAT(IF(OR(contains(getData(Sheet1!I:I,Sheet1!D:D,Sheet1!E:E,Averages!A12),"ground and source"),contains(getData(Sheet1!I:I,Sheet1!D:D,Sheet1!E:E,Averages!A12),"ground only")),"Ground,",""),IF(OR(contains(getData(Sheet1!I:I,Sheet1!D:D,Sheet1!E:E,Averages!A12),"ground and source"),contains(getData(Sheet1!I:I,Sheet1!D:D,Sheet1!E:E,Averages!A12),"source only")),"Source",""))</f>
        <v>#VALUE!</v>
      </c>
      <c r="H12" t="e">
        <f>AVERAGE(getData(Sheet1!U:U,Sheet1!D:D,Sheet1!E:E,Averages!A12))</f>
        <v>#VALUE!</v>
      </c>
      <c r="I12" t="e">
        <f>AVERAGE(getData(Sheet1!V:V,Sheet1!D:D,Sheet1!E:E,Averages!A12))</f>
        <v>#VALUE!</v>
      </c>
      <c r="J12" t="e">
        <f>_xlfn.STDEV.S(getData(Sheet1!H:H,Sheet1!D:D,Sheet1!E:E,Averages!A12))</f>
        <v>#VALUE!</v>
      </c>
      <c r="K12" t="e" cm="1">
        <f t="array" ref="K12">contains(getData(Sheet1!J:J,Sheet1!D:D,Sheet1!E:E,Averages!A12),"climb success")</f>
        <v>#VALUE!</v>
      </c>
      <c r="L12" t="e">
        <f>AVERAGE(getData(Sheet1!H:H,Sheet1!D:D,Sheet1!E:E,Averages!A12))</f>
        <v>#VALUE!</v>
      </c>
      <c r="M12" t="e">
        <f>_xlfn.STDEV.S(getData(Sheet1!H:H,Sheet1!D:D,Sheet1!E:E,Averages!A12))</f>
        <v>#VALUE!</v>
      </c>
      <c r="N12" t="e" cm="1">
        <f t="array" ref="N12">countIfArray(getData(Sheet1!J:J,Sheet1!D:D,Sheet1!E:E,Averages!A12),"climb success")</f>
        <v>#VALUE!</v>
      </c>
      <c r="O12" t="e" cm="1">
        <f t="array" ref="O12">countIfArray(getData(Sheet1!J:J,Sheet1!D:D,Sheet1!E:E,Averages!A12),"climb failed")</f>
        <v>#VALUE!</v>
      </c>
      <c r="P12" t="e" cm="1">
        <f t="array" ref="P12">countIfArray(getData(Sheet1!P:P,Sheet1!D:D,Sheet1!E:E,Averages!A12),TRUE)</f>
        <v>#VALUE!</v>
      </c>
      <c r="W12" t="s">
        <v>166</v>
      </c>
    </row>
    <row r="13" spans="1:23" x14ac:dyDescent="0.2">
      <c r="B13">
        <f>COUNTIF(Sheet1!E:E,Averages!A13)</f>
        <v>1</v>
      </c>
      <c r="C13" t="e">
        <f>AVERAGE(getData(Sheet1!X:X,Sheet1!D:D,Sheet1!E:E,Averages!A13))</f>
        <v>#VALUE!</v>
      </c>
      <c r="D13" t="e">
        <f>_xlfn.STDEV.S(getData(Sheet1!X:X,Sheet1!D:D,Sheet1!E:E,Averages!A13))</f>
        <v>#VALUE!</v>
      </c>
      <c r="E13" t="e">
        <f>AVERAGE(getData(Sheet1!W:W,Sheet1!D:D,Sheet1!E:E,Averages!A13))</f>
        <v>#VALUE!</v>
      </c>
      <c r="F13" t="e" cm="1">
        <f t="array" ref="F13">_xlfn.CONCAT(IF(contains(getData(Sheet1!Y:Y,Sheet1!D:D,Sheet1!E:E,Averages!A13),TRUE),"Speaker,",""),IF(contains(getData(Sheet1!Z:Z,Sheet1!D:D,Sheet1!E:E,Averages!A13),TRUE),"Amp",""))</f>
        <v>#VALUE!</v>
      </c>
      <c r="G13" t="e">
        <f>_xlfn.CONCAT(IF(OR(contains(getData(Sheet1!I:I,Sheet1!D:D,Sheet1!E:E,Averages!A13),"ground and source"),contains(getData(Sheet1!I:I,Sheet1!D:D,Sheet1!E:E,Averages!A13),"ground only")),"Ground,",""),IF(OR(contains(getData(Sheet1!I:I,Sheet1!D:D,Sheet1!E:E,Averages!A13),"ground and source"),contains(getData(Sheet1!I:I,Sheet1!D:D,Sheet1!E:E,Averages!A13),"source only")),"Source",""))</f>
        <v>#VALUE!</v>
      </c>
      <c r="H13" t="e">
        <f>AVERAGE(getData(Sheet1!U:U,Sheet1!D:D,Sheet1!E:E,Averages!A13))</f>
        <v>#VALUE!</v>
      </c>
      <c r="I13" t="e">
        <f>AVERAGE(getData(Sheet1!V:V,Sheet1!D:D,Sheet1!E:E,Averages!A13))</f>
        <v>#VALUE!</v>
      </c>
      <c r="J13" t="e">
        <f>_xlfn.STDEV.S(getData(Sheet1!H:H,Sheet1!D:D,Sheet1!E:E,Averages!A13))</f>
        <v>#VALUE!</v>
      </c>
      <c r="K13" t="e" cm="1">
        <f t="array" ref="K13">contains(getData(Sheet1!J:J,Sheet1!D:D,Sheet1!E:E,Averages!A13),"climb success")</f>
        <v>#VALUE!</v>
      </c>
      <c r="L13" t="e">
        <f>AVERAGE(getData(Sheet1!H:H,Sheet1!D:D,Sheet1!E:E,Averages!A13))</f>
        <v>#VALUE!</v>
      </c>
      <c r="M13" t="e">
        <f>_xlfn.STDEV.S(getData(Sheet1!H:H,Sheet1!D:D,Sheet1!E:E,Averages!A13))</f>
        <v>#VALUE!</v>
      </c>
      <c r="N13" t="e" cm="1">
        <f t="array" ref="N13">countIfArray(getData(Sheet1!J:J,Sheet1!D:D,Sheet1!E:E,Averages!A13),"climb success")</f>
        <v>#VALUE!</v>
      </c>
      <c r="O13" t="e" cm="1">
        <f t="array" ref="O13">countIfArray(getData(Sheet1!J:J,Sheet1!D:D,Sheet1!E:E,Averages!A13),"climb failed")</f>
        <v>#VALUE!</v>
      </c>
      <c r="P13" t="e" cm="1">
        <f t="array" ref="P13">countIfArray(getData(Sheet1!P:P,Sheet1!D:D,Sheet1!E:E,Averages!A13),TRUE)</f>
        <v>#VALUE!</v>
      </c>
    </row>
    <row r="14" spans="1:23" x14ac:dyDescent="0.2">
      <c r="B14">
        <f>COUNTIF(Sheet1!E:E,Averages!A14)</f>
        <v>1</v>
      </c>
      <c r="C14" t="e">
        <f>AVERAGE(getData(Sheet1!X:X,Sheet1!D:D,Sheet1!E:E,Averages!A14))</f>
        <v>#VALUE!</v>
      </c>
      <c r="D14" t="e">
        <f>_xlfn.STDEV.S(getData(Sheet1!X:X,Sheet1!D:D,Sheet1!E:E,Averages!A14))</f>
        <v>#VALUE!</v>
      </c>
      <c r="E14" t="e">
        <f>AVERAGE(getData(Sheet1!W:W,Sheet1!D:D,Sheet1!E:E,Averages!A14))</f>
        <v>#VALUE!</v>
      </c>
      <c r="F14" t="e" cm="1">
        <f t="array" ref="F14">_xlfn.CONCAT(IF(contains(getData(Sheet1!Y:Y,Sheet1!D:D,Sheet1!E:E,Averages!A14),TRUE),"Speaker,",""),IF(contains(getData(Sheet1!Z:Z,Sheet1!D:D,Sheet1!E:E,Averages!A14),TRUE),"Amp",""))</f>
        <v>#VALUE!</v>
      </c>
      <c r="G14" t="e">
        <f>_xlfn.CONCAT(IF(OR(contains(getData(Sheet1!I:I,Sheet1!D:D,Sheet1!E:E,Averages!A14),"ground and source"),contains(getData(Sheet1!I:I,Sheet1!D:D,Sheet1!E:E,Averages!A14),"ground only")),"Ground,",""),IF(OR(contains(getData(Sheet1!I:I,Sheet1!D:D,Sheet1!E:E,Averages!A14),"ground and source"),contains(getData(Sheet1!I:I,Sheet1!D:D,Sheet1!E:E,Averages!A14),"source only")),"Source",""))</f>
        <v>#VALUE!</v>
      </c>
      <c r="H14" t="e">
        <f>AVERAGE(getData(Sheet1!U:U,Sheet1!D:D,Sheet1!E:E,Averages!A14))</f>
        <v>#VALUE!</v>
      </c>
      <c r="I14" t="e">
        <f>AVERAGE(getData(Sheet1!V:V,Sheet1!D:D,Sheet1!E:E,Averages!A14))</f>
        <v>#VALUE!</v>
      </c>
      <c r="J14" t="e">
        <f>_xlfn.STDEV.S(getData(Sheet1!H:H,Sheet1!D:D,Sheet1!E:E,Averages!A14))</f>
        <v>#VALUE!</v>
      </c>
      <c r="K14" t="e" cm="1">
        <f t="array" ref="K14">contains(getData(Sheet1!J:J,Sheet1!D:D,Sheet1!E:E,Averages!A14),"climb success")</f>
        <v>#VALUE!</v>
      </c>
      <c r="L14" t="e">
        <f>AVERAGE(getData(Sheet1!H:H,Sheet1!D:D,Sheet1!E:E,Averages!A14))</f>
        <v>#VALUE!</v>
      </c>
      <c r="M14" t="e">
        <f>_xlfn.STDEV.S(getData(Sheet1!H:H,Sheet1!D:D,Sheet1!E:E,Averages!A14))</f>
        <v>#VALUE!</v>
      </c>
      <c r="N14" t="e" cm="1">
        <f t="array" ref="N14">countIfArray(getData(Sheet1!J:J,Sheet1!D:D,Sheet1!E:E,Averages!A14),"climb success")</f>
        <v>#VALUE!</v>
      </c>
      <c r="O14" t="e" cm="1">
        <f t="array" ref="O14">countIfArray(getData(Sheet1!J:J,Sheet1!D:D,Sheet1!E:E,Averages!A14),"climb failed")</f>
        <v>#VALUE!</v>
      </c>
      <c r="P14" t="e" cm="1">
        <f t="array" ref="P14">countIfArray(getData(Sheet1!P:P,Sheet1!D:D,Sheet1!E:E,Averages!A14),TRUE)</f>
        <v>#VALUE!</v>
      </c>
    </row>
    <row r="15" spans="1:23" x14ac:dyDescent="0.2">
      <c r="B15">
        <f>COUNTIF(Sheet1!E:E,Averages!A15)</f>
        <v>1</v>
      </c>
      <c r="C15" t="e">
        <f>AVERAGE(getData(Sheet1!X:X,Sheet1!D:D,Sheet1!E:E,Averages!A15))</f>
        <v>#VALUE!</v>
      </c>
      <c r="D15" t="e">
        <f>_xlfn.STDEV.S(getData(Sheet1!X:X,Sheet1!D:D,Sheet1!E:E,Averages!A15))</f>
        <v>#VALUE!</v>
      </c>
      <c r="E15" t="e">
        <f>AVERAGE(getData(Sheet1!W:W,Sheet1!D:D,Sheet1!E:E,Averages!A15))</f>
        <v>#VALUE!</v>
      </c>
      <c r="F15" t="e" cm="1">
        <f t="array" ref="F15">_xlfn.CONCAT(IF(contains(getData(Sheet1!Y:Y,Sheet1!D:D,Sheet1!E:E,Averages!A15),TRUE),"Speaker,",""),IF(contains(getData(Sheet1!Z:Z,Sheet1!D:D,Sheet1!E:E,Averages!A15),TRUE),"Amp",""))</f>
        <v>#VALUE!</v>
      </c>
      <c r="G15" t="e">
        <f>_xlfn.CONCAT(IF(OR(contains(getData(Sheet1!I:I,Sheet1!D:D,Sheet1!E:E,Averages!A15),"ground and source"),contains(getData(Sheet1!I:I,Sheet1!D:D,Sheet1!E:E,Averages!A15),"ground only")),"Ground,",""),IF(OR(contains(getData(Sheet1!I:I,Sheet1!D:D,Sheet1!E:E,Averages!A15),"ground and source"),contains(getData(Sheet1!I:I,Sheet1!D:D,Sheet1!E:E,Averages!A15),"source only")),"Source",""))</f>
        <v>#VALUE!</v>
      </c>
      <c r="H15" t="e">
        <f>AVERAGE(getData(Sheet1!U:U,Sheet1!D:D,Sheet1!E:E,Averages!A15))</f>
        <v>#VALUE!</v>
      </c>
      <c r="I15" t="e">
        <f>AVERAGE(getData(Sheet1!V:V,Sheet1!D:D,Sheet1!E:E,Averages!A15))</f>
        <v>#VALUE!</v>
      </c>
      <c r="J15" t="e">
        <f>_xlfn.STDEV.S(getData(Sheet1!H:H,Sheet1!D:D,Sheet1!E:E,Averages!A15))</f>
        <v>#VALUE!</v>
      </c>
      <c r="K15" t="e" cm="1">
        <f t="array" ref="K15">contains(getData(Sheet1!J:J,Sheet1!D:D,Sheet1!E:E,Averages!A15),"climb success")</f>
        <v>#VALUE!</v>
      </c>
      <c r="L15" t="e">
        <f>AVERAGE(getData(Sheet1!H:H,Sheet1!D:D,Sheet1!E:E,Averages!A15))</f>
        <v>#VALUE!</v>
      </c>
      <c r="M15" t="e">
        <f>_xlfn.STDEV.S(getData(Sheet1!H:H,Sheet1!D:D,Sheet1!E:E,Averages!A15))</f>
        <v>#VALUE!</v>
      </c>
      <c r="N15" t="e" cm="1">
        <f t="array" ref="N15">countIfArray(getData(Sheet1!J:J,Sheet1!D:D,Sheet1!E:E,Averages!A15),"climb success")</f>
        <v>#VALUE!</v>
      </c>
      <c r="O15" t="e" cm="1">
        <f t="array" ref="O15">countIfArray(getData(Sheet1!J:J,Sheet1!D:D,Sheet1!E:E,Averages!A15),"climb failed")</f>
        <v>#VALUE!</v>
      </c>
      <c r="P15" t="e" cm="1">
        <f t="array" ref="P15">countIfArray(getData(Sheet1!P:P,Sheet1!D:D,Sheet1!E:E,Averages!A15),TRUE)</f>
        <v>#VALUE!</v>
      </c>
    </row>
    <row r="16" spans="1:23" x14ac:dyDescent="0.2">
      <c r="B16">
        <f>COUNTIF(Sheet1!E:E,Averages!A16)</f>
        <v>1</v>
      </c>
      <c r="C16" t="e">
        <f>AVERAGE(getData(Sheet1!X:X,Sheet1!D:D,Sheet1!E:E,Averages!A16))</f>
        <v>#VALUE!</v>
      </c>
      <c r="D16" t="e">
        <f>_xlfn.STDEV.S(getData(Sheet1!X:X,Sheet1!D:D,Sheet1!E:E,Averages!A16))</f>
        <v>#VALUE!</v>
      </c>
      <c r="E16" t="e">
        <f>AVERAGE(getData(Sheet1!W:W,Sheet1!D:D,Sheet1!E:E,Averages!A16))</f>
        <v>#VALUE!</v>
      </c>
      <c r="F16" t="e" cm="1">
        <f t="array" ref="F16">_xlfn.CONCAT(IF(contains(getData(Sheet1!Y:Y,Sheet1!D:D,Sheet1!E:E,Averages!A16),TRUE),"Speaker,",""),IF(contains(getData(Sheet1!Z:Z,Sheet1!D:D,Sheet1!E:E,Averages!A16),TRUE),"Amp",""))</f>
        <v>#VALUE!</v>
      </c>
      <c r="G16" t="e">
        <f>_xlfn.CONCAT(IF(OR(contains(getData(Sheet1!I:I,Sheet1!D:D,Sheet1!E:E,Averages!A16),"ground and source"),contains(getData(Sheet1!I:I,Sheet1!D:D,Sheet1!E:E,Averages!A16),"ground only")),"Ground,",""),IF(OR(contains(getData(Sheet1!I:I,Sheet1!D:D,Sheet1!E:E,Averages!A16),"ground and source"),contains(getData(Sheet1!I:I,Sheet1!D:D,Sheet1!E:E,Averages!A16),"source only")),"Source",""))</f>
        <v>#VALUE!</v>
      </c>
      <c r="H16" t="e">
        <f>AVERAGE(getData(Sheet1!U:U,Sheet1!D:D,Sheet1!E:E,Averages!A16))</f>
        <v>#VALUE!</v>
      </c>
      <c r="I16" t="e">
        <f>AVERAGE(getData(Sheet1!V:V,Sheet1!D:D,Sheet1!E:E,Averages!A16))</f>
        <v>#VALUE!</v>
      </c>
      <c r="J16" t="e">
        <f>_xlfn.STDEV.S(getData(Sheet1!H:H,Sheet1!D:D,Sheet1!E:E,Averages!A16))</f>
        <v>#VALUE!</v>
      </c>
      <c r="K16" t="e" cm="1">
        <f t="array" ref="K16">contains(getData(Sheet1!J:J,Sheet1!D:D,Sheet1!E:E,Averages!A16),"climb success")</f>
        <v>#VALUE!</v>
      </c>
      <c r="L16" t="e">
        <f>AVERAGE(getData(Sheet1!H:H,Sheet1!D:D,Sheet1!E:E,Averages!A16))</f>
        <v>#VALUE!</v>
      </c>
      <c r="M16" t="e">
        <f>_xlfn.STDEV.S(getData(Sheet1!H:H,Sheet1!D:D,Sheet1!E:E,Averages!A16))</f>
        <v>#VALUE!</v>
      </c>
      <c r="N16" t="e" cm="1">
        <f t="array" ref="N16">countIfArray(getData(Sheet1!J:J,Sheet1!D:D,Sheet1!E:E,Averages!A16),"climb success")</f>
        <v>#VALUE!</v>
      </c>
      <c r="O16" t="e" cm="1">
        <f t="array" ref="O16">countIfArray(getData(Sheet1!J:J,Sheet1!D:D,Sheet1!E:E,Averages!A16),"climb failed")</f>
        <v>#VALUE!</v>
      </c>
      <c r="P16" t="e" cm="1">
        <f t="array" ref="P16">countIfArray(getData(Sheet1!P:P,Sheet1!D:D,Sheet1!E:E,Averages!A16),TRUE)</f>
        <v>#VALUE!</v>
      </c>
    </row>
    <row r="17" spans="2:16" x14ac:dyDescent="0.2">
      <c r="B17">
        <f>COUNTIF(Sheet1!E:E,Averages!A17)</f>
        <v>1</v>
      </c>
      <c r="C17" t="e">
        <f>AVERAGE(getData(Sheet1!X:X,Sheet1!D:D,Sheet1!E:E,Averages!A17))</f>
        <v>#VALUE!</v>
      </c>
      <c r="D17" t="e">
        <f>_xlfn.STDEV.S(getData(Sheet1!X:X,Sheet1!D:D,Sheet1!E:E,Averages!A17))</f>
        <v>#VALUE!</v>
      </c>
      <c r="E17" t="e">
        <f>AVERAGE(getData(Sheet1!W:W,Sheet1!D:D,Sheet1!E:E,Averages!A17))</f>
        <v>#VALUE!</v>
      </c>
      <c r="F17" t="e" cm="1">
        <f t="array" ref="F17">_xlfn.CONCAT(IF(contains(getData(Sheet1!Y:Y,Sheet1!D:D,Sheet1!E:E,Averages!A17),TRUE),"Speaker,",""),IF(contains(getData(Sheet1!Z:Z,Sheet1!D:D,Sheet1!E:E,Averages!A17),TRUE),"Amp",""))</f>
        <v>#VALUE!</v>
      </c>
      <c r="G17" t="e">
        <f>_xlfn.CONCAT(IF(OR(contains(getData(Sheet1!I:I,Sheet1!D:D,Sheet1!E:E,Averages!A17),"ground and source"),contains(getData(Sheet1!I:I,Sheet1!D:D,Sheet1!E:E,Averages!A17),"ground only")),"Ground,",""),IF(OR(contains(getData(Sheet1!I:I,Sheet1!D:D,Sheet1!E:E,Averages!A17),"ground and source"),contains(getData(Sheet1!I:I,Sheet1!D:D,Sheet1!E:E,Averages!A17),"source only")),"Source",""))</f>
        <v>#VALUE!</v>
      </c>
      <c r="H17" t="e">
        <f>AVERAGE(getData(Sheet1!U:U,Sheet1!D:D,Sheet1!E:E,Averages!A17))</f>
        <v>#VALUE!</v>
      </c>
      <c r="I17" t="e">
        <f>AVERAGE(getData(Sheet1!V:V,Sheet1!D:D,Sheet1!E:E,Averages!A17))</f>
        <v>#VALUE!</v>
      </c>
      <c r="J17" t="e">
        <f>_xlfn.STDEV.S(getData(Sheet1!H:H,Sheet1!D:D,Sheet1!E:E,Averages!A17))</f>
        <v>#VALUE!</v>
      </c>
      <c r="K17" t="e" cm="1">
        <f t="array" ref="K17">contains(getData(Sheet1!J:J,Sheet1!D:D,Sheet1!E:E,Averages!A17),"climb success")</f>
        <v>#VALUE!</v>
      </c>
      <c r="L17" t="e">
        <f>AVERAGE(getData(Sheet1!H:H,Sheet1!D:D,Sheet1!E:E,Averages!A17))</f>
        <v>#VALUE!</v>
      </c>
      <c r="M17" t="e">
        <f>_xlfn.STDEV.S(getData(Sheet1!H:H,Sheet1!D:D,Sheet1!E:E,Averages!A17))</f>
        <v>#VALUE!</v>
      </c>
      <c r="N17" t="e" cm="1">
        <f t="array" ref="N17">countIfArray(getData(Sheet1!J:J,Sheet1!D:D,Sheet1!E:E,Averages!A17),"climb success")</f>
        <v>#VALUE!</v>
      </c>
      <c r="O17" t="e" cm="1">
        <f t="array" ref="O17">countIfArray(getData(Sheet1!J:J,Sheet1!D:D,Sheet1!E:E,Averages!A17),"climb failed")</f>
        <v>#VALUE!</v>
      </c>
      <c r="P17" t="e" cm="1">
        <f t="array" ref="P17">countIfArray(getData(Sheet1!P:P,Sheet1!D:D,Sheet1!E:E,Averages!A17),TRUE)</f>
        <v>#VALUE!</v>
      </c>
    </row>
    <row r="18" spans="2:16" x14ac:dyDescent="0.2">
      <c r="B18">
        <f>COUNTIF(Sheet1!E:E,Averages!A18)</f>
        <v>1</v>
      </c>
      <c r="C18" t="e">
        <f>AVERAGE(getData(Sheet1!X:X,Sheet1!D:D,Sheet1!E:E,Averages!A18))</f>
        <v>#VALUE!</v>
      </c>
      <c r="D18" t="e">
        <f>_xlfn.STDEV.S(getData(Sheet1!X:X,Sheet1!D:D,Sheet1!E:E,Averages!A18))</f>
        <v>#VALUE!</v>
      </c>
      <c r="E18" t="e">
        <f>AVERAGE(getData(Sheet1!W:W,Sheet1!D:D,Sheet1!E:E,Averages!A18))</f>
        <v>#VALUE!</v>
      </c>
      <c r="F18" t="e" cm="1">
        <f t="array" ref="F18">_xlfn.CONCAT(IF(contains(getData(Sheet1!Y:Y,Sheet1!D:D,Sheet1!E:E,Averages!A18),TRUE),"Speaker,",""),IF(contains(getData(Sheet1!Z:Z,Sheet1!D:D,Sheet1!E:E,Averages!A18),TRUE),"Amp",""))</f>
        <v>#VALUE!</v>
      </c>
      <c r="G18" t="e">
        <f>_xlfn.CONCAT(IF(OR(contains(getData(Sheet1!I:I,Sheet1!D:D,Sheet1!E:E,Averages!A18),"ground and source"),contains(getData(Sheet1!I:I,Sheet1!D:D,Sheet1!E:E,Averages!A18),"ground only")),"Ground,",""),IF(OR(contains(getData(Sheet1!I:I,Sheet1!D:D,Sheet1!E:E,Averages!A18),"ground and source"),contains(getData(Sheet1!I:I,Sheet1!D:D,Sheet1!E:E,Averages!A18),"source only")),"Source",""))</f>
        <v>#VALUE!</v>
      </c>
      <c r="H18" t="e">
        <f>AVERAGE(getData(Sheet1!U:U,Sheet1!D:D,Sheet1!E:E,Averages!A18))</f>
        <v>#VALUE!</v>
      </c>
      <c r="I18" t="e">
        <f>AVERAGE(getData(Sheet1!V:V,Sheet1!D:D,Sheet1!E:E,Averages!A18))</f>
        <v>#VALUE!</v>
      </c>
      <c r="J18" t="e">
        <f>_xlfn.STDEV.S(getData(Sheet1!H:H,Sheet1!D:D,Sheet1!E:E,Averages!A18))</f>
        <v>#VALUE!</v>
      </c>
      <c r="K18" t="e" cm="1">
        <f t="array" ref="K18">contains(getData(Sheet1!J:J,Sheet1!D:D,Sheet1!E:E,Averages!A18),"climb success")</f>
        <v>#VALUE!</v>
      </c>
      <c r="L18" t="e">
        <f>AVERAGE(getData(Sheet1!H:H,Sheet1!D:D,Sheet1!E:E,Averages!A18))</f>
        <v>#VALUE!</v>
      </c>
      <c r="M18" t="e">
        <f>_xlfn.STDEV.S(getData(Sheet1!H:H,Sheet1!D:D,Sheet1!E:E,Averages!A18))</f>
        <v>#VALUE!</v>
      </c>
      <c r="N18" t="e" cm="1">
        <f t="array" ref="N18">countIfArray(getData(Sheet1!J:J,Sheet1!D:D,Sheet1!E:E,Averages!A18),"climb success")</f>
        <v>#VALUE!</v>
      </c>
      <c r="O18" t="e" cm="1">
        <f t="array" ref="O18">countIfArray(getData(Sheet1!J:J,Sheet1!D:D,Sheet1!E:E,Averages!A18),"climb failed")</f>
        <v>#VALUE!</v>
      </c>
      <c r="P18" t="e" cm="1">
        <f t="array" ref="P18">countIfArray(getData(Sheet1!P:P,Sheet1!D:D,Sheet1!E:E,Averages!A18),TRUE)</f>
        <v>#VALUE!</v>
      </c>
    </row>
    <row r="19" spans="2:16" x14ac:dyDescent="0.2">
      <c r="B19">
        <f>COUNTIF(Sheet1!E:E,Averages!A19)</f>
        <v>1</v>
      </c>
      <c r="C19" t="e">
        <f>AVERAGE(getData(Sheet1!X:X,Sheet1!D:D,Sheet1!E:E,Averages!A19))</f>
        <v>#VALUE!</v>
      </c>
      <c r="D19" t="e">
        <f>_xlfn.STDEV.S(getData(Sheet1!X:X,Sheet1!D:D,Sheet1!E:E,Averages!A19))</f>
        <v>#VALUE!</v>
      </c>
      <c r="E19" t="e">
        <f>AVERAGE(getData(Sheet1!W:W,Sheet1!D:D,Sheet1!E:E,Averages!A19))</f>
        <v>#VALUE!</v>
      </c>
      <c r="F19" t="e" cm="1">
        <f t="array" ref="F19">_xlfn.CONCAT(IF(contains(getData(Sheet1!Y:Y,Sheet1!D:D,Sheet1!E:E,Averages!A19),TRUE),"Speaker,",""),IF(contains(getData(Sheet1!Z:Z,Sheet1!D:D,Sheet1!E:E,Averages!A19),TRUE),"Amp",""))</f>
        <v>#VALUE!</v>
      </c>
      <c r="G19" t="e">
        <f>_xlfn.CONCAT(IF(OR(contains(getData(Sheet1!I:I,Sheet1!D:D,Sheet1!E:E,Averages!A19),"ground and source"),contains(getData(Sheet1!I:I,Sheet1!D:D,Sheet1!E:E,Averages!A19),"ground only")),"Ground,",""),IF(OR(contains(getData(Sheet1!I:I,Sheet1!D:D,Sheet1!E:E,Averages!A19),"ground and source"),contains(getData(Sheet1!I:I,Sheet1!D:D,Sheet1!E:E,Averages!A19),"source only")),"Source",""))</f>
        <v>#VALUE!</v>
      </c>
      <c r="H19" t="e">
        <f>AVERAGE(getData(Sheet1!U:U,Sheet1!D:D,Sheet1!E:E,Averages!A19))</f>
        <v>#VALUE!</v>
      </c>
      <c r="I19" t="e">
        <f>AVERAGE(getData(Sheet1!V:V,Sheet1!D:D,Sheet1!E:E,Averages!A19))</f>
        <v>#VALUE!</v>
      </c>
      <c r="J19" t="e">
        <f>_xlfn.STDEV.S(getData(Sheet1!H:H,Sheet1!D:D,Sheet1!E:E,Averages!A19))</f>
        <v>#VALUE!</v>
      </c>
      <c r="K19" t="e" cm="1">
        <f t="array" ref="K19">contains(getData(Sheet1!J:J,Sheet1!D:D,Sheet1!E:E,Averages!A19),"climb success")</f>
        <v>#VALUE!</v>
      </c>
      <c r="L19" t="e">
        <f>AVERAGE(getData(Sheet1!H:H,Sheet1!D:D,Sheet1!E:E,Averages!A19))</f>
        <v>#VALUE!</v>
      </c>
      <c r="M19" t="e">
        <f>_xlfn.STDEV.S(getData(Sheet1!H:H,Sheet1!D:D,Sheet1!E:E,Averages!A19))</f>
        <v>#VALUE!</v>
      </c>
      <c r="N19" t="e" cm="1">
        <f t="array" ref="N19">countIfArray(getData(Sheet1!J:J,Sheet1!D:D,Sheet1!E:E,Averages!A19),"climb success")</f>
        <v>#VALUE!</v>
      </c>
      <c r="O19" t="e" cm="1">
        <f t="array" ref="O19">countIfArray(getData(Sheet1!J:J,Sheet1!D:D,Sheet1!E:E,Averages!A19),"climb failed")</f>
        <v>#VALUE!</v>
      </c>
      <c r="P19" t="e" cm="1">
        <f t="array" ref="P19">countIfArray(getData(Sheet1!P:P,Sheet1!D:D,Sheet1!E:E,Averages!A19),TRUE)</f>
        <v>#VALUE!</v>
      </c>
    </row>
    <row r="20" spans="2:16" x14ac:dyDescent="0.2">
      <c r="B20">
        <f>COUNTIF(Sheet1!E:E,Averages!A20)</f>
        <v>1</v>
      </c>
      <c r="C20" t="e">
        <f>AVERAGE(getData(Sheet1!X:X,Sheet1!D:D,Sheet1!E:E,Averages!A20))</f>
        <v>#VALUE!</v>
      </c>
      <c r="D20" t="e">
        <f>_xlfn.STDEV.S(getData(Sheet1!X:X,Sheet1!D:D,Sheet1!E:E,Averages!A20))</f>
        <v>#VALUE!</v>
      </c>
      <c r="E20" t="e">
        <f>AVERAGE(getData(Sheet1!W:W,Sheet1!D:D,Sheet1!E:E,Averages!A20))</f>
        <v>#VALUE!</v>
      </c>
      <c r="F20" t="e" cm="1">
        <f t="array" ref="F20">_xlfn.CONCAT(IF(contains(getData(Sheet1!Y:Y,Sheet1!D:D,Sheet1!E:E,Averages!A20),TRUE),"Speaker,",""),IF(contains(getData(Sheet1!Z:Z,Sheet1!D:D,Sheet1!E:E,Averages!A20),TRUE),"Amp",""))</f>
        <v>#VALUE!</v>
      </c>
      <c r="G20" t="e">
        <f>_xlfn.CONCAT(IF(OR(contains(getData(Sheet1!I:I,Sheet1!D:D,Sheet1!E:E,Averages!A20),"ground and source"),contains(getData(Sheet1!I:I,Sheet1!D:D,Sheet1!E:E,Averages!A20),"ground only")),"Ground,",""),IF(OR(contains(getData(Sheet1!I:I,Sheet1!D:D,Sheet1!E:E,Averages!A20),"ground and source"),contains(getData(Sheet1!I:I,Sheet1!D:D,Sheet1!E:E,Averages!A20),"source only")),"Source",""))</f>
        <v>#VALUE!</v>
      </c>
      <c r="H20" t="e">
        <f>AVERAGE(getData(Sheet1!U:U,Sheet1!D:D,Sheet1!E:E,Averages!A20))</f>
        <v>#VALUE!</v>
      </c>
      <c r="I20" t="e">
        <f>AVERAGE(getData(Sheet1!V:V,Sheet1!D:D,Sheet1!E:E,Averages!A20))</f>
        <v>#VALUE!</v>
      </c>
      <c r="J20" t="e">
        <f>_xlfn.STDEV.S(getData(Sheet1!H:H,Sheet1!D:D,Sheet1!E:E,Averages!A20))</f>
        <v>#VALUE!</v>
      </c>
      <c r="K20" t="e" cm="1">
        <f t="array" ref="K20">contains(getData(Sheet1!J:J,Sheet1!D:D,Sheet1!E:E,Averages!A20),"climb success")</f>
        <v>#VALUE!</v>
      </c>
      <c r="L20" t="e">
        <f>AVERAGE(getData(Sheet1!H:H,Sheet1!D:D,Sheet1!E:E,Averages!A20))</f>
        <v>#VALUE!</v>
      </c>
      <c r="M20" t="e">
        <f>_xlfn.STDEV.S(getData(Sheet1!H:H,Sheet1!D:D,Sheet1!E:E,Averages!A20))</f>
        <v>#VALUE!</v>
      </c>
      <c r="N20" t="e" cm="1">
        <f t="array" ref="N20">countIfArray(getData(Sheet1!J:J,Sheet1!D:D,Sheet1!E:E,Averages!A20),"climb success")</f>
        <v>#VALUE!</v>
      </c>
      <c r="O20" t="e" cm="1">
        <f t="array" ref="O20">countIfArray(getData(Sheet1!J:J,Sheet1!D:D,Sheet1!E:E,Averages!A20),"climb failed")</f>
        <v>#VALUE!</v>
      </c>
      <c r="P20" t="e" cm="1">
        <f t="array" ref="P20">countIfArray(getData(Sheet1!P:P,Sheet1!D:D,Sheet1!E:E,Averages!A20),TRUE)</f>
        <v>#VALUE!</v>
      </c>
    </row>
    <row r="21" spans="2:16" x14ac:dyDescent="0.2">
      <c r="B21">
        <f>COUNTIF(Sheet1!E:E,Averages!A21)</f>
        <v>1</v>
      </c>
      <c r="C21" t="e">
        <f>AVERAGE(getData(Sheet1!X:X,Sheet1!D:D,Sheet1!E:E,Averages!A21))</f>
        <v>#VALUE!</v>
      </c>
      <c r="D21" t="e">
        <f>_xlfn.STDEV.S(getData(Sheet1!X:X,Sheet1!D:D,Sheet1!E:E,Averages!A21))</f>
        <v>#VALUE!</v>
      </c>
      <c r="E21" t="e">
        <f>AVERAGE(getData(Sheet1!W:W,Sheet1!D:D,Sheet1!E:E,Averages!A21))</f>
        <v>#VALUE!</v>
      </c>
      <c r="F21" t="e" cm="1">
        <f t="array" ref="F21">_xlfn.CONCAT(IF(contains(getData(Sheet1!Y:Y,Sheet1!D:D,Sheet1!E:E,Averages!A21),TRUE),"Speaker,",""),IF(contains(getData(Sheet1!Z:Z,Sheet1!D:D,Sheet1!E:E,Averages!A21),TRUE),"Amp",""))</f>
        <v>#VALUE!</v>
      </c>
      <c r="G21" t="e">
        <f>_xlfn.CONCAT(IF(OR(contains(getData(Sheet1!I:I,Sheet1!D:D,Sheet1!E:E,Averages!A21),"ground and source"),contains(getData(Sheet1!I:I,Sheet1!D:D,Sheet1!E:E,Averages!A21),"ground only")),"Ground,",""),IF(OR(contains(getData(Sheet1!I:I,Sheet1!D:D,Sheet1!E:E,Averages!A21),"ground and source"),contains(getData(Sheet1!I:I,Sheet1!D:D,Sheet1!E:E,Averages!A21),"source only")),"Source",""))</f>
        <v>#VALUE!</v>
      </c>
      <c r="H21" t="e">
        <f>AVERAGE(getData(Sheet1!U:U,Sheet1!D:D,Sheet1!E:E,Averages!A21))</f>
        <v>#VALUE!</v>
      </c>
      <c r="I21" t="e">
        <f>AVERAGE(getData(Sheet1!V:V,Sheet1!D:D,Sheet1!E:E,Averages!A21))</f>
        <v>#VALUE!</v>
      </c>
      <c r="J21" t="e">
        <f>_xlfn.STDEV.S(getData(Sheet1!H:H,Sheet1!D:D,Sheet1!E:E,Averages!A21))</f>
        <v>#VALUE!</v>
      </c>
      <c r="K21" t="e" cm="1">
        <f t="array" ref="K21">contains(getData(Sheet1!J:J,Sheet1!D:D,Sheet1!E:E,Averages!A21),"climb success")</f>
        <v>#VALUE!</v>
      </c>
      <c r="L21" t="e">
        <f>AVERAGE(getData(Sheet1!H:H,Sheet1!D:D,Sheet1!E:E,Averages!A21))</f>
        <v>#VALUE!</v>
      </c>
      <c r="M21" t="e">
        <f>_xlfn.STDEV.S(getData(Sheet1!H:H,Sheet1!D:D,Sheet1!E:E,Averages!A21))</f>
        <v>#VALUE!</v>
      </c>
      <c r="N21" t="e" cm="1">
        <f t="array" ref="N21">countIfArray(getData(Sheet1!J:J,Sheet1!D:D,Sheet1!E:E,Averages!A21),"climb success")</f>
        <v>#VALUE!</v>
      </c>
      <c r="O21" t="e" cm="1">
        <f t="array" ref="O21">countIfArray(getData(Sheet1!J:J,Sheet1!D:D,Sheet1!E:E,Averages!A21),"climb failed")</f>
        <v>#VALUE!</v>
      </c>
      <c r="P21" t="e" cm="1">
        <f t="array" ref="P21">countIfArray(getData(Sheet1!P:P,Sheet1!D:D,Sheet1!E:E,Averages!A21),TRUE)</f>
        <v>#VALUE!</v>
      </c>
    </row>
    <row r="22" spans="2:16" x14ac:dyDescent="0.2">
      <c r="B22">
        <f>COUNTIF(Sheet1!E:E,Averages!A22)</f>
        <v>1</v>
      </c>
      <c r="C22" t="e">
        <f>AVERAGE(getData(Sheet1!X:X,Sheet1!D:D,Sheet1!E:E,Averages!A22))</f>
        <v>#VALUE!</v>
      </c>
      <c r="D22" t="e">
        <f>_xlfn.STDEV.S(getData(Sheet1!X:X,Sheet1!D:D,Sheet1!E:E,Averages!A22))</f>
        <v>#VALUE!</v>
      </c>
      <c r="E22" t="e">
        <f>AVERAGE(getData(Sheet1!W:W,Sheet1!D:D,Sheet1!E:E,Averages!A22))</f>
        <v>#VALUE!</v>
      </c>
      <c r="F22" t="e" cm="1">
        <f t="array" ref="F22">_xlfn.CONCAT(IF(contains(getData(Sheet1!Y:Y,Sheet1!D:D,Sheet1!E:E,Averages!A22),TRUE),"Speaker,",""),IF(contains(getData(Sheet1!Z:Z,Sheet1!D:D,Sheet1!E:E,Averages!A22),TRUE),"Amp",""))</f>
        <v>#VALUE!</v>
      </c>
      <c r="G22" t="e">
        <f>_xlfn.CONCAT(IF(OR(contains(getData(Sheet1!I:I,Sheet1!D:D,Sheet1!E:E,Averages!A22),"ground and source"),contains(getData(Sheet1!I:I,Sheet1!D:D,Sheet1!E:E,Averages!A22),"ground only")),"Ground,",""),IF(OR(contains(getData(Sheet1!I:I,Sheet1!D:D,Sheet1!E:E,Averages!A22),"ground and source"),contains(getData(Sheet1!I:I,Sheet1!D:D,Sheet1!E:E,Averages!A22),"source only")),"Source",""))</f>
        <v>#VALUE!</v>
      </c>
      <c r="H22" t="e">
        <f>AVERAGE(getData(Sheet1!U:U,Sheet1!D:D,Sheet1!E:E,Averages!A22))</f>
        <v>#VALUE!</v>
      </c>
      <c r="I22" t="e">
        <f>AVERAGE(getData(Sheet1!V:V,Sheet1!D:D,Sheet1!E:E,Averages!A22))</f>
        <v>#VALUE!</v>
      </c>
      <c r="J22" t="e">
        <f>_xlfn.STDEV.S(getData(Sheet1!H:H,Sheet1!D:D,Sheet1!E:E,Averages!A22))</f>
        <v>#VALUE!</v>
      </c>
      <c r="K22" t="e" cm="1">
        <f t="array" ref="K22">contains(getData(Sheet1!J:J,Sheet1!D:D,Sheet1!E:E,Averages!A22),"climb success")</f>
        <v>#VALUE!</v>
      </c>
      <c r="L22" t="e">
        <f>AVERAGE(getData(Sheet1!H:H,Sheet1!D:D,Sheet1!E:E,Averages!A22))</f>
        <v>#VALUE!</v>
      </c>
      <c r="M22" t="e">
        <f>_xlfn.STDEV.S(getData(Sheet1!H:H,Sheet1!D:D,Sheet1!E:E,Averages!A22))</f>
        <v>#VALUE!</v>
      </c>
      <c r="N22" t="e" cm="1">
        <f t="array" ref="N22">countIfArray(getData(Sheet1!J:J,Sheet1!D:D,Sheet1!E:E,Averages!A22),"climb success")</f>
        <v>#VALUE!</v>
      </c>
      <c r="O22" t="e" cm="1">
        <f t="array" ref="O22">countIfArray(getData(Sheet1!J:J,Sheet1!D:D,Sheet1!E:E,Averages!A22),"climb failed")</f>
        <v>#VALUE!</v>
      </c>
      <c r="P22" t="e" cm="1">
        <f t="array" ref="P22">countIfArray(getData(Sheet1!P:P,Sheet1!D:D,Sheet1!E:E,Averages!A22),TRUE)</f>
        <v>#VALUE!</v>
      </c>
    </row>
    <row r="23" spans="2:16" x14ac:dyDescent="0.2">
      <c r="B23">
        <f>COUNTIF(Sheet1!E:E,Averages!A23)</f>
        <v>1</v>
      </c>
      <c r="C23" t="e">
        <f>AVERAGE(getData(Sheet1!X:X,Sheet1!D:D,Sheet1!E:E,Averages!A23))</f>
        <v>#VALUE!</v>
      </c>
      <c r="D23" t="e">
        <f>_xlfn.STDEV.S(getData(Sheet1!X:X,Sheet1!D:D,Sheet1!E:E,Averages!A23))</f>
        <v>#VALUE!</v>
      </c>
      <c r="E23" t="e">
        <f>AVERAGE(getData(Sheet1!W:W,Sheet1!D:D,Sheet1!E:E,Averages!A23))</f>
        <v>#VALUE!</v>
      </c>
      <c r="F23" t="e" cm="1">
        <f t="array" ref="F23">_xlfn.CONCAT(IF(contains(getData(Sheet1!Y:Y,Sheet1!D:D,Sheet1!E:E,Averages!A23),TRUE),"Speaker,",""),IF(contains(getData(Sheet1!Z:Z,Sheet1!D:D,Sheet1!E:E,Averages!A23),TRUE),"Amp",""))</f>
        <v>#VALUE!</v>
      </c>
      <c r="G23" t="e">
        <f>_xlfn.CONCAT(IF(OR(contains(getData(Sheet1!I:I,Sheet1!D:D,Sheet1!E:E,Averages!A23),"ground and source"),contains(getData(Sheet1!I:I,Sheet1!D:D,Sheet1!E:E,Averages!A23),"ground only")),"Ground,",""),IF(OR(contains(getData(Sheet1!I:I,Sheet1!D:D,Sheet1!E:E,Averages!A23),"ground and source"),contains(getData(Sheet1!I:I,Sheet1!D:D,Sheet1!E:E,Averages!A23),"source only")),"Source",""))</f>
        <v>#VALUE!</v>
      </c>
      <c r="H23" t="e">
        <f>AVERAGE(getData(Sheet1!U:U,Sheet1!D:D,Sheet1!E:E,Averages!A23))</f>
        <v>#VALUE!</v>
      </c>
      <c r="I23" t="e">
        <f>AVERAGE(getData(Sheet1!V:V,Sheet1!D:D,Sheet1!E:E,Averages!A23))</f>
        <v>#VALUE!</v>
      </c>
      <c r="J23" t="e">
        <f>_xlfn.STDEV.S(getData(Sheet1!H:H,Sheet1!D:D,Sheet1!E:E,Averages!A23))</f>
        <v>#VALUE!</v>
      </c>
      <c r="K23" t="e" cm="1">
        <f t="array" ref="K23">contains(getData(Sheet1!J:J,Sheet1!D:D,Sheet1!E:E,Averages!A23),"climb success")</f>
        <v>#VALUE!</v>
      </c>
      <c r="L23" t="e">
        <f>AVERAGE(getData(Sheet1!H:H,Sheet1!D:D,Sheet1!E:E,Averages!A23))</f>
        <v>#VALUE!</v>
      </c>
      <c r="M23" t="e">
        <f>_xlfn.STDEV.S(getData(Sheet1!H:H,Sheet1!D:D,Sheet1!E:E,Averages!A23))</f>
        <v>#VALUE!</v>
      </c>
      <c r="N23" t="e" cm="1">
        <f t="array" ref="N23">countIfArray(getData(Sheet1!J:J,Sheet1!D:D,Sheet1!E:E,Averages!A23),"climb success")</f>
        <v>#VALUE!</v>
      </c>
      <c r="O23" t="e" cm="1">
        <f t="array" ref="O23">countIfArray(getData(Sheet1!J:J,Sheet1!D:D,Sheet1!E:E,Averages!A23),"climb failed")</f>
        <v>#VALUE!</v>
      </c>
      <c r="P23" t="e" cm="1">
        <f t="array" ref="P23">countIfArray(getData(Sheet1!P:P,Sheet1!D:D,Sheet1!E:E,Averages!A23),TRUE)</f>
        <v>#VALUE!</v>
      </c>
    </row>
    <row r="24" spans="2:16" x14ac:dyDescent="0.2">
      <c r="B24">
        <f>COUNTIF(Sheet1!E:E,Averages!A24)</f>
        <v>1</v>
      </c>
      <c r="C24" t="e">
        <f>AVERAGE(getData(Sheet1!X:X,Sheet1!D:D,Sheet1!E:E,Averages!A24))</f>
        <v>#VALUE!</v>
      </c>
      <c r="D24" t="e">
        <f>_xlfn.STDEV.S(getData(Sheet1!X:X,Sheet1!D:D,Sheet1!E:E,Averages!A24))</f>
        <v>#VALUE!</v>
      </c>
      <c r="E24" t="e">
        <f>AVERAGE(getData(Sheet1!W:W,Sheet1!D:D,Sheet1!E:E,Averages!A24))</f>
        <v>#VALUE!</v>
      </c>
      <c r="F24" t="e" cm="1">
        <f t="array" ref="F24">_xlfn.CONCAT(IF(contains(getData(Sheet1!Y:Y,Sheet1!D:D,Sheet1!E:E,Averages!A24),TRUE),"Speaker,",""),IF(contains(getData(Sheet1!Z:Z,Sheet1!D:D,Sheet1!E:E,Averages!A24),TRUE),"Amp",""))</f>
        <v>#VALUE!</v>
      </c>
      <c r="G24" t="e">
        <f>_xlfn.CONCAT(IF(OR(contains(getData(Sheet1!I:I,Sheet1!D:D,Sheet1!E:E,Averages!A24),"ground and source"),contains(getData(Sheet1!I:I,Sheet1!D:D,Sheet1!E:E,Averages!A24),"ground only")),"Ground,",""),IF(OR(contains(getData(Sheet1!I:I,Sheet1!D:D,Sheet1!E:E,Averages!A24),"ground and source"),contains(getData(Sheet1!I:I,Sheet1!D:D,Sheet1!E:E,Averages!A24),"source only")),"Source",""))</f>
        <v>#VALUE!</v>
      </c>
      <c r="H24" t="e">
        <f>AVERAGE(getData(Sheet1!U:U,Sheet1!D:D,Sheet1!E:E,Averages!A24))</f>
        <v>#VALUE!</v>
      </c>
      <c r="I24" t="e">
        <f>AVERAGE(getData(Sheet1!V:V,Sheet1!D:D,Sheet1!E:E,Averages!A24))</f>
        <v>#VALUE!</v>
      </c>
      <c r="J24" t="e">
        <f>_xlfn.STDEV.S(getData(Sheet1!H:H,Sheet1!D:D,Sheet1!E:E,Averages!A24))</f>
        <v>#VALUE!</v>
      </c>
      <c r="K24" t="e" cm="1">
        <f t="array" ref="K24">contains(getData(Sheet1!J:J,Sheet1!D:D,Sheet1!E:E,Averages!A24),"climb success")</f>
        <v>#VALUE!</v>
      </c>
      <c r="L24" t="e">
        <f>AVERAGE(getData(Sheet1!H:H,Sheet1!D:D,Sheet1!E:E,Averages!A24))</f>
        <v>#VALUE!</v>
      </c>
      <c r="M24" t="e">
        <f>_xlfn.STDEV.S(getData(Sheet1!H:H,Sheet1!D:D,Sheet1!E:E,Averages!A24))</f>
        <v>#VALUE!</v>
      </c>
      <c r="N24" t="e" cm="1">
        <f t="array" ref="N24">countIfArray(getData(Sheet1!J:J,Sheet1!D:D,Sheet1!E:E,Averages!A24),"climb success")</f>
        <v>#VALUE!</v>
      </c>
      <c r="O24" t="e" cm="1">
        <f t="array" ref="O24">countIfArray(getData(Sheet1!J:J,Sheet1!D:D,Sheet1!E:E,Averages!A24),"climb failed")</f>
        <v>#VALUE!</v>
      </c>
      <c r="P24" t="e" cm="1">
        <f t="array" ref="P24">countIfArray(getData(Sheet1!P:P,Sheet1!D:D,Sheet1!E:E,Averages!A24),TRUE)</f>
        <v>#VALUE!</v>
      </c>
    </row>
    <row r="25" spans="2:16" x14ac:dyDescent="0.2">
      <c r="B25">
        <f>COUNTIF(Sheet1!E:E,Averages!A25)</f>
        <v>1</v>
      </c>
      <c r="C25" t="e">
        <f>AVERAGE(getData(Sheet1!X:X,Sheet1!D:D,Sheet1!E:E,Averages!A25))</f>
        <v>#VALUE!</v>
      </c>
      <c r="D25" t="e">
        <f>_xlfn.STDEV.S(getData(Sheet1!X:X,Sheet1!D:D,Sheet1!E:E,Averages!A25))</f>
        <v>#VALUE!</v>
      </c>
      <c r="E25" t="e">
        <f>AVERAGE(getData(Sheet1!W:W,Sheet1!D:D,Sheet1!E:E,Averages!A25))</f>
        <v>#VALUE!</v>
      </c>
      <c r="F25" t="e" cm="1">
        <f t="array" ref="F25">_xlfn.CONCAT(IF(contains(getData(Sheet1!Y:Y,Sheet1!D:D,Sheet1!E:E,Averages!A25),TRUE),"Speaker,",""),IF(contains(getData(Sheet1!Z:Z,Sheet1!D:D,Sheet1!E:E,Averages!A25),TRUE),"Amp",""))</f>
        <v>#VALUE!</v>
      </c>
      <c r="G25" t="e">
        <f>_xlfn.CONCAT(IF(OR(contains(getData(Sheet1!I:I,Sheet1!D:D,Sheet1!E:E,Averages!A25),"ground and source"),contains(getData(Sheet1!I:I,Sheet1!D:D,Sheet1!E:E,Averages!A25),"ground only")),"Ground,",""),IF(OR(contains(getData(Sheet1!I:I,Sheet1!D:D,Sheet1!E:E,Averages!A25),"ground and source"),contains(getData(Sheet1!I:I,Sheet1!D:D,Sheet1!E:E,Averages!A25),"source only")),"Source",""))</f>
        <v>#VALUE!</v>
      </c>
      <c r="H25" t="e">
        <f>AVERAGE(getData(Sheet1!U:U,Sheet1!D:D,Sheet1!E:E,Averages!A25))</f>
        <v>#VALUE!</v>
      </c>
      <c r="I25" t="e">
        <f>AVERAGE(getData(Sheet1!V:V,Sheet1!D:D,Sheet1!E:E,Averages!A25))</f>
        <v>#VALUE!</v>
      </c>
      <c r="J25" t="e">
        <f>_xlfn.STDEV.S(getData(Sheet1!H:H,Sheet1!D:D,Sheet1!E:E,Averages!A25))</f>
        <v>#VALUE!</v>
      </c>
      <c r="K25" t="e" cm="1">
        <f t="array" ref="K25">contains(getData(Sheet1!J:J,Sheet1!D:D,Sheet1!E:E,Averages!A25),"climb success")</f>
        <v>#VALUE!</v>
      </c>
      <c r="L25" t="e">
        <f>AVERAGE(getData(Sheet1!H:H,Sheet1!D:D,Sheet1!E:E,Averages!A25))</f>
        <v>#VALUE!</v>
      </c>
      <c r="M25" t="e">
        <f>_xlfn.STDEV.S(getData(Sheet1!H:H,Sheet1!D:D,Sheet1!E:E,Averages!A25))</f>
        <v>#VALUE!</v>
      </c>
      <c r="N25" t="e" cm="1">
        <f t="array" ref="N25">countIfArray(getData(Sheet1!J:J,Sheet1!D:D,Sheet1!E:E,Averages!A25),"climb success")</f>
        <v>#VALUE!</v>
      </c>
      <c r="O25" t="e" cm="1">
        <f t="array" ref="O25">countIfArray(getData(Sheet1!J:J,Sheet1!D:D,Sheet1!E:E,Averages!A25),"climb failed")</f>
        <v>#VALUE!</v>
      </c>
      <c r="P25" t="e" cm="1">
        <f t="array" ref="P25">countIfArray(getData(Sheet1!P:P,Sheet1!D:D,Sheet1!E:E,Averages!A25),TRUE)</f>
        <v>#VALUE!</v>
      </c>
    </row>
    <row r="26" spans="2:16" x14ac:dyDescent="0.2">
      <c r="B26">
        <f>COUNTIF(Sheet1!E:E,Averages!A26)</f>
        <v>1</v>
      </c>
      <c r="C26" t="e">
        <f>AVERAGE(getData(Sheet1!X:X,Sheet1!D:D,Sheet1!E:E,Averages!A26))</f>
        <v>#VALUE!</v>
      </c>
      <c r="D26" t="e">
        <f>_xlfn.STDEV.S(getData(Sheet1!X:X,Sheet1!D:D,Sheet1!E:E,Averages!A26))</f>
        <v>#VALUE!</v>
      </c>
      <c r="E26" t="e">
        <f>AVERAGE(getData(Sheet1!W:W,Sheet1!D:D,Sheet1!E:E,Averages!A26))</f>
        <v>#VALUE!</v>
      </c>
      <c r="F26" t="e" cm="1">
        <f t="array" ref="F26">_xlfn.CONCAT(IF(contains(getData(Sheet1!Y:Y,Sheet1!D:D,Sheet1!E:E,Averages!A26),TRUE),"Speaker,",""),IF(contains(getData(Sheet1!Z:Z,Sheet1!D:D,Sheet1!E:E,Averages!A26),TRUE),"Amp",""))</f>
        <v>#VALUE!</v>
      </c>
      <c r="G26" t="e">
        <f>_xlfn.CONCAT(IF(OR(contains(getData(Sheet1!I:I,Sheet1!D:D,Sheet1!E:E,Averages!A26),"ground and source"),contains(getData(Sheet1!I:I,Sheet1!D:D,Sheet1!E:E,Averages!A26),"ground only")),"Ground,",""),IF(OR(contains(getData(Sheet1!I:I,Sheet1!D:D,Sheet1!E:E,Averages!A26),"ground and source"),contains(getData(Sheet1!I:I,Sheet1!D:D,Sheet1!E:E,Averages!A26),"source only")),"Source",""))</f>
        <v>#VALUE!</v>
      </c>
      <c r="H26" t="e">
        <f>AVERAGE(getData(Sheet1!U:U,Sheet1!D:D,Sheet1!E:E,Averages!A26))</f>
        <v>#VALUE!</v>
      </c>
      <c r="I26" t="e">
        <f>AVERAGE(getData(Sheet1!V:V,Sheet1!D:D,Sheet1!E:E,Averages!A26))</f>
        <v>#VALUE!</v>
      </c>
      <c r="J26" t="e">
        <f>_xlfn.STDEV.S(getData(Sheet1!H:H,Sheet1!D:D,Sheet1!E:E,Averages!A26))</f>
        <v>#VALUE!</v>
      </c>
      <c r="K26" t="e" cm="1">
        <f t="array" ref="K26">contains(getData(Sheet1!J:J,Sheet1!D:D,Sheet1!E:E,Averages!A26),"climb success")</f>
        <v>#VALUE!</v>
      </c>
      <c r="L26" t="e">
        <f>AVERAGE(getData(Sheet1!H:H,Sheet1!D:D,Sheet1!E:E,Averages!A26))</f>
        <v>#VALUE!</v>
      </c>
      <c r="M26" t="e">
        <f>_xlfn.STDEV.S(getData(Sheet1!H:H,Sheet1!D:D,Sheet1!E:E,Averages!A26))</f>
        <v>#VALUE!</v>
      </c>
      <c r="N26" t="e" cm="1">
        <f t="array" ref="N26">countIfArray(getData(Sheet1!J:J,Sheet1!D:D,Sheet1!E:E,Averages!A26),"climb success")</f>
        <v>#VALUE!</v>
      </c>
      <c r="O26" t="e" cm="1">
        <f t="array" ref="O26">countIfArray(getData(Sheet1!J:J,Sheet1!D:D,Sheet1!E:E,Averages!A26),"climb failed")</f>
        <v>#VALUE!</v>
      </c>
      <c r="P26" t="e" cm="1">
        <f t="array" ref="P26">countIfArray(getData(Sheet1!P:P,Sheet1!D:D,Sheet1!E:E,Averages!A26),TRUE)</f>
        <v>#VALUE!</v>
      </c>
    </row>
    <row r="27" spans="2:16" x14ac:dyDescent="0.2">
      <c r="B27">
        <f>COUNTIF(Sheet1!E:E,Averages!A27)</f>
        <v>1</v>
      </c>
      <c r="C27" t="e">
        <f>AVERAGE(getData(Sheet1!X:X,Sheet1!D:D,Sheet1!E:E,Averages!A27))</f>
        <v>#VALUE!</v>
      </c>
      <c r="D27" t="e">
        <f>_xlfn.STDEV.S(getData(Sheet1!X:X,Sheet1!D:D,Sheet1!E:E,Averages!A27))</f>
        <v>#VALUE!</v>
      </c>
      <c r="E27" t="e">
        <f>AVERAGE(getData(Sheet1!W:W,Sheet1!D:D,Sheet1!E:E,Averages!A27))</f>
        <v>#VALUE!</v>
      </c>
      <c r="F27" t="e" cm="1">
        <f t="array" ref="F27">_xlfn.CONCAT(IF(contains(getData(Sheet1!Y:Y,Sheet1!D:D,Sheet1!E:E,Averages!A27),TRUE),"Speaker,",""),IF(contains(getData(Sheet1!Z:Z,Sheet1!D:D,Sheet1!E:E,Averages!A27),TRUE),"Amp",""))</f>
        <v>#VALUE!</v>
      </c>
      <c r="G27" t="e">
        <f>_xlfn.CONCAT(IF(OR(contains(getData(Sheet1!I:I,Sheet1!D:D,Sheet1!E:E,Averages!A27),"ground and source"),contains(getData(Sheet1!I:I,Sheet1!D:D,Sheet1!E:E,Averages!A27),"ground only")),"Ground,",""),IF(OR(contains(getData(Sheet1!I:I,Sheet1!D:D,Sheet1!E:E,Averages!A27),"ground and source"),contains(getData(Sheet1!I:I,Sheet1!D:D,Sheet1!E:E,Averages!A27),"source only")),"Source",""))</f>
        <v>#VALUE!</v>
      </c>
      <c r="H27" t="e">
        <f>AVERAGE(getData(Sheet1!U:U,Sheet1!D:D,Sheet1!E:E,Averages!A27))</f>
        <v>#VALUE!</v>
      </c>
      <c r="I27" t="e">
        <f>AVERAGE(getData(Sheet1!V:V,Sheet1!D:D,Sheet1!E:E,Averages!A27))</f>
        <v>#VALUE!</v>
      </c>
      <c r="J27" t="e">
        <f>_xlfn.STDEV.S(getData(Sheet1!H:H,Sheet1!D:D,Sheet1!E:E,Averages!A27))</f>
        <v>#VALUE!</v>
      </c>
      <c r="K27" t="e" cm="1">
        <f t="array" ref="K27">contains(getData(Sheet1!J:J,Sheet1!D:D,Sheet1!E:E,Averages!A27),"climb success")</f>
        <v>#VALUE!</v>
      </c>
      <c r="L27" t="e">
        <f>AVERAGE(getData(Sheet1!H:H,Sheet1!D:D,Sheet1!E:E,Averages!A27))</f>
        <v>#VALUE!</v>
      </c>
      <c r="M27" t="e">
        <f>_xlfn.STDEV.S(getData(Sheet1!H:H,Sheet1!D:D,Sheet1!E:E,Averages!A27))</f>
        <v>#VALUE!</v>
      </c>
      <c r="N27" t="e" cm="1">
        <f t="array" ref="N27">countIfArray(getData(Sheet1!J:J,Sheet1!D:D,Sheet1!E:E,Averages!A27),"climb success")</f>
        <v>#VALUE!</v>
      </c>
      <c r="O27" t="e" cm="1">
        <f t="array" ref="O27">countIfArray(getData(Sheet1!J:J,Sheet1!D:D,Sheet1!E:E,Averages!A27),"climb failed")</f>
        <v>#VALUE!</v>
      </c>
      <c r="P27" t="e" cm="1">
        <f t="array" ref="P27">countIfArray(getData(Sheet1!P:P,Sheet1!D:D,Sheet1!E:E,Averages!A27),TRUE)</f>
        <v>#VALUE!</v>
      </c>
    </row>
    <row r="28" spans="2:16" x14ac:dyDescent="0.2">
      <c r="B28">
        <f>COUNTIF(Sheet1!E:E,Averages!A28)</f>
        <v>1</v>
      </c>
      <c r="C28" t="e">
        <f>AVERAGE(getData(Sheet1!X:X,Sheet1!D:D,Sheet1!E:E,Averages!A28))</f>
        <v>#VALUE!</v>
      </c>
      <c r="D28" t="e">
        <f>_xlfn.STDEV.S(getData(Sheet1!X:X,Sheet1!D:D,Sheet1!E:E,Averages!A28))</f>
        <v>#VALUE!</v>
      </c>
      <c r="E28" t="e">
        <f>AVERAGE(getData(Sheet1!W:W,Sheet1!D:D,Sheet1!E:E,Averages!A28))</f>
        <v>#VALUE!</v>
      </c>
      <c r="F28" t="e" cm="1">
        <f t="array" ref="F28">_xlfn.CONCAT(IF(contains(getData(Sheet1!Y:Y,Sheet1!D:D,Sheet1!E:E,Averages!A28),TRUE),"Speaker,",""),IF(contains(getData(Sheet1!Z:Z,Sheet1!D:D,Sheet1!E:E,Averages!A28),TRUE),"Amp",""))</f>
        <v>#VALUE!</v>
      </c>
      <c r="G28" t="e">
        <f>_xlfn.CONCAT(IF(OR(contains(getData(Sheet1!I:I,Sheet1!D:D,Sheet1!E:E,Averages!A28),"ground and source"),contains(getData(Sheet1!I:I,Sheet1!D:D,Sheet1!E:E,Averages!A28),"ground only")),"Ground,",""),IF(OR(contains(getData(Sheet1!I:I,Sheet1!D:D,Sheet1!E:E,Averages!A28),"ground and source"),contains(getData(Sheet1!I:I,Sheet1!D:D,Sheet1!E:E,Averages!A28),"source only")),"Source",""))</f>
        <v>#VALUE!</v>
      </c>
      <c r="H28" t="e">
        <f>AVERAGE(getData(Sheet1!U:U,Sheet1!D:D,Sheet1!E:E,Averages!A28))</f>
        <v>#VALUE!</v>
      </c>
      <c r="I28" t="e">
        <f>AVERAGE(getData(Sheet1!V:V,Sheet1!D:D,Sheet1!E:E,Averages!A28))</f>
        <v>#VALUE!</v>
      </c>
      <c r="J28" t="e">
        <f>_xlfn.STDEV.S(getData(Sheet1!H:H,Sheet1!D:D,Sheet1!E:E,Averages!A28))</f>
        <v>#VALUE!</v>
      </c>
      <c r="K28" t="e" cm="1">
        <f t="array" ref="K28">contains(getData(Sheet1!J:J,Sheet1!D:D,Sheet1!E:E,Averages!A28),"climb success")</f>
        <v>#VALUE!</v>
      </c>
      <c r="L28" t="e">
        <f>AVERAGE(getData(Sheet1!H:H,Sheet1!D:D,Sheet1!E:E,Averages!A28))</f>
        <v>#VALUE!</v>
      </c>
      <c r="M28" t="e">
        <f>_xlfn.STDEV.S(getData(Sheet1!H:H,Sheet1!D:D,Sheet1!E:E,Averages!A28))</f>
        <v>#VALUE!</v>
      </c>
      <c r="N28" t="e" cm="1">
        <f t="array" ref="N28">countIfArray(getData(Sheet1!J:J,Sheet1!D:D,Sheet1!E:E,Averages!A28),"climb success")</f>
        <v>#VALUE!</v>
      </c>
      <c r="O28" t="e" cm="1">
        <f t="array" ref="O28">countIfArray(getData(Sheet1!J:J,Sheet1!D:D,Sheet1!E:E,Averages!A28),"climb failed")</f>
        <v>#VALUE!</v>
      </c>
      <c r="P28" t="e" cm="1">
        <f t="array" ref="P28">countIfArray(getData(Sheet1!P:P,Sheet1!D:D,Sheet1!E:E,Averages!A28),TRUE)</f>
        <v>#VALUE!</v>
      </c>
    </row>
    <row r="29" spans="2:16" x14ac:dyDescent="0.2">
      <c r="B29">
        <f>COUNTIF(Sheet1!E:E,Averages!A29)</f>
        <v>1</v>
      </c>
      <c r="C29" t="e">
        <f>AVERAGE(getData(Sheet1!X:X,Sheet1!D:D,Sheet1!E:E,Averages!A29))</f>
        <v>#VALUE!</v>
      </c>
      <c r="D29" t="e">
        <f>_xlfn.STDEV.S(getData(Sheet1!X:X,Sheet1!D:D,Sheet1!E:E,Averages!A29))</f>
        <v>#VALUE!</v>
      </c>
      <c r="E29" t="e">
        <f>AVERAGE(getData(Sheet1!W:W,Sheet1!D:D,Sheet1!E:E,Averages!A29))</f>
        <v>#VALUE!</v>
      </c>
      <c r="F29" t="e" cm="1">
        <f t="array" ref="F29">_xlfn.CONCAT(IF(contains(getData(Sheet1!Y:Y,Sheet1!D:D,Sheet1!E:E,Averages!A29),TRUE),"Speaker,",""),IF(contains(getData(Sheet1!Z:Z,Sheet1!D:D,Sheet1!E:E,Averages!A29),TRUE),"Amp",""))</f>
        <v>#VALUE!</v>
      </c>
      <c r="G29" t="e">
        <f>_xlfn.CONCAT(IF(OR(contains(getData(Sheet1!I:I,Sheet1!D:D,Sheet1!E:E,Averages!A29),"ground and source"),contains(getData(Sheet1!I:I,Sheet1!D:D,Sheet1!E:E,Averages!A29),"ground only")),"Ground,",""),IF(OR(contains(getData(Sheet1!I:I,Sheet1!D:D,Sheet1!E:E,Averages!A29),"ground and source"),contains(getData(Sheet1!I:I,Sheet1!D:D,Sheet1!E:E,Averages!A29),"source only")),"Source",""))</f>
        <v>#VALUE!</v>
      </c>
      <c r="H29" t="e">
        <f>AVERAGE(getData(Sheet1!U:U,Sheet1!D:D,Sheet1!E:E,Averages!A29))</f>
        <v>#VALUE!</v>
      </c>
      <c r="I29" t="e">
        <f>AVERAGE(getData(Sheet1!V:V,Sheet1!D:D,Sheet1!E:E,Averages!A29))</f>
        <v>#VALUE!</v>
      </c>
      <c r="J29" t="e">
        <f>_xlfn.STDEV.S(getData(Sheet1!H:H,Sheet1!D:D,Sheet1!E:E,Averages!A29))</f>
        <v>#VALUE!</v>
      </c>
      <c r="K29" t="e" cm="1">
        <f t="array" ref="K29">contains(getData(Sheet1!J:J,Sheet1!D:D,Sheet1!E:E,Averages!A29),"climb success")</f>
        <v>#VALUE!</v>
      </c>
      <c r="L29" t="e">
        <f>AVERAGE(getData(Sheet1!H:H,Sheet1!D:D,Sheet1!E:E,Averages!A29))</f>
        <v>#VALUE!</v>
      </c>
      <c r="M29" t="e">
        <f>_xlfn.STDEV.S(getData(Sheet1!H:H,Sheet1!D:D,Sheet1!E:E,Averages!A29))</f>
        <v>#VALUE!</v>
      </c>
      <c r="N29" t="e" cm="1">
        <f t="array" ref="N29">countIfArray(getData(Sheet1!J:J,Sheet1!D:D,Sheet1!E:E,Averages!A29),"climb success")</f>
        <v>#VALUE!</v>
      </c>
      <c r="O29" t="e" cm="1">
        <f t="array" ref="O29">countIfArray(getData(Sheet1!J:J,Sheet1!D:D,Sheet1!E:E,Averages!A29),"climb failed")</f>
        <v>#VALUE!</v>
      </c>
      <c r="P29" t="e" cm="1">
        <f t="array" ref="P29">countIfArray(getData(Sheet1!P:P,Sheet1!D:D,Sheet1!E:E,Averages!A29),TRUE)</f>
        <v>#VALUE!</v>
      </c>
    </row>
    <row r="30" spans="2:16" x14ac:dyDescent="0.2">
      <c r="B30">
        <f>COUNTIF(Sheet1!E:E,Averages!A30)</f>
        <v>1</v>
      </c>
      <c r="C30" t="e">
        <f>AVERAGE(getData(Sheet1!X:X,Sheet1!D:D,Sheet1!E:E,Averages!A30))</f>
        <v>#VALUE!</v>
      </c>
      <c r="D30" t="e">
        <f>_xlfn.STDEV.S(getData(Sheet1!X:X,Sheet1!D:D,Sheet1!E:E,Averages!A30))</f>
        <v>#VALUE!</v>
      </c>
      <c r="E30" t="e">
        <f>AVERAGE(getData(Sheet1!W:W,Sheet1!D:D,Sheet1!E:E,Averages!A30))</f>
        <v>#VALUE!</v>
      </c>
      <c r="F30" t="e" cm="1">
        <f t="array" ref="F30">_xlfn.CONCAT(IF(contains(getData(Sheet1!Y:Y,Sheet1!D:D,Sheet1!E:E,Averages!A30),TRUE),"Speaker,",""),IF(contains(getData(Sheet1!Z:Z,Sheet1!D:D,Sheet1!E:E,Averages!A30),TRUE),"Amp",""))</f>
        <v>#VALUE!</v>
      </c>
      <c r="G30" t="e">
        <f>_xlfn.CONCAT(IF(OR(contains(getData(Sheet1!I:I,Sheet1!D:D,Sheet1!E:E,Averages!A30),"ground and source"),contains(getData(Sheet1!I:I,Sheet1!D:D,Sheet1!E:E,Averages!A30),"ground only")),"Ground,",""),IF(OR(contains(getData(Sheet1!I:I,Sheet1!D:D,Sheet1!E:E,Averages!A30),"ground and source"),contains(getData(Sheet1!I:I,Sheet1!D:D,Sheet1!E:E,Averages!A30),"source only")),"Source",""))</f>
        <v>#VALUE!</v>
      </c>
      <c r="H30" t="e">
        <f>AVERAGE(getData(Sheet1!U:U,Sheet1!D:D,Sheet1!E:E,Averages!A30))</f>
        <v>#VALUE!</v>
      </c>
      <c r="I30" t="e">
        <f>AVERAGE(getData(Sheet1!V:V,Sheet1!D:D,Sheet1!E:E,Averages!A30))</f>
        <v>#VALUE!</v>
      </c>
      <c r="J30" t="e">
        <f>_xlfn.STDEV.S(getData(Sheet1!H:H,Sheet1!D:D,Sheet1!E:E,Averages!A30))</f>
        <v>#VALUE!</v>
      </c>
      <c r="K30" t="e" cm="1">
        <f t="array" ref="K30">contains(getData(Sheet1!J:J,Sheet1!D:D,Sheet1!E:E,Averages!A30),"climb success")</f>
        <v>#VALUE!</v>
      </c>
      <c r="L30" t="e">
        <f>AVERAGE(getData(Sheet1!H:H,Sheet1!D:D,Sheet1!E:E,Averages!A30))</f>
        <v>#VALUE!</v>
      </c>
      <c r="M30" t="e">
        <f>_xlfn.STDEV.S(getData(Sheet1!H:H,Sheet1!D:D,Sheet1!E:E,Averages!A30))</f>
        <v>#VALUE!</v>
      </c>
      <c r="N30" t="e" cm="1">
        <f t="array" ref="N30">countIfArray(getData(Sheet1!J:J,Sheet1!D:D,Sheet1!E:E,Averages!A30),"climb success")</f>
        <v>#VALUE!</v>
      </c>
      <c r="O30" t="e" cm="1">
        <f t="array" ref="O30">countIfArray(getData(Sheet1!J:J,Sheet1!D:D,Sheet1!E:E,Averages!A30),"climb failed")</f>
        <v>#VALUE!</v>
      </c>
      <c r="P30" t="e" cm="1">
        <f t="array" ref="P30">countIfArray(getData(Sheet1!P:P,Sheet1!D:D,Sheet1!E:E,Averages!A30),TRUE)</f>
        <v>#VALUE!</v>
      </c>
    </row>
    <row r="31" spans="2:16" x14ac:dyDescent="0.2">
      <c r="B31">
        <f>COUNTIF(Sheet1!E:E,Averages!A31)</f>
        <v>1</v>
      </c>
      <c r="C31" t="e">
        <f>AVERAGE(getData(Sheet1!X:X,Sheet1!D:D,Sheet1!E:E,Averages!A31))</f>
        <v>#VALUE!</v>
      </c>
      <c r="D31" t="e">
        <f>_xlfn.STDEV.S(getData(Sheet1!X:X,Sheet1!D:D,Sheet1!E:E,Averages!A31))</f>
        <v>#VALUE!</v>
      </c>
      <c r="E31" t="e">
        <f>AVERAGE(getData(Sheet1!W:W,Sheet1!D:D,Sheet1!E:E,Averages!A31))</f>
        <v>#VALUE!</v>
      </c>
      <c r="F31" t="e" cm="1">
        <f t="array" ref="F31">_xlfn.CONCAT(IF(contains(getData(Sheet1!Y:Y,Sheet1!D:D,Sheet1!E:E,Averages!A31),TRUE),"Speaker,",""),IF(contains(getData(Sheet1!Z:Z,Sheet1!D:D,Sheet1!E:E,Averages!A31),TRUE),"Amp",""))</f>
        <v>#VALUE!</v>
      </c>
      <c r="G31" t="e">
        <f>_xlfn.CONCAT(IF(OR(contains(getData(Sheet1!I:I,Sheet1!D:D,Sheet1!E:E,Averages!A31),"ground and source"),contains(getData(Sheet1!I:I,Sheet1!D:D,Sheet1!E:E,Averages!A31),"ground only")),"Ground,",""),IF(OR(contains(getData(Sheet1!I:I,Sheet1!D:D,Sheet1!E:E,Averages!A31),"ground and source"),contains(getData(Sheet1!I:I,Sheet1!D:D,Sheet1!E:E,Averages!A31),"source only")),"Source",""))</f>
        <v>#VALUE!</v>
      </c>
      <c r="H31" t="e">
        <f>AVERAGE(getData(Sheet1!U:U,Sheet1!D:D,Sheet1!E:E,Averages!A31))</f>
        <v>#VALUE!</v>
      </c>
      <c r="I31" t="e">
        <f>AVERAGE(getData(Sheet1!V:V,Sheet1!D:D,Sheet1!E:E,Averages!A31))</f>
        <v>#VALUE!</v>
      </c>
      <c r="J31" t="e">
        <f>_xlfn.STDEV.S(getData(Sheet1!H:H,Sheet1!D:D,Sheet1!E:E,Averages!A31))</f>
        <v>#VALUE!</v>
      </c>
      <c r="K31" t="e" cm="1">
        <f t="array" ref="K31">contains(getData(Sheet1!J:J,Sheet1!D:D,Sheet1!E:E,Averages!A31),"climb success")</f>
        <v>#VALUE!</v>
      </c>
      <c r="L31" t="e">
        <f>AVERAGE(getData(Sheet1!H:H,Sheet1!D:D,Sheet1!E:E,Averages!A31))</f>
        <v>#VALUE!</v>
      </c>
      <c r="M31" t="e">
        <f>_xlfn.STDEV.S(getData(Sheet1!H:H,Sheet1!D:D,Sheet1!E:E,Averages!A31))</f>
        <v>#VALUE!</v>
      </c>
      <c r="N31" t="e" cm="1">
        <f t="array" ref="N31">countIfArray(getData(Sheet1!J:J,Sheet1!D:D,Sheet1!E:E,Averages!A31),"climb success")</f>
        <v>#VALUE!</v>
      </c>
      <c r="O31" t="e" cm="1">
        <f t="array" ref="O31">countIfArray(getData(Sheet1!J:J,Sheet1!D:D,Sheet1!E:E,Averages!A31),"climb failed")</f>
        <v>#VALUE!</v>
      </c>
      <c r="P31" t="e" cm="1">
        <f t="array" ref="P31">countIfArray(getData(Sheet1!P:P,Sheet1!D:D,Sheet1!E:E,Averages!A31),TRUE)</f>
        <v>#VALUE!</v>
      </c>
    </row>
    <row r="32" spans="2:16" x14ac:dyDescent="0.2">
      <c r="B32">
        <f>COUNTIF(Sheet1!E:E,Averages!A32)</f>
        <v>1</v>
      </c>
      <c r="C32" t="e">
        <f>AVERAGE(getData(Sheet1!X:X,Sheet1!D:D,Sheet1!E:E,Averages!A32))</f>
        <v>#VALUE!</v>
      </c>
      <c r="D32" t="e">
        <f>_xlfn.STDEV.S(getData(Sheet1!X:X,Sheet1!D:D,Sheet1!E:E,Averages!A32))</f>
        <v>#VALUE!</v>
      </c>
      <c r="E32" t="e">
        <f>AVERAGE(getData(Sheet1!W:W,Sheet1!D:D,Sheet1!E:E,Averages!A32))</f>
        <v>#VALUE!</v>
      </c>
      <c r="F32" t="e" cm="1">
        <f t="array" ref="F32">_xlfn.CONCAT(IF(contains(getData(Sheet1!Y:Y,Sheet1!D:D,Sheet1!E:E,Averages!A32),TRUE),"Speaker,",""),IF(contains(getData(Sheet1!Z:Z,Sheet1!D:D,Sheet1!E:E,Averages!A32),TRUE),"Amp",""))</f>
        <v>#VALUE!</v>
      </c>
      <c r="G32" t="e">
        <f>_xlfn.CONCAT(IF(OR(contains(getData(Sheet1!I:I,Sheet1!D:D,Sheet1!E:E,Averages!A32),"ground and source"),contains(getData(Sheet1!I:I,Sheet1!D:D,Sheet1!E:E,Averages!A32),"ground only")),"Ground,",""),IF(OR(contains(getData(Sheet1!I:I,Sheet1!D:D,Sheet1!E:E,Averages!A32),"ground and source"),contains(getData(Sheet1!I:I,Sheet1!D:D,Sheet1!E:E,Averages!A32),"source only")),"Source",""))</f>
        <v>#VALUE!</v>
      </c>
      <c r="H32" t="e">
        <f>AVERAGE(getData(Sheet1!U:U,Sheet1!D:D,Sheet1!E:E,Averages!A32))</f>
        <v>#VALUE!</v>
      </c>
      <c r="I32" t="e">
        <f>AVERAGE(getData(Sheet1!V:V,Sheet1!D:D,Sheet1!E:E,Averages!A32))</f>
        <v>#VALUE!</v>
      </c>
      <c r="J32" t="e">
        <f>_xlfn.STDEV.S(getData(Sheet1!H:H,Sheet1!D:D,Sheet1!E:E,Averages!A32))</f>
        <v>#VALUE!</v>
      </c>
      <c r="K32" t="e" cm="1">
        <f t="array" ref="K32">contains(getData(Sheet1!J:J,Sheet1!D:D,Sheet1!E:E,Averages!A32),"climb success")</f>
        <v>#VALUE!</v>
      </c>
      <c r="L32" t="e">
        <f>AVERAGE(getData(Sheet1!H:H,Sheet1!D:D,Sheet1!E:E,Averages!A32))</f>
        <v>#VALUE!</v>
      </c>
      <c r="M32" t="e">
        <f>_xlfn.STDEV.S(getData(Sheet1!H:H,Sheet1!D:D,Sheet1!E:E,Averages!A32))</f>
        <v>#VALUE!</v>
      </c>
      <c r="N32" t="e" cm="1">
        <f t="array" ref="N32">countIfArray(getData(Sheet1!J:J,Sheet1!D:D,Sheet1!E:E,Averages!A32),"climb success")</f>
        <v>#VALUE!</v>
      </c>
      <c r="O32" t="e" cm="1">
        <f t="array" ref="O32">countIfArray(getData(Sheet1!J:J,Sheet1!D:D,Sheet1!E:E,Averages!A32),"climb failed")</f>
        <v>#VALUE!</v>
      </c>
      <c r="P32" t="e" cm="1">
        <f t="array" ref="P32">countIfArray(getData(Sheet1!P:P,Sheet1!D:D,Sheet1!E:E,Averages!A32),TRUE)</f>
        <v>#VALUE!</v>
      </c>
    </row>
    <row r="33" spans="2:16" x14ac:dyDescent="0.2">
      <c r="B33">
        <f>COUNTIF(Sheet1!E:E,Averages!A33)</f>
        <v>1</v>
      </c>
      <c r="C33" t="e">
        <f>AVERAGE(getData(Sheet1!X:X,Sheet1!D:D,Sheet1!E:E,Averages!A33))</f>
        <v>#VALUE!</v>
      </c>
      <c r="D33" t="e">
        <f>_xlfn.STDEV.S(getData(Sheet1!X:X,Sheet1!D:D,Sheet1!E:E,Averages!A33))</f>
        <v>#VALUE!</v>
      </c>
      <c r="E33" t="e">
        <f>AVERAGE(getData(Sheet1!W:W,Sheet1!D:D,Sheet1!E:E,Averages!A33))</f>
        <v>#VALUE!</v>
      </c>
      <c r="F33" t="e" cm="1">
        <f t="array" ref="F33">_xlfn.CONCAT(IF(contains(getData(Sheet1!Y:Y,Sheet1!D:D,Sheet1!E:E,Averages!A33),TRUE),"Speaker,",""),IF(contains(getData(Sheet1!Z:Z,Sheet1!D:D,Sheet1!E:E,Averages!A33),TRUE),"Amp",""))</f>
        <v>#VALUE!</v>
      </c>
      <c r="G33" t="e">
        <f>_xlfn.CONCAT(IF(OR(contains(getData(Sheet1!I:I,Sheet1!D:D,Sheet1!E:E,Averages!A33),"ground and source"),contains(getData(Sheet1!I:I,Sheet1!D:D,Sheet1!E:E,Averages!A33),"ground only")),"Ground,",""),IF(OR(contains(getData(Sheet1!I:I,Sheet1!D:D,Sheet1!E:E,Averages!A33),"ground and source"),contains(getData(Sheet1!I:I,Sheet1!D:D,Sheet1!E:E,Averages!A33),"source only")),"Source",""))</f>
        <v>#VALUE!</v>
      </c>
      <c r="H33" t="e">
        <f>AVERAGE(getData(Sheet1!U:U,Sheet1!D:D,Sheet1!E:E,Averages!A33))</f>
        <v>#VALUE!</v>
      </c>
      <c r="I33" t="e">
        <f>AVERAGE(getData(Sheet1!V:V,Sheet1!D:D,Sheet1!E:E,Averages!A33))</f>
        <v>#VALUE!</v>
      </c>
      <c r="J33" t="e">
        <f>_xlfn.STDEV.S(getData(Sheet1!H:H,Sheet1!D:D,Sheet1!E:E,Averages!A33))</f>
        <v>#VALUE!</v>
      </c>
      <c r="K33" t="e" cm="1">
        <f t="array" ref="K33">contains(getData(Sheet1!J:J,Sheet1!D:D,Sheet1!E:E,Averages!A33),"climb success")</f>
        <v>#VALUE!</v>
      </c>
      <c r="L33" t="e">
        <f>AVERAGE(getData(Sheet1!H:H,Sheet1!D:D,Sheet1!E:E,Averages!A33))</f>
        <v>#VALUE!</v>
      </c>
      <c r="M33" t="e">
        <f>_xlfn.STDEV.S(getData(Sheet1!H:H,Sheet1!D:D,Sheet1!E:E,Averages!A33))</f>
        <v>#VALUE!</v>
      </c>
      <c r="N33" t="e" cm="1">
        <f t="array" ref="N33">countIfArray(getData(Sheet1!J:J,Sheet1!D:D,Sheet1!E:E,Averages!A33),"climb success")</f>
        <v>#VALUE!</v>
      </c>
      <c r="O33" t="e" cm="1">
        <f t="array" ref="O33">countIfArray(getData(Sheet1!J:J,Sheet1!D:D,Sheet1!E:E,Averages!A33),"climb failed")</f>
        <v>#VALUE!</v>
      </c>
      <c r="P33" t="e" cm="1">
        <f t="array" ref="P33">countIfArray(getData(Sheet1!P:P,Sheet1!D:D,Sheet1!E:E,Averages!A33),TRUE)</f>
        <v>#VALUE!</v>
      </c>
    </row>
    <row r="34" spans="2:16" x14ac:dyDescent="0.2">
      <c r="B34">
        <f>COUNTIF(Sheet1!E:E,Averages!A34)</f>
        <v>1</v>
      </c>
      <c r="C34" t="e">
        <f>AVERAGE(getData(Sheet1!X:X,Sheet1!D:D,Sheet1!E:E,Averages!A34))</f>
        <v>#VALUE!</v>
      </c>
      <c r="D34" t="e">
        <f>_xlfn.STDEV.S(getData(Sheet1!X:X,Sheet1!D:D,Sheet1!E:E,Averages!A34))</f>
        <v>#VALUE!</v>
      </c>
      <c r="E34" t="e">
        <f>AVERAGE(getData(Sheet1!W:W,Sheet1!D:D,Sheet1!E:E,Averages!A34))</f>
        <v>#VALUE!</v>
      </c>
      <c r="F34" t="e" cm="1">
        <f t="array" ref="F34">_xlfn.CONCAT(IF(contains(getData(Sheet1!Y:Y,Sheet1!D:D,Sheet1!E:E,Averages!A34),TRUE),"Speaker,",""),IF(contains(getData(Sheet1!Z:Z,Sheet1!D:D,Sheet1!E:E,Averages!A34),TRUE),"Amp",""))</f>
        <v>#VALUE!</v>
      </c>
      <c r="G34" t="e">
        <f>_xlfn.CONCAT(IF(OR(contains(getData(Sheet1!I:I,Sheet1!D:D,Sheet1!E:E,Averages!A34),"ground and source"),contains(getData(Sheet1!I:I,Sheet1!D:D,Sheet1!E:E,Averages!A34),"ground only")),"Ground,",""),IF(OR(contains(getData(Sheet1!I:I,Sheet1!D:D,Sheet1!E:E,Averages!A34),"ground and source"),contains(getData(Sheet1!I:I,Sheet1!D:D,Sheet1!E:E,Averages!A34),"source only")),"Source",""))</f>
        <v>#VALUE!</v>
      </c>
      <c r="H34" t="e">
        <f>AVERAGE(getData(Sheet1!U:U,Sheet1!D:D,Sheet1!E:E,Averages!A34))</f>
        <v>#VALUE!</v>
      </c>
      <c r="I34" t="e">
        <f>AVERAGE(getData(Sheet1!V:V,Sheet1!D:D,Sheet1!E:E,Averages!A34))</f>
        <v>#VALUE!</v>
      </c>
      <c r="J34" t="e">
        <f>_xlfn.STDEV.S(getData(Sheet1!H:H,Sheet1!D:D,Sheet1!E:E,Averages!A34))</f>
        <v>#VALUE!</v>
      </c>
      <c r="K34" t="e" cm="1">
        <f t="array" ref="K34">contains(getData(Sheet1!J:J,Sheet1!D:D,Sheet1!E:E,Averages!A34),"climb success")</f>
        <v>#VALUE!</v>
      </c>
      <c r="L34" t="e">
        <f>AVERAGE(getData(Sheet1!H:H,Sheet1!D:D,Sheet1!E:E,Averages!A34))</f>
        <v>#VALUE!</v>
      </c>
      <c r="M34" t="e">
        <f>_xlfn.STDEV.S(getData(Sheet1!H:H,Sheet1!D:D,Sheet1!E:E,Averages!A34))</f>
        <v>#VALUE!</v>
      </c>
      <c r="N34" t="e" cm="1">
        <f t="array" ref="N34">countIfArray(getData(Sheet1!J:J,Sheet1!D:D,Sheet1!E:E,Averages!A34),"climb success")</f>
        <v>#VALUE!</v>
      </c>
      <c r="O34" t="e" cm="1">
        <f t="array" ref="O34">countIfArray(getData(Sheet1!J:J,Sheet1!D:D,Sheet1!E:E,Averages!A34),"climb failed")</f>
        <v>#VALUE!</v>
      </c>
      <c r="P34" t="e" cm="1">
        <f t="array" ref="P34">countIfArray(getData(Sheet1!P:P,Sheet1!D:D,Sheet1!E:E,Averages!A34),TRUE)</f>
        <v>#VALUE!</v>
      </c>
    </row>
    <row r="35" spans="2:16" x14ac:dyDescent="0.2">
      <c r="B35">
        <f>COUNTIF(Sheet1!E:E,Averages!A35)</f>
        <v>1</v>
      </c>
      <c r="C35" t="e">
        <f>AVERAGE(getData(Sheet1!X:X,Sheet1!D:D,Sheet1!E:E,Averages!A35))</f>
        <v>#VALUE!</v>
      </c>
      <c r="D35" t="e">
        <f>_xlfn.STDEV.S(getData(Sheet1!X:X,Sheet1!D:D,Sheet1!E:E,Averages!A35))</f>
        <v>#VALUE!</v>
      </c>
      <c r="E35" t="e">
        <f>AVERAGE(getData(Sheet1!W:W,Sheet1!D:D,Sheet1!E:E,Averages!A35))</f>
        <v>#VALUE!</v>
      </c>
      <c r="F35" t="e" cm="1">
        <f t="array" ref="F35">_xlfn.CONCAT(IF(contains(getData(Sheet1!Y:Y,Sheet1!D:D,Sheet1!E:E,Averages!A35),TRUE),"Speaker,",""),IF(contains(getData(Sheet1!Z:Z,Sheet1!D:D,Sheet1!E:E,Averages!A35),TRUE),"Amp",""))</f>
        <v>#VALUE!</v>
      </c>
      <c r="G35" t="e">
        <f>_xlfn.CONCAT(IF(OR(contains(getData(Sheet1!I:I,Sheet1!D:D,Sheet1!E:E,Averages!A35),"ground and source"),contains(getData(Sheet1!I:I,Sheet1!D:D,Sheet1!E:E,Averages!A35),"ground only")),"Ground,",""),IF(OR(contains(getData(Sheet1!I:I,Sheet1!D:D,Sheet1!E:E,Averages!A35),"ground and source"),contains(getData(Sheet1!I:I,Sheet1!D:D,Sheet1!E:E,Averages!A35),"source only")),"Source",""))</f>
        <v>#VALUE!</v>
      </c>
      <c r="H35" t="e">
        <f>AVERAGE(getData(Sheet1!U:U,Sheet1!D:D,Sheet1!E:E,Averages!A35))</f>
        <v>#VALUE!</v>
      </c>
      <c r="I35" t="e">
        <f>AVERAGE(getData(Sheet1!V:V,Sheet1!D:D,Sheet1!E:E,Averages!A35))</f>
        <v>#VALUE!</v>
      </c>
      <c r="J35" t="e">
        <f>_xlfn.STDEV.S(getData(Sheet1!H:H,Sheet1!D:D,Sheet1!E:E,Averages!A35))</f>
        <v>#VALUE!</v>
      </c>
      <c r="K35" t="e" cm="1">
        <f t="array" ref="K35">contains(getData(Sheet1!J:J,Sheet1!D:D,Sheet1!E:E,Averages!A35),"climb success")</f>
        <v>#VALUE!</v>
      </c>
      <c r="L35" t="e">
        <f>AVERAGE(getData(Sheet1!H:H,Sheet1!D:D,Sheet1!E:E,Averages!A35))</f>
        <v>#VALUE!</v>
      </c>
      <c r="M35" t="e">
        <f>_xlfn.STDEV.S(getData(Sheet1!H:H,Sheet1!D:D,Sheet1!E:E,Averages!A35))</f>
        <v>#VALUE!</v>
      </c>
      <c r="N35" t="e" cm="1">
        <f t="array" ref="N35">countIfArray(getData(Sheet1!J:J,Sheet1!D:D,Sheet1!E:E,Averages!A35),"climb success")</f>
        <v>#VALUE!</v>
      </c>
      <c r="O35" t="e" cm="1">
        <f t="array" ref="O35">countIfArray(getData(Sheet1!J:J,Sheet1!D:D,Sheet1!E:E,Averages!A35),"climb failed")</f>
        <v>#VALUE!</v>
      </c>
      <c r="P35" t="e" cm="1">
        <f t="array" ref="P35">countIfArray(getData(Sheet1!P:P,Sheet1!D:D,Sheet1!E:E,Averages!A35),TRUE)</f>
        <v>#VALUE!</v>
      </c>
    </row>
    <row r="36" spans="2:16" x14ac:dyDescent="0.2">
      <c r="B36">
        <f>COUNTIF(Sheet1!E:E,Averages!A36)</f>
        <v>1</v>
      </c>
      <c r="C36" t="e">
        <f>AVERAGE(getData(Sheet1!X:X,Sheet1!D:D,Sheet1!E:E,Averages!A36))</f>
        <v>#VALUE!</v>
      </c>
      <c r="D36" t="e">
        <f>_xlfn.STDEV.S(getData(Sheet1!X:X,Sheet1!D:D,Sheet1!E:E,Averages!A36))</f>
        <v>#VALUE!</v>
      </c>
      <c r="E36" t="e">
        <f>AVERAGE(getData(Sheet1!W:W,Sheet1!D:D,Sheet1!E:E,Averages!A36))</f>
        <v>#VALUE!</v>
      </c>
      <c r="F36" t="e" cm="1">
        <f t="array" ref="F36">_xlfn.CONCAT(IF(contains(getData(Sheet1!Y:Y,Sheet1!D:D,Sheet1!E:E,Averages!A36),TRUE),"Speaker,",""),IF(contains(getData(Sheet1!Z:Z,Sheet1!D:D,Sheet1!E:E,Averages!A36),TRUE),"Amp",""))</f>
        <v>#VALUE!</v>
      </c>
      <c r="G36" t="e">
        <f>_xlfn.CONCAT(IF(OR(contains(getData(Sheet1!I:I,Sheet1!D:D,Sheet1!E:E,Averages!A36),"ground and source"),contains(getData(Sheet1!I:I,Sheet1!D:D,Sheet1!E:E,Averages!A36),"ground only")),"Ground,",""),IF(OR(contains(getData(Sheet1!I:I,Sheet1!D:D,Sheet1!E:E,Averages!A36),"ground and source"),contains(getData(Sheet1!I:I,Sheet1!D:D,Sheet1!E:E,Averages!A36),"source only")),"Source",""))</f>
        <v>#VALUE!</v>
      </c>
      <c r="H36" t="e">
        <f>AVERAGE(getData(Sheet1!U:U,Sheet1!D:D,Sheet1!E:E,Averages!A36))</f>
        <v>#VALUE!</v>
      </c>
      <c r="I36" t="e">
        <f>AVERAGE(getData(Sheet1!V:V,Sheet1!D:D,Sheet1!E:E,Averages!A36))</f>
        <v>#VALUE!</v>
      </c>
      <c r="J36" t="e">
        <f>_xlfn.STDEV.S(getData(Sheet1!H:H,Sheet1!D:D,Sheet1!E:E,Averages!A36))</f>
        <v>#VALUE!</v>
      </c>
      <c r="K36" t="e" cm="1">
        <f t="array" ref="K36">contains(getData(Sheet1!J:J,Sheet1!D:D,Sheet1!E:E,Averages!A36),"climb success")</f>
        <v>#VALUE!</v>
      </c>
      <c r="L36" t="e">
        <f>AVERAGE(getData(Sheet1!H:H,Sheet1!D:D,Sheet1!E:E,Averages!A36))</f>
        <v>#VALUE!</v>
      </c>
      <c r="M36" t="e">
        <f>_xlfn.STDEV.S(getData(Sheet1!H:H,Sheet1!D:D,Sheet1!E:E,Averages!A36))</f>
        <v>#VALUE!</v>
      </c>
      <c r="N36" t="e" cm="1">
        <f t="array" ref="N36">countIfArray(getData(Sheet1!J:J,Sheet1!D:D,Sheet1!E:E,Averages!A36),"climb success")</f>
        <v>#VALUE!</v>
      </c>
      <c r="O36" t="e" cm="1">
        <f t="array" ref="O36">countIfArray(getData(Sheet1!J:J,Sheet1!D:D,Sheet1!E:E,Averages!A36),"climb failed")</f>
        <v>#VALUE!</v>
      </c>
      <c r="P36" t="e" cm="1">
        <f t="array" ref="P36">countIfArray(getData(Sheet1!P:P,Sheet1!D:D,Sheet1!E:E,Averages!A36),TRUE)</f>
        <v>#VALUE!</v>
      </c>
    </row>
    <row r="37" spans="2:16" x14ac:dyDescent="0.2">
      <c r="B37">
        <f>COUNTIF(Sheet1!E:E,Averages!A37)</f>
        <v>1</v>
      </c>
      <c r="C37" t="e">
        <f>AVERAGE(getData(Sheet1!X:X,Sheet1!D:D,Sheet1!E:E,Averages!A37))</f>
        <v>#VALUE!</v>
      </c>
      <c r="D37" t="e">
        <f>_xlfn.STDEV.S(getData(Sheet1!X:X,Sheet1!D:D,Sheet1!E:E,Averages!A37))</f>
        <v>#VALUE!</v>
      </c>
      <c r="E37" t="e">
        <f>AVERAGE(getData(Sheet1!W:W,Sheet1!D:D,Sheet1!E:E,Averages!A37))</f>
        <v>#VALUE!</v>
      </c>
      <c r="F37" t="e" cm="1">
        <f t="array" ref="F37">_xlfn.CONCAT(IF(contains(getData(Sheet1!Y:Y,Sheet1!D:D,Sheet1!E:E,Averages!A37),TRUE),"Speaker,",""),IF(contains(getData(Sheet1!Z:Z,Sheet1!D:D,Sheet1!E:E,Averages!A37),TRUE),"Amp",""))</f>
        <v>#VALUE!</v>
      </c>
      <c r="G37" t="e">
        <f>_xlfn.CONCAT(IF(OR(contains(getData(Sheet1!I:I,Sheet1!D:D,Sheet1!E:E,Averages!A37),"ground and source"),contains(getData(Sheet1!I:I,Sheet1!D:D,Sheet1!E:E,Averages!A37),"ground only")),"Ground,",""),IF(OR(contains(getData(Sheet1!I:I,Sheet1!D:D,Sheet1!E:E,Averages!A37),"ground and source"),contains(getData(Sheet1!I:I,Sheet1!D:D,Sheet1!E:E,Averages!A37),"source only")),"Source",""))</f>
        <v>#VALUE!</v>
      </c>
      <c r="H37" t="e">
        <f>AVERAGE(getData(Sheet1!U:U,Sheet1!D:D,Sheet1!E:E,Averages!A37))</f>
        <v>#VALUE!</v>
      </c>
      <c r="I37" t="e">
        <f>AVERAGE(getData(Sheet1!V:V,Sheet1!D:D,Sheet1!E:E,Averages!A37))</f>
        <v>#VALUE!</v>
      </c>
      <c r="J37" t="e">
        <f>_xlfn.STDEV.S(getData(Sheet1!H:H,Sheet1!D:D,Sheet1!E:E,Averages!A37))</f>
        <v>#VALUE!</v>
      </c>
      <c r="K37" t="e" cm="1">
        <f t="array" ref="K37">contains(getData(Sheet1!J:J,Sheet1!D:D,Sheet1!E:E,Averages!A37),"climb success")</f>
        <v>#VALUE!</v>
      </c>
      <c r="L37" t="e">
        <f>AVERAGE(getData(Sheet1!H:H,Sheet1!D:D,Sheet1!E:E,Averages!A37))</f>
        <v>#VALUE!</v>
      </c>
      <c r="M37" t="e">
        <f>_xlfn.STDEV.S(getData(Sheet1!H:H,Sheet1!D:D,Sheet1!E:E,Averages!A37))</f>
        <v>#VALUE!</v>
      </c>
      <c r="N37" t="e" cm="1">
        <f t="array" ref="N37">countIfArray(getData(Sheet1!J:J,Sheet1!D:D,Sheet1!E:E,Averages!A37),"climb success")</f>
        <v>#VALUE!</v>
      </c>
      <c r="O37" t="e" cm="1">
        <f t="array" ref="O37">countIfArray(getData(Sheet1!J:J,Sheet1!D:D,Sheet1!E:E,Averages!A37),"climb failed")</f>
        <v>#VALUE!</v>
      </c>
      <c r="P37" t="e" cm="1">
        <f t="array" ref="P37">countIfArray(getData(Sheet1!P:P,Sheet1!D:D,Sheet1!E:E,Averages!A37),TRUE)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B1AD7-F805-4E15-92CB-A53F76320DCD}">
  <sheetPr codeName="Sheet3"/>
  <dimension ref="A1:ZZ10"/>
  <sheetViews>
    <sheetView workbookViewId="0">
      <selection activeCell="B7" sqref="B7"/>
    </sheetView>
  </sheetViews>
  <sheetFormatPr baseColWidth="10" defaultColWidth="8.83203125" defaultRowHeight="15" x14ac:dyDescent="0.2"/>
  <sheetData>
    <row r="1" spans="1:702" x14ac:dyDescent="0.2">
      <c r="B1" t="s">
        <v>167</v>
      </c>
      <c r="D1" t="s">
        <v>168</v>
      </c>
      <c r="F1" t="s">
        <v>169</v>
      </c>
    </row>
    <row r="2" spans="1:702" x14ac:dyDescent="0.2">
      <c r="B2">
        <f>'Auto Path Backend 3'!C2</f>
        <v>6443</v>
      </c>
      <c r="D2">
        <f>'Auto Path Backend 3'!E2</f>
        <v>0</v>
      </c>
      <c r="F2" t="e" cm="1">
        <f t="array" ref="F2">MAX(_xlfn.BYCOL(5:5, _xlfn.LAMBDA(_xlpm.ARRAY,IF(_xlpm.ARRAY="teleOp", COLUMN(_xlpm.ARRAY), 0))))</f>
        <v>#VALUE!</v>
      </c>
    </row>
    <row r="3" spans="1:702" x14ac:dyDescent="0.2">
      <c r="C3">
        <f>COLUMN(C3)</f>
        <v>3</v>
      </c>
    </row>
    <row r="4" spans="1:702" x14ac:dyDescent="0.2">
      <c r="B4" t="s">
        <v>170</v>
      </c>
    </row>
    <row r="5" spans="1:702" x14ac:dyDescent="0.2">
      <c r="A5" t="e" cm="1">
        <f t="array" ref="A5:ZZ5">B7:AAA7</f>
        <v>#VALUE!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</row>
    <row r="6" spans="1:702" x14ac:dyDescent="0.2">
      <c r="B6" t="s">
        <v>171</v>
      </c>
    </row>
    <row r="7" spans="1:702" x14ac:dyDescent="0.2">
      <c r="A7" t="e" cm="1">
        <f t="array" ref="A7">MAX(_xlfn.BYCOL(B7:AAA7, _xlfn.LAMBDA(_xlpm.ARRAY,IF(_xlpm.ARRAY="teleOp", COLUMN(_xlpm.ARRAY), 0))))-1</f>
        <v>#VALUE!</v>
      </c>
      <c r="B7" t="e" cm="1">
        <f t="array" ref="B7">_xlfn.CHOOSEROWS(Sheet1!AD:FN,getDataRows(Sheet1!D:D,Sheet1!E:E,'Auto Path Backend 1'!B2))</f>
        <v>#VALUE!</v>
      </c>
    </row>
    <row r="8" spans="1:702" x14ac:dyDescent="0.2">
      <c r="A8" cm="1">
        <f t="array" ref="A8">MAX(_xlfn.BYCOL(B8:AAA8, _xlfn.LAMBDA(_xlpm.ARRAY,IF(_xlpm.ARRAY="teleOp", COLUMN(_xlpm.ARRAY), 0))))-1</f>
        <v>-1</v>
      </c>
    </row>
    <row r="9" spans="1:702" x14ac:dyDescent="0.2">
      <c r="A9" cm="1">
        <f t="array" ref="A9">MAX(_xlfn.BYCOL(B9:AAA9, _xlfn.LAMBDA(_xlpm.ARRAY,IF(_xlpm.ARRAY="teleOp", COLUMN(_xlpm.ARRAY), 0))))-1</f>
        <v>-1</v>
      </c>
    </row>
    <row r="10" spans="1:702" x14ac:dyDescent="0.2">
      <c r="A10" cm="1">
        <f t="array" ref="A10">MAX(_xlfn.BYCOL(B10:AAA10, _xlfn.LAMBDA(_xlpm.ARRAY,IF(_xlpm.ARRAY="teleOp", COLUMN(_xlpm.ARRAY), 0))))-1</f>
        <v>-1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60435-C27E-4C42-831C-2C0787BDFBE1}">
  <sheetPr codeName="Sheet26"/>
  <dimension ref="A1:F237"/>
  <sheetViews>
    <sheetView workbookViewId="0">
      <selection activeCell="B7" sqref="B7"/>
    </sheetView>
  </sheetViews>
  <sheetFormatPr baseColWidth="10" defaultColWidth="8.83203125" defaultRowHeight="15" x14ac:dyDescent="0.2"/>
  <sheetData>
    <row r="1" spans="1:6" x14ac:dyDescent="0.2">
      <c r="B1" t="s">
        <v>167</v>
      </c>
      <c r="D1" t="s">
        <v>168</v>
      </c>
      <c r="F1" t="s">
        <v>169</v>
      </c>
    </row>
    <row r="2" spans="1:6" x14ac:dyDescent="0.2">
      <c r="B2">
        <f>'Auto Path Backend 3'!C2</f>
        <v>6443</v>
      </c>
      <c r="D2" s="4">
        <f>'Auto Path Backend 3'!E2</f>
        <v>0</v>
      </c>
      <c r="F2">
        <f>COUNTA(5:5)</f>
        <v>1</v>
      </c>
    </row>
    <row r="3" spans="1:6" x14ac:dyDescent="0.2">
      <c r="C3">
        <f>COLUMN(C3)</f>
        <v>3</v>
      </c>
    </row>
    <row r="4" spans="1:6" x14ac:dyDescent="0.2">
      <c r="B4" t="s">
        <v>170</v>
      </c>
    </row>
    <row r="5" spans="1:6" x14ac:dyDescent="0.2">
      <c r="B5" t="e" cm="1" vm="1">
        <f t="array" ref="B5">_xlfn.TOROW(_xlfn.CHOOSEROWS(_xlfn._xlws.FILTER(B7:AAA100,A7:A100 = D2), _xlfn.MAKEARRAY(1,COUNTIF(A7:A7:A100,D2),_xlfn.LAMBDA(_xlpm.r,_xlpm.c,_xlpm.c))),1)</f>
        <v>#VALUE!</v>
      </c>
    </row>
    <row r="6" spans="1:6" x14ac:dyDescent="0.2">
      <c r="A6" t="s">
        <v>172</v>
      </c>
      <c r="B6" t="s">
        <v>171</v>
      </c>
    </row>
    <row r="7" spans="1:6" x14ac:dyDescent="0.2">
      <c r="A7" t="e" cm="1" vm="2">
        <f t="array" ref="A7">_xlfn.TOCOL(_xlfn.BYROW(B7:AAA237,_xlfn.LAMBDA(_xlpm.row,_xlfn.CONCAT(_xlfn.CHOOSECOLS(_xlpm.row,_xlfn.MAKEARRAY(('Auto Path Backend 1'!A7-2)/4,1,_xlfn.LAMBDA(_xlpm.r,_xlpm.c,_xlpm.r*4-3)))))),2)</f>
        <v>#VALUE!</v>
      </c>
      <c r="B7" t="e" cm="1">
        <f t="array" ref="B7">_xlfn.CHOOSECOLS('Auto Path Backend 1'!B7:AAA7,_xlfn.MAKEARRAY(1,'Auto Path Backend 1'!A7-2,_xlfn.LAMBDA(_xlpm.r,_xlpm.c,_xlpm.c)))</f>
        <v>#VALUE!</v>
      </c>
    </row>
    <row r="8" spans="1:6" x14ac:dyDescent="0.2">
      <c r="B8" t="e" cm="1">
        <f t="array" ref="B8">_xlfn.CHOOSECOLS('Auto Path Backend 1'!B8:AAA8,_xlfn.MAKEARRAY(1,'Auto Path Backend 1'!A8-2,_xlfn.LAMBDA(_xlpm.r,_xlpm.c,_xlpm.c)))</f>
        <v>#VALUE!</v>
      </c>
    </row>
    <row r="9" spans="1:6" x14ac:dyDescent="0.2">
      <c r="B9" t="e" cm="1">
        <f t="array" ref="B9">_xlfn.CHOOSECOLS('Auto Path Backend 1'!B9:AAA9,_xlfn.MAKEARRAY(1,'Auto Path Backend 1'!A9-2,_xlfn.LAMBDA(_xlpm.r,_xlpm.c,_xlpm.c)))</f>
        <v>#VALUE!</v>
      </c>
    </row>
    <row r="10" spans="1:6" x14ac:dyDescent="0.2">
      <c r="B10" t="e" cm="1">
        <f t="array" ref="B10">_xlfn.CHOOSECOLS('Auto Path Backend 1'!B10:AAA10,_xlfn.MAKEARRAY(1,'Auto Path Backend 1'!A10-2,_xlfn.LAMBDA(_xlpm.r,_xlpm.c,_xlpm.c)))</f>
        <v>#VALUE!</v>
      </c>
    </row>
    <row r="11" spans="1:6" x14ac:dyDescent="0.2">
      <c r="B11" t="e" cm="1">
        <f t="array" ref="B11">_xlfn.CHOOSECOLS('Auto Path Backend 1'!B11:AAA11,_xlfn.MAKEARRAY(1,'Auto Path Backend 1'!A11-2,_xlfn.LAMBDA(_xlpm.r,_xlpm.c,_xlpm.c)))</f>
        <v>#VALUE!</v>
      </c>
    </row>
    <row r="12" spans="1:6" x14ac:dyDescent="0.2">
      <c r="B12" t="e" cm="1">
        <f t="array" ref="B12">_xlfn.CHOOSECOLS('Auto Path Backend 1'!B12:AAA12,_xlfn.MAKEARRAY(1,'Auto Path Backend 1'!A12-2,_xlfn.LAMBDA(_xlpm.r,_xlpm.c,_xlpm.c)))</f>
        <v>#VALUE!</v>
      </c>
    </row>
    <row r="13" spans="1:6" x14ac:dyDescent="0.2">
      <c r="B13" t="e" cm="1">
        <f t="array" ref="B13">_xlfn.CHOOSECOLS('Auto Path Backend 1'!B13:AAA13,_xlfn.MAKEARRAY(1,'Auto Path Backend 1'!A13-2,_xlfn.LAMBDA(_xlpm.r,_xlpm.c,_xlpm.c)))</f>
        <v>#VALUE!</v>
      </c>
    </row>
    <row r="14" spans="1:6" x14ac:dyDescent="0.2">
      <c r="B14" t="e" cm="1">
        <f t="array" ref="B14">_xlfn.CHOOSECOLS('Auto Path Backend 1'!B14:AAA14,_xlfn.MAKEARRAY(1,'Auto Path Backend 1'!A14-2,_xlfn.LAMBDA(_xlpm.r,_xlpm.c,_xlpm.c)))</f>
        <v>#VALUE!</v>
      </c>
    </row>
    <row r="15" spans="1:6" x14ac:dyDescent="0.2">
      <c r="B15" t="e" cm="1">
        <f t="array" ref="B15">_xlfn.CHOOSECOLS('Auto Path Backend 1'!B15:AAA15,_xlfn.MAKEARRAY(1,'Auto Path Backend 1'!A15-2,_xlfn.LAMBDA(_xlpm.r,_xlpm.c,_xlpm.c)))</f>
        <v>#VALUE!</v>
      </c>
    </row>
    <row r="16" spans="1:6" x14ac:dyDescent="0.2">
      <c r="B16" t="e" cm="1">
        <f t="array" ref="B16">_xlfn.CHOOSECOLS('Auto Path Backend 1'!B16:AAA16,_xlfn.MAKEARRAY(1,'Auto Path Backend 1'!A16-2,_xlfn.LAMBDA(_xlpm.r,_xlpm.c,_xlpm.c)))</f>
        <v>#VALUE!</v>
      </c>
    </row>
    <row r="17" spans="2:2" x14ac:dyDescent="0.2">
      <c r="B17" t="e" cm="1">
        <f t="array" ref="B17">_xlfn.CHOOSECOLS('Auto Path Backend 1'!B17:AAA17,_xlfn.MAKEARRAY(1,'Auto Path Backend 1'!A17-2,_xlfn.LAMBDA(_xlpm.r,_xlpm.c,_xlpm.c)))</f>
        <v>#VALUE!</v>
      </c>
    </row>
    <row r="18" spans="2:2" x14ac:dyDescent="0.2">
      <c r="B18" t="e" cm="1">
        <f t="array" ref="B18">_xlfn.CHOOSECOLS('Auto Path Backend 1'!B18:AAA18,_xlfn.MAKEARRAY(1,'Auto Path Backend 1'!A18-2,_xlfn.LAMBDA(_xlpm.r,_xlpm.c,_xlpm.c)))</f>
        <v>#VALUE!</v>
      </c>
    </row>
    <row r="19" spans="2:2" x14ac:dyDescent="0.2">
      <c r="B19" t="e" cm="1">
        <f t="array" ref="B19">_xlfn.CHOOSECOLS('Auto Path Backend 1'!B19:AAA19,_xlfn.MAKEARRAY(1,'Auto Path Backend 1'!A19-2,_xlfn.LAMBDA(_xlpm.r,_xlpm.c,_xlpm.c)))</f>
        <v>#VALUE!</v>
      </c>
    </row>
    <row r="20" spans="2:2" x14ac:dyDescent="0.2">
      <c r="B20" t="e" cm="1">
        <f t="array" ref="B20">_xlfn.CHOOSECOLS('Auto Path Backend 1'!B20:AAA20,_xlfn.MAKEARRAY(1,'Auto Path Backend 1'!A20-2,_xlfn.LAMBDA(_xlpm.r,_xlpm.c,_xlpm.c)))</f>
        <v>#VALUE!</v>
      </c>
    </row>
    <row r="21" spans="2:2" x14ac:dyDescent="0.2">
      <c r="B21" t="e" cm="1">
        <f t="array" ref="B21">_xlfn.CHOOSECOLS('Auto Path Backend 1'!B21:AAA21,_xlfn.MAKEARRAY(1,'Auto Path Backend 1'!A21-2,_xlfn.LAMBDA(_xlpm.r,_xlpm.c,_xlpm.c)))</f>
        <v>#VALUE!</v>
      </c>
    </row>
    <row r="22" spans="2:2" x14ac:dyDescent="0.2">
      <c r="B22" t="e" cm="1">
        <f t="array" ref="B22">_xlfn.CHOOSECOLS('Auto Path Backend 1'!B22:AAA22,_xlfn.MAKEARRAY(1,'Auto Path Backend 1'!A22-2,_xlfn.LAMBDA(_xlpm.r,_xlpm.c,_xlpm.c)))</f>
        <v>#VALUE!</v>
      </c>
    </row>
    <row r="23" spans="2:2" x14ac:dyDescent="0.2">
      <c r="B23" t="e" cm="1">
        <f t="array" ref="B23">_xlfn.CHOOSECOLS('Auto Path Backend 1'!B23:AAA23,_xlfn.MAKEARRAY(1,'Auto Path Backend 1'!A23-2,_xlfn.LAMBDA(_xlpm.r,_xlpm.c,_xlpm.c)))</f>
        <v>#VALUE!</v>
      </c>
    </row>
    <row r="24" spans="2:2" x14ac:dyDescent="0.2">
      <c r="B24" t="e" cm="1">
        <f t="array" ref="B24">_xlfn.CHOOSECOLS('Auto Path Backend 1'!B24:AAA24,_xlfn.MAKEARRAY(1,'Auto Path Backend 1'!A24-2,_xlfn.LAMBDA(_xlpm.r,_xlpm.c,_xlpm.c)))</f>
        <v>#VALUE!</v>
      </c>
    </row>
    <row r="25" spans="2:2" x14ac:dyDescent="0.2">
      <c r="B25" t="e" cm="1">
        <f t="array" ref="B25">_xlfn.CHOOSECOLS('Auto Path Backend 1'!B25:AAA25,_xlfn.MAKEARRAY(1,'Auto Path Backend 1'!A25-2,_xlfn.LAMBDA(_xlpm.r,_xlpm.c,_xlpm.c)))</f>
        <v>#VALUE!</v>
      </c>
    </row>
    <row r="26" spans="2:2" x14ac:dyDescent="0.2">
      <c r="B26" t="e" cm="1">
        <f t="array" ref="B26">_xlfn.CHOOSECOLS('Auto Path Backend 1'!B26:AAA26,_xlfn.MAKEARRAY(1,'Auto Path Backend 1'!A26-2,_xlfn.LAMBDA(_xlpm.r,_xlpm.c,_xlpm.c)))</f>
        <v>#VALUE!</v>
      </c>
    </row>
    <row r="27" spans="2:2" x14ac:dyDescent="0.2">
      <c r="B27" t="e" cm="1">
        <f t="array" ref="B27">_xlfn.CHOOSECOLS('Auto Path Backend 1'!B27:AAA27,_xlfn.MAKEARRAY(1,'Auto Path Backend 1'!A27-2,_xlfn.LAMBDA(_xlpm.r,_xlpm.c,_xlpm.c)))</f>
        <v>#VALUE!</v>
      </c>
    </row>
    <row r="28" spans="2:2" x14ac:dyDescent="0.2">
      <c r="B28" t="e" cm="1">
        <f t="array" ref="B28">_xlfn.CHOOSECOLS('Auto Path Backend 1'!B28:AAA28,_xlfn.MAKEARRAY(1,'Auto Path Backend 1'!A28-2,_xlfn.LAMBDA(_xlpm.r,_xlpm.c,_xlpm.c)))</f>
        <v>#VALUE!</v>
      </c>
    </row>
    <row r="29" spans="2:2" x14ac:dyDescent="0.2">
      <c r="B29" t="e" cm="1">
        <f t="array" ref="B29">_xlfn.CHOOSECOLS('Auto Path Backend 1'!B29:AAA29,_xlfn.MAKEARRAY(1,'Auto Path Backend 1'!A29-2,_xlfn.LAMBDA(_xlpm.r,_xlpm.c,_xlpm.c)))</f>
        <v>#VALUE!</v>
      </c>
    </row>
    <row r="30" spans="2:2" x14ac:dyDescent="0.2">
      <c r="B30" t="e" cm="1">
        <f t="array" ref="B30">_xlfn.CHOOSECOLS('Auto Path Backend 1'!B30:AAA30,_xlfn.MAKEARRAY(1,'Auto Path Backend 1'!A30-2,_xlfn.LAMBDA(_xlpm.r,_xlpm.c,_xlpm.c)))</f>
        <v>#VALUE!</v>
      </c>
    </row>
    <row r="31" spans="2:2" x14ac:dyDescent="0.2">
      <c r="B31" t="e" cm="1">
        <f t="array" ref="B31">_xlfn.CHOOSECOLS('Auto Path Backend 1'!B31:AAA31,_xlfn.MAKEARRAY(1,'Auto Path Backend 1'!A31-2,_xlfn.LAMBDA(_xlpm.r,_xlpm.c,_xlpm.c)))</f>
        <v>#VALUE!</v>
      </c>
    </row>
    <row r="32" spans="2:2" x14ac:dyDescent="0.2">
      <c r="B32" t="e" cm="1">
        <f t="array" ref="B32">_xlfn.CHOOSECOLS('Auto Path Backend 1'!B32:AAA32,_xlfn.MAKEARRAY(1,'Auto Path Backend 1'!A32-2,_xlfn.LAMBDA(_xlpm.r,_xlpm.c,_xlpm.c)))</f>
        <v>#VALUE!</v>
      </c>
    </row>
    <row r="33" spans="2:2" x14ac:dyDescent="0.2">
      <c r="B33" t="e" cm="1">
        <f t="array" ref="B33">_xlfn.CHOOSECOLS('Auto Path Backend 1'!B33:AAA33,_xlfn.MAKEARRAY(1,'Auto Path Backend 1'!A33-2,_xlfn.LAMBDA(_xlpm.r,_xlpm.c,_xlpm.c)))</f>
        <v>#VALUE!</v>
      </c>
    </row>
    <row r="34" spans="2:2" x14ac:dyDescent="0.2">
      <c r="B34" t="e" cm="1">
        <f t="array" ref="B34">_xlfn.CHOOSECOLS('Auto Path Backend 1'!B34:AAA34,_xlfn.MAKEARRAY(1,'Auto Path Backend 1'!A34-2,_xlfn.LAMBDA(_xlpm.r,_xlpm.c,_xlpm.c)))</f>
        <v>#VALUE!</v>
      </c>
    </row>
    <row r="35" spans="2:2" x14ac:dyDescent="0.2">
      <c r="B35" t="e" cm="1">
        <f t="array" ref="B35">_xlfn.CHOOSECOLS('Auto Path Backend 1'!B35:AAA35,_xlfn.MAKEARRAY(1,'Auto Path Backend 1'!A35-2,_xlfn.LAMBDA(_xlpm.r,_xlpm.c,_xlpm.c)))</f>
        <v>#VALUE!</v>
      </c>
    </row>
    <row r="36" spans="2:2" x14ac:dyDescent="0.2">
      <c r="B36" t="e" cm="1">
        <f t="array" ref="B36">_xlfn.CHOOSECOLS('Auto Path Backend 1'!B36:AAA36,_xlfn.MAKEARRAY(1,'Auto Path Backend 1'!A36-2,_xlfn.LAMBDA(_xlpm.r,_xlpm.c,_xlpm.c)))</f>
        <v>#VALUE!</v>
      </c>
    </row>
    <row r="37" spans="2:2" x14ac:dyDescent="0.2">
      <c r="B37" t="e" cm="1">
        <f t="array" ref="B37">_xlfn.CHOOSECOLS('Auto Path Backend 1'!B37:AAA37,_xlfn.MAKEARRAY(1,'Auto Path Backend 1'!A37-2,_xlfn.LAMBDA(_xlpm.r,_xlpm.c,_xlpm.c)))</f>
        <v>#VALUE!</v>
      </c>
    </row>
    <row r="38" spans="2:2" x14ac:dyDescent="0.2">
      <c r="B38" t="e" cm="1">
        <f t="array" ref="B38">_xlfn.CHOOSECOLS('Auto Path Backend 1'!B38:AAA38,_xlfn.MAKEARRAY(1,'Auto Path Backend 1'!A38-2,_xlfn.LAMBDA(_xlpm.r,_xlpm.c,_xlpm.c)))</f>
        <v>#VALUE!</v>
      </c>
    </row>
    <row r="39" spans="2:2" x14ac:dyDescent="0.2">
      <c r="B39" t="e" cm="1">
        <f t="array" ref="B39">_xlfn.CHOOSECOLS('Auto Path Backend 1'!B39:AAA39,_xlfn.MAKEARRAY(1,'Auto Path Backend 1'!A39-2,_xlfn.LAMBDA(_xlpm.r,_xlpm.c,_xlpm.c)))</f>
        <v>#VALUE!</v>
      </c>
    </row>
    <row r="40" spans="2:2" x14ac:dyDescent="0.2">
      <c r="B40" t="e" cm="1">
        <f t="array" ref="B40">_xlfn.CHOOSECOLS('Auto Path Backend 1'!B40:AAA40,_xlfn.MAKEARRAY(1,'Auto Path Backend 1'!A40-2,_xlfn.LAMBDA(_xlpm.r,_xlpm.c,_xlpm.c)))</f>
        <v>#VALUE!</v>
      </c>
    </row>
    <row r="41" spans="2:2" x14ac:dyDescent="0.2">
      <c r="B41" t="e" cm="1">
        <f t="array" ref="B41">_xlfn.CHOOSECOLS('Auto Path Backend 1'!B41:AAA41,_xlfn.MAKEARRAY(1,'Auto Path Backend 1'!A41-2,_xlfn.LAMBDA(_xlpm.r,_xlpm.c,_xlpm.c)))</f>
        <v>#VALUE!</v>
      </c>
    </row>
    <row r="42" spans="2:2" x14ac:dyDescent="0.2">
      <c r="B42" t="e" cm="1">
        <f t="array" ref="B42">_xlfn.CHOOSECOLS('Auto Path Backend 1'!B42:AAA42,_xlfn.MAKEARRAY(1,'Auto Path Backend 1'!A42-2,_xlfn.LAMBDA(_xlpm.r,_xlpm.c,_xlpm.c)))</f>
        <v>#VALUE!</v>
      </c>
    </row>
    <row r="43" spans="2:2" x14ac:dyDescent="0.2">
      <c r="B43" t="e" cm="1">
        <f t="array" ref="B43">_xlfn.CHOOSECOLS('Auto Path Backend 1'!B43:AAA43,_xlfn.MAKEARRAY(1,'Auto Path Backend 1'!A43-2,_xlfn.LAMBDA(_xlpm.r,_xlpm.c,_xlpm.c)))</f>
        <v>#VALUE!</v>
      </c>
    </row>
    <row r="44" spans="2:2" x14ac:dyDescent="0.2">
      <c r="B44" t="e" cm="1">
        <f t="array" ref="B44">_xlfn.CHOOSECOLS('Auto Path Backend 1'!B44:AAA44,_xlfn.MAKEARRAY(1,'Auto Path Backend 1'!A44-2,_xlfn.LAMBDA(_xlpm.r,_xlpm.c,_xlpm.c)))</f>
        <v>#VALUE!</v>
      </c>
    </row>
    <row r="45" spans="2:2" x14ac:dyDescent="0.2">
      <c r="B45" t="e" cm="1">
        <f t="array" ref="B45">_xlfn.CHOOSECOLS('Auto Path Backend 1'!B45:AAA45,_xlfn.MAKEARRAY(1,'Auto Path Backend 1'!A45-2,_xlfn.LAMBDA(_xlpm.r,_xlpm.c,_xlpm.c)))</f>
        <v>#VALUE!</v>
      </c>
    </row>
    <row r="46" spans="2:2" x14ac:dyDescent="0.2">
      <c r="B46" t="e" cm="1">
        <f t="array" ref="B46">_xlfn.CHOOSECOLS('Auto Path Backend 1'!B46:AAA46,_xlfn.MAKEARRAY(1,'Auto Path Backend 1'!A46-2,_xlfn.LAMBDA(_xlpm.r,_xlpm.c,_xlpm.c)))</f>
        <v>#VALUE!</v>
      </c>
    </row>
    <row r="47" spans="2:2" x14ac:dyDescent="0.2">
      <c r="B47" t="e" cm="1">
        <f t="array" ref="B47">_xlfn.CHOOSECOLS('Auto Path Backend 1'!B47:AAA47,_xlfn.MAKEARRAY(1,'Auto Path Backend 1'!A47-2,_xlfn.LAMBDA(_xlpm.r,_xlpm.c,_xlpm.c)))</f>
        <v>#VALUE!</v>
      </c>
    </row>
    <row r="48" spans="2:2" x14ac:dyDescent="0.2">
      <c r="B48" t="e" cm="1">
        <f t="array" ref="B48">_xlfn.CHOOSECOLS('Auto Path Backend 1'!B48:AAA48,_xlfn.MAKEARRAY(1,'Auto Path Backend 1'!A48-2,_xlfn.LAMBDA(_xlpm.r,_xlpm.c,_xlpm.c)))</f>
        <v>#VALUE!</v>
      </c>
    </row>
    <row r="49" spans="2:2" x14ac:dyDescent="0.2">
      <c r="B49" t="e" cm="1">
        <f t="array" ref="B49">_xlfn.CHOOSECOLS('Auto Path Backend 1'!B49:AAA49,_xlfn.MAKEARRAY(1,'Auto Path Backend 1'!A49-2,_xlfn.LAMBDA(_xlpm.r,_xlpm.c,_xlpm.c)))</f>
        <v>#VALUE!</v>
      </c>
    </row>
    <row r="50" spans="2:2" x14ac:dyDescent="0.2">
      <c r="B50" t="e" cm="1">
        <f t="array" ref="B50">_xlfn.CHOOSECOLS('Auto Path Backend 1'!B50:AAA50,_xlfn.MAKEARRAY(1,'Auto Path Backend 1'!A50-2,_xlfn.LAMBDA(_xlpm.r,_xlpm.c,_xlpm.c)))</f>
        <v>#VALUE!</v>
      </c>
    </row>
    <row r="51" spans="2:2" x14ac:dyDescent="0.2">
      <c r="B51" t="e" cm="1">
        <f t="array" ref="B51">_xlfn.CHOOSECOLS('Auto Path Backend 1'!B51:AAA51,_xlfn.MAKEARRAY(1,'Auto Path Backend 1'!A51-2,_xlfn.LAMBDA(_xlpm.r,_xlpm.c,_xlpm.c)))</f>
        <v>#VALUE!</v>
      </c>
    </row>
    <row r="52" spans="2:2" x14ac:dyDescent="0.2">
      <c r="B52" t="e" cm="1">
        <f t="array" ref="B52">_xlfn.CHOOSECOLS('Auto Path Backend 1'!B52:AAA52,_xlfn.MAKEARRAY(1,'Auto Path Backend 1'!A52-2,_xlfn.LAMBDA(_xlpm.r,_xlpm.c,_xlpm.c)))</f>
        <v>#VALUE!</v>
      </c>
    </row>
    <row r="53" spans="2:2" x14ac:dyDescent="0.2">
      <c r="B53" t="e" cm="1">
        <f t="array" ref="B53">_xlfn.CHOOSECOLS('Auto Path Backend 1'!B53:AAA53,_xlfn.MAKEARRAY(1,'Auto Path Backend 1'!A53-2,_xlfn.LAMBDA(_xlpm.r,_xlpm.c,_xlpm.c)))</f>
        <v>#VALUE!</v>
      </c>
    </row>
    <row r="54" spans="2:2" x14ac:dyDescent="0.2">
      <c r="B54" t="e" cm="1">
        <f t="array" ref="B54">_xlfn.CHOOSECOLS('Auto Path Backend 1'!B54:AAA54,_xlfn.MAKEARRAY(1,'Auto Path Backend 1'!A54-2,_xlfn.LAMBDA(_xlpm.r,_xlpm.c,_xlpm.c)))</f>
        <v>#VALUE!</v>
      </c>
    </row>
    <row r="55" spans="2:2" x14ac:dyDescent="0.2">
      <c r="B55" t="e" cm="1">
        <f t="array" ref="B55">_xlfn.CHOOSECOLS('Auto Path Backend 1'!B55:AAA55,_xlfn.MAKEARRAY(1,'Auto Path Backend 1'!A55-2,_xlfn.LAMBDA(_xlpm.r,_xlpm.c,_xlpm.c)))</f>
        <v>#VALUE!</v>
      </c>
    </row>
    <row r="56" spans="2:2" x14ac:dyDescent="0.2">
      <c r="B56" t="e" cm="1">
        <f t="array" ref="B56">_xlfn.CHOOSECOLS('Auto Path Backend 1'!B56:AAA56,_xlfn.MAKEARRAY(1,'Auto Path Backend 1'!A56-2,_xlfn.LAMBDA(_xlpm.r,_xlpm.c,_xlpm.c)))</f>
        <v>#VALUE!</v>
      </c>
    </row>
    <row r="57" spans="2:2" x14ac:dyDescent="0.2">
      <c r="B57" t="e" cm="1">
        <f t="array" ref="B57">_xlfn.CHOOSECOLS('Auto Path Backend 1'!B57:AAA57,_xlfn.MAKEARRAY(1,'Auto Path Backend 1'!A57-2,_xlfn.LAMBDA(_xlpm.r,_xlpm.c,_xlpm.c)))</f>
        <v>#VALUE!</v>
      </c>
    </row>
    <row r="58" spans="2:2" x14ac:dyDescent="0.2">
      <c r="B58" t="e" cm="1">
        <f t="array" ref="B58">_xlfn.CHOOSECOLS('Auto Path Backend 1'!B58:AAA58,_xlfn.MAKEARRAY(1,'Auto Path Backend 1'!A58-2,_xlfn.LAMBDA(_xlpm.r,_xlpm.c,_xlpm.c)))</f>
        <v>#VALUE!</v>
      </c>
    </row>
    <row r="59" spans="2:2" x14ac:dyDescent="0.2">
      <c r="B59" t="e" cm="1">
        <f t="array" ref="B59">_xlfn.CHOOSECOLS('Auto Path Backend 1'!B59:AAA59,_xlfn.MAKEARRAY(1,'Auto Path Backend 1'!A59-2,_xlfn.LAMBDA(_xlpm.r,_xlpm.c,_xlpm.c)))</f>
        <v>#VALUE!</v>
      </c>
    </row>
    <row r="60" spans="2:2" x14ac:dyDescent="0.2">
      <c r="B60" t="e" cm="1">
        <f t="array" ref="B60">_xlfn.CHOOSECOLS('Auto Path Backend 1'!B60:AAA60,_xlfn.MAKEARRAY(1,'Auto Path Backend 1'!A60-2,_xlfn.LAMBDA(_xlpm.r,_xlpm.c,_xlpm.c)))</f>
        <v>#VALUE!</v>
      </c>
    </row>
    <row r="61" spans="2:2" x14ac:dyDescent="0.2">
      <c r="B61" t="e" cm="1">
        <f t="array" ref="B61">_xlfn.CHOOSECOLS('Auto Path Backend 1'!B61:AAA61,_xlfn.MAKEARRAY(1,'Auto Path Backend 1'!A61-2,_xlfn.LAMBDA(_xlpm.r,_xlpm.c,_xlpm.c)))</f>
        <v>#VALUE!</v>
      </c>
    </row>
    <row r="62" spans="2:2" x14ac:dyDescent="0.2">
      <c r="B62" t="e" cm="1">
        <f t="array" ref="B62">_xlfn.CHOOSECOLS('Auto Path Backend 1'!B62:AAA62,_xlfn.MAKEARRAY(1,'Auto Path Backend 1'!A62-2,_xlfn.LAMBDA(_xlpm.r,_xlpm.c,_xlpm.c)))</f>
        <v>#VALUE!</v>
      </c>
    </row>
    <row r="63" spans="2:2" x14ac:dyDescent="0.2">
      <c r="B63" t="e" cm="1">
        <f t="array" ref="B63">_xlfn.CHOOSECOLS('Auto Path Backend 1'!B63:AAA63,_xlfn.MAKEARRAY(1,'Auto Path Backend 1'!A63-2,_xlfn.LAMBDA(_xlpm.r,_xlpm.c,_xlpm.c)))</f>
        <v>#VALUE!</v>
      </c>
    </row>
    <row r="64" spans="2:2" x14ac:dyDescent="0.2">
      <c r="B64" t="e" cm="1">
        <f t="array" ref="B64">_xlfn.CHOOSECOLS('Auto Path Backend 1'!B64:AAA64,_xlfn.MAKEARRAY(1,'Auto Path Backend 1'!A64-2,_xlfn.LAMBDA(_xlpm.r,_xlpm.c,_xlpm.c)))</f>
        <v>#VALUE!</v>
      </c>
    </row>
    <row r="65" spans="2:2" x14ac:dyDescent="0.2">
      <c r="B65" t="e" cm="1">
        <f t="array" ref="B65">_xlfn.CHOOSECOLS('Auto Path Backend 1'!B65:AAA65,_xlfn.MAKEARRAY(1,'Auto Path Backend 1'!A65-2,_xlfn.LAMBDA(_xlpm.r,_xlpm.c,_xlpm.c)))</f>
        <v>#VALUE!</v>
      </c>
    </row>
    <row r="66" spans="2:2" x14ac:dyDescent="0.2">
      <c r="B66" t="e" cm="1">
        <f t="array" ref="B66">_xlfn.CHOOSECOLS('Auto Path Backend 1'!B66:AAA66,_xlfn.MAKEARRAY(1,'Auto Path Backend 1'!A66-2,_xlfn.LAMBDA(_xlpm.r,_xlpm.c,_xlpm.c)))</f>
        <v>#VALUE!</v>
      </c>
    </row>
    <row r="67" spans="2:2" x14ac:dyDescent="0.2">
      <c r="B67" t="e" cm="1">
        <f t="array" ref="B67">_xlfn.CHOOSECOLS('Auto Path Backend 1'!B67:AAA67,_xlfn.MAKEARRAY(1,'Auto Path Backend 1'!A67-2,_xlfn.LAMBDA(_xlpm.r,_xlpm.c,_xlpm.c)))</f>
        <v>#VALUE!</v>
      </c>
    </row>
    <row r="68" spans="2:2" x14ac:dyDescent="0.2">
      <c r="B68" t="e" cm="1">
        <f t="array" ref="B68">_xlfn.CHOOSECOLS('Auto Path Backend 1'!B68:AAA68,_xlfn.MAKEARRAY(1,'Auto Path Backend 1'!A68-2,_xlfn.LAMBDA(_xlpm.r,_xlpm.c,_xlpm.c)))</f>
        <v>#VALUE!</v>
      </c>
    </row>
    <row r="69" spans="2:2" x14ac:dyDescent="0.2">
      <c r="B69" t="e" cm="1">
        <f t="array" ref="B69">_xlfn.CHOOSECOLS('Auto Path Backend 1'!B69:AAA69,_xlfn.MAKEARRAY(1,'Auto Path Backend 1'!A69-2,_xlfn.LAMBDA(_xlpm.r,_xlpm.c,_xlpm.c)))</f>
        <v>#VALUE!</v>
      </c>
    </row>
    <row r="70" spans="2:2" x14ac:dyDescent="0.2">
      <c r="B70" t="e" cm="1">
        <f t="array" ref="B70">_xlfn.CHOOSECOLS('Auto Path Backend 1'!B70:AAA70,_xlfn.MAKEARRAY(1,'Auto Path Backend 1'!A70-2,_xlfn.LAMBDA(_xlpm.r,_xlpm.c,_xlpm.c)))</f>
        <v>#VALUE!</v>
      </c>
    </row>
    <row r="71" spans="2:2" x14ac:dyDescent="0.2">
      <c r="B71" t="e" cm="1">
        <f t="array" ref="B71">_xlfn.CHOOSECOLS('Auto Path Backend 1'!B71:AAA71,_xlfn.MAKEARRAY(1,'Auto Path Backend 1'!A71-2,_xlfn.LAMBDA(_xlpm.r,_xlpm.c,_xlpm.c)))</f>
        <v>#VALUE!</v>
      </c>
    </row>
    <row r="72" spans="2:2" x14ac:dyDescent="0.2">
      <c r="B72" t="e" cm="1">
        <f t="array" ref="B72">_xlfn.CHOOSECOLS('Auto Path Backend 1'!B72:AAA72,_xlfn.MAKEARRAY(1,'Auto Path Backend 1'!A72-2,_xlfn.LAMBDA(_xlpm.r,_xlpm.c,_xlpm.c)))</f>
        <v>#VALUE!</v>
      </c>
    </row>
    <row r="73" spans="2:2" x14ac:dyDescent="0.2">
      <c r="B73" t="e" cm="1">
        <f t="array" ref="B73">_xlfn.CHOOSECOLS('Auto Path Backend 1'!B73:AAA73,_xlfn.MAKEARRAY(1,'Auto Path Backend 1'!A73-2,_xlfn.LAMBDA(_xlpm.r,_xlpm.c,_xlpm.c)))</f>
        <v>#VALUE!</v>
      </c>
    </row>
    <row r="74" spans="2:2" x14ac:dyDescent="0.2">
      <c r="B74" t="e" cm="1">
        <f t="array" ref="B74">_xlfn.CHOOSECOLS('Auto Path Backend 1'!B74:AAA74,_xlfn.MAKEARRAY(1,'Auto Path Backend 1'!A74-2,_xlfn.LAMBDA(_xlpm.r,_xlpm.c,_xlpm.c)))</f>
        <v>#VALUE!</v>
      </c>
    </row>
    <row r="75" spans="2:2" x14ac:dyDescent="0.2">
      <c r="B75" t="e" cm="1">
        <f t="array" ref="B75">_xlfn.CHOOSECOLS('Auto Path Backend 1'!B75:AAA75,_xlfn.MAKEARRAY(1,'Auto Path Backend 1'!A75-2,_xlfn.LAMBDA(_xlpm.r,_xlpm.c,_xlpm.c)))</f>
        <v>#VALUE!</v>
      </c>
    </row>
    <row r="76" spans="2:2" x14ac:dyDescent="0.2">
      <c r="B76" t="e" cm="1">
        <f t="array" ref="B76">_xlfn.CHOOSECOLS('Auto Path Backend 1'!B76:AAA76,_xlfn.MAKEARRAY(1,'Auto Path Backend 1'!A76-2,_xlfn.LAMBDA(_xlpm.r,_xlpm.c,_xlpm.c)))</f>
        <v>#VALUE!</v>
      </c>
    </row>
    <row r="77" spans="2:2" x14ac:dyDescent="0.2">
      <c r="B77" t="e" cm="1">
        <f t="array" ref="B77">_xlfn.CHOOSECOLS('Auto Path Backend 1'!B77:AAA77,_xlfn.MAKEARRAY(1,'Auto Path Backend 1'!A77-2,_xlfn.LAMBDA(_xlpm.r,_xlpm.c,_xlpm.c)))</f>
        <v>#VALUE!</v>
      </c>
    </row>
    <row r="78" spans="2:2" x14ac:dyDescent="0.2">
      <c r="B78" t="e" cm="1">
        <f t="array" ref="B78">_xlfn.CHOOSECOLS('Auto Path Backend 1'!B78:AAA78,_xlfn.MAKEARRAY(1,'Auto Path Backend 1'!A78-2,_xlfn.LAMBDA(_xlpm.r,_xlpm.c,_xlpm.c)))</f>
        <v>#VALUE!</v>
      </c>
    </row>
    <row r="79" spans="2:2" x14ac:dyDescent="0.2">
      <c r="B79" t="e" cm="1">
        <f t="array" ref="B79">_xlfn.CHOOSECOLS('Auto Path Backend 1'!B79:AAA79,_xlfn.MAKEARRAY(1,'Auto Path Backend 1'!A79-2,_xlfn.LAMBDA(_xlpm.r,_xlpm.c,_xlpm.c)))</f>
        <v>#VALUE!</v>
      </c>
    </row>
    <row r="80" spans="2:2" x14ac:dyDescent="0.2">
      <c r="B80" t="e" cm="1">
        <f t="array" ref="B80">_xlfn.CHOOSECOLS('Auto Path Backend 1'!B80:AAA80,_xlfn.MAKEARRAY(1,'Auto Path Backend 1'!A80-2,_xlfn.LAMBDA(_xlpm.r,_xlpm.c,_xlpm.c)))</f>
        <v>#VALUE!</v>
      </c>
    </row>
    <row r="81" spans="2:2" x14ac:dyDescent="0.2">
      <c r="B81" t="e" cm="1">
        <f t="array" ref="B81">_xlfn.CHOOSECOLS('Auto Path Backend 1'!B81:AAA81,_xlfn.MAKEARRAY(1,'Auto Path Backend 1'!A81-2,_xlfn.LAMBDA(_xlpm.r,_xlpm.c,_xlpm.c)))</f>
        <v>#VALUE!</v>
      </c>
    </row>
    <row r="82" spans="2:2" x14ac:dyDescent="0.2">
      <c r="B82" t="e" cm="1">
        <f t="array" ref="B82">_xlfn.CHOOSECOLS('Auto Path Backend 1'!B82:AAA82,_xlfn.MAKEARRAY(1,'Auto Path Backend 1'!A82-2,_xlfn.LAMBDA(_xlpm.r,_xlpm.c,_xlpm.c)))</f>
        <v>#VALUE!</v>
      </c>
    </row>
    <row r="83" spans="2:2" x14ac:dyDescent="0.2">
      <c r="B83" t="e" cm="1">
        <f t="array" ref="B83">_xlfn.CHOOSECOLS('Auto Path Backend 1'!B83:AAA83,_xlfn.MAKEARRAY(1,'Auto Path Backend 1'!A83-2,_xlfn.LAMBDA(_xlpm.r,_xlpm.c,_xlpm.c)))</f>
        <v>#VALUE!</v>
      </c>
    </row>
    <row r="84" spans="2:2" x14ac:dyDescent="0.2">
      <c r="B84" t="e" cm="1">
        <f t="array" ref="B84">_xlfn.CHOOSECOLS('Auto Path Backend 1'!B84:AAA84,_xlfn.MAKEARRAY(1,'Auto Path Backend 1'!A84-2,_xlfn.LAMBDA(_xlpm.r,_xlpm.c,_xlpm.c)))</f>
        <v>#VALUE!</v>
      </c>
    </row>
    <row r="85" spans="2:2" x14ac:dyDescent="0.2">
      <c r="B85" t="e" cm="1">
        <f t="array" ref="B85">_xlfn.CHOOSECOLS('Auto Path Backend 1'!B85:AAA85,_xlfn.MAKEARRAY(1,'Auto Path Backend 1'!A85-2,_xlfn.LAMBDA(_xlpm.r,_xlpm.c,_xlpm.c)))</f>
        <v>#VALUE!</v>
      </c>
    </row>
    <row r="86" spans="2:2" x14ac:dyDescent="0.2">
      <c r="B86" t="e" cm="1">
        <f t="array" ref="B86">_xlfn.CHOOSECOLS('Auto Path Backend 1'!B86:AAA86,_xlfn.MAKEARRAY(1,'Auto Path Backend 1'!A86-2,_xlfn.LAMBDA(_xlpm.r,_xlpm.c,_xlpm.c)))</f>
        <v>#VALUE!</v>
      </c>
    </row>
    <row r="87" spans="2:2" x14ac:dyDescent="0.2">
      <c r="B87" t="e" cm="1">
        <f t="array" ref="B87">_xlfn.CHOOSECOLS('Auto Path Backend 1'!B87:AAA87,_xlfn.MAKEARRAY(1,'Auto Path Backend 1'!A87-2,_xlfn.LAMBDA(_xlpm.r,_xlpm.c,_xlpm.c)))</f>
        <v>#VALUE!</v>
      </c>
    </row>
    <row r="88" spans="2:2" x14ac:dyDescent="0.2">
      <c r="B88" t="e" cm="1">
        <f t="array" ref="B88">_xlfn.CHOOSECOLS('Auto Path Backend 1'!B88:AAA88,_xlfn.MAKEARRAY(1,'Auto Path Backend 1'!A88-2,_xlfn.LAMBDA(_xlpm.r,_xlpm.c,_xlpm.c)))</f>
        <v>#VALUE!</v>
      </c>
    </row>
    <row r="89" spans="2:2" x14ac:dyDescent="0.2">
      <c r="B89" t="e" cm="1">
        <f t="array" ref="B89">_xlfn.CHOOSECOLS('Auto Path Backend 1'!B89:AAA89,_xlfn.MAKEARRAY(1,'Auto Path Backend 1'!A89-2,_xlfn.LAMBDA(_xlpm.r,_xlpm.c,_xlpm.c)))</f>
        <v>#VALUE!</v>
      </c>
    </row>
    <row r="90" spans="2:2" x14ac:dyDescent="0.2">
      <c r="B90" t="e" cm="1">
        <f t="array" ref="B90">_xlfn.CHOOSECOLS('Auto Path Backend 1'!B90:AAA90,_xlfn.MAKEARRAY(1,'Auto Path Backend 1'!A90-2,_xlfn.LAMBDA(_xlpm.r,_xlpm.c,_xlpm.c)))</f>
        <v>#VALUE!</v>
      </c>
    </row>
    <row r="91" spans="2:2" x14ac:dyDescent="0.2">
      <c r="B91" t="e" cm="1">
        <f t="array" ref="B91">_xlfn.CHOOSECOLS('Auto Path Backend 1'!B91:AAA91,_xlfn.MAKEARRAY(1,'Auto Path Backend 1'!A91-2,_xlfn.LAMBDA(_xlpm.r,_xlpm.c,_xlpm.c)))</f>
        <v>#VALUE!</v>
      </c>
    </row>
    <row r="92" spans="2:2" x14ac:dyDescent="0.2">
      <c r="B92" t="e" cm="1">
        <f t="array" ref="B92">_xlfn.CHOOSECOLS('Auto Path Backend 1'!B92:AAA92,_xlfn.MAKEARRAY(1,'Auto Path Backend 1'!A92-2,_xlfn.LAMBDA(_xlpm.r,_xlpm.c,_xlpm.c)))</f>
        <v>#VALUE!</v>
      </c>
    </row>
    <row r="93" spans="2:2" x14ac:dyDescent="0.2">
      <c r="B93" t="e" cm="1">
        <f t="array" ref="B93">_xlfn.CHOOSECOLS('Auto Path Backend 1'!B93:AAA93,_xlfn.MAKEARRAY(1,'Auto Path Backend 1'!A93-2,_xlfn.LAMBDA(_xlpm.r,_xlpm.c,_xlpm.c)))</f>
        <v>#VALUE!</v>
      </c>
    </row>
    <row r="94" spans="2:2" x14ac:dyDescent="0.2">
      <c r="B94" t="e" cm="1">
        <f t="array" ref="B94">_xlfn.CHOOSECOLS('Auto Path Backend 1'!B94:AAA94,_xlfn.MAKEARRAY(1,'Auto Path Backend 1'!A94-2,_xlfn.LAMBDA(_xlpm.r,_xlpm.c,_xlpm.c)))</f>
        <v>#VALUE!</v>
      </c>
    </row>
    <row r="95" spans="2:2" x14ac:dyDescent="0.2">
      <c r="B95" t="e" cm="1">
        <f t="array" ref="B95">_xlfn.CHOOSECOLS('Auto Path Backend 1'!B95:AAA95,_xlfn.MAKEARRAY(1,'Auto Path Backend 1'!A95-2,_xlfn.LAMBDA(_xlpm.r,_xlpm.c,_xlpm.c)))</f>
        <v>#VALUE!</v>
      </c>
    </row>
    <row r="96" spans="2:2" x14ac:dyDescent="0.2">
      <c r="B96" t="e" cm="1">
        <f t="array" ref="B96">_xlfn.CHOOSECOLS('Auto Path Backend 1'!B96:AAA96,_xlfn.MAKEARRAY(1,'Auto Path Backend 1'!A96-2,_xlfn.LAMBDA(_xlpm.r,_xlpm.c,_xlpm.c)))</f>
        <v>#VALUE!</v>
      </c>
    </row>
    <row r="97" spans="2:2" x14ac:dyDescent="0.2">
      <c r="B97" t="e" cm="1">
        <f t="array" ref="B97">_xlfn.CHOOSECOLS('Auto Path Backend 1'!B97:AAA97,_xlfn.MAKEARRAY(1,'Auto Path Backend 1'!A97-2,_xlfn.LAMBDA(_xlpm.r,_xlpm.c,_xlpm.c)))</f>
        <v>#VALUE!</v>
      </c>
    </row>
    <row r="98" spans="2:2" x14ac:dyDescent="0.2">
      <c r="B98" t="e" cm="1">
        <f t="array" ref="B98">_xlfn.CHOOSECOLS('Auto Path Backend 1'!B98:AAA98,_xlfn.MAKEARRAY(1,'Auto Path Backend 1'!A98-2,_xlfn.LAMBDA(_xlpm.r,_xlpm.c,_xlpm.c)))</f>
        <v>#VALUE!</v>
      </c>
    </row>
    <row r="99" spans="2:2" x14ac:dyDescent="0.2">
      <c r="B99" t="e" cm="1">
        <f t="array" ref="B99">_xlfn.CHOOSECOLS('Auto Path Backend 1'!B99:AAA99,_xlfn.MAKEARRAY(1,'Auto Path Backend 1'!A99-2,_xlfn.LAMBDA(_xlpm.r,_xlpm.c,_xlpm.c)))</f>
        <v>#VALUE!</v>
      </c>
    </row>
    <row r="100" spans="2:2" x14ac:dyDescent="0.2">
      <c r="B100" t="e" cm="1">
        <f t="array" ref="B100">_xlfn.CHOOSECOLS('Auto Path Backend 1'!B100:AAA100,_xlfn.MAKEARRAY(1,'Auto Path Backend 1'!A100-2,_xlfn.LAMBDA(_xlpm.r,_xlpm.c,_xlpm.c)))</f>
        <v>#VALUE!</v>
      </c>
    </row>
    <row r="101" spans="2:2" x14ac:dyDescent="0.2">
      <c r="B101" t="e" cm="1">
        <f t="array" ref="B101">_xlfn.CHOOSECOLS('Auto Path Backend 1'!B101:AAA101,_xlfn.MAKEARRAY(1,'Auto Path Backend 1'!A101-2,_xlfn.LAMBDA(_xlpm.r,_xlpm.c,_xlpm.c)))</f>
        <v>#VALUE!</v>
      </c>
    </row>
    <row r="102" spans="2:2" x14ac:dyDescent="0.2">
      <c r="B102" t="e" cm="1">
        <f t="array" ref="B102">_xlfn.CHOOSECOLS('Auto Path Backend 1'!B102:AAA102,_xlfn.MAKEARRAY(1,'Auto Path Backend 1'!A102-2,_xlfn.LAMBDA(_xlpm.r,_xlpm.c,_xlpm.c)))</f>
        <v>#VALUE!</v>
      </c>
    </row>
    <row r="103" spans="2:2" x14ac:dyDescent="0.2">
      <c r="B103" t="e" cm="1">
        <f t="array" ref="B103">_xlfn.CHOOSECOLS('Auto Path Backend 1'!B103:AAA103,_xlfn.MAKEARRAY(1,'Auto Path Backend 1'!A103-2,_xlfn.LAMBDA(_xlpm.r,_xlpm.c,_xlpm.c)))</f>
        <v>#VALUE!</v>
      </c>
    </row>
    <row r="104" spans="2:2" x14ac:dyDescent="0.2">
      <c r="B104" t="e" cm="1">
        <f t="array" ref="B104">_xlfn.CHOOSECOLS('Auto Path Backend 1'!B104:AAA104,_xlfn.MAKEARRAY(1,'Auto Path Backend 1'!A104-2,_xlfn.LAMBDA(_xlpm.r,_xlpm.c,_xlpm.c)))</f>
        <v>#VALUE!</v>
      </c>
    </row>
    <row r="105" spans="2:2" x14ac:dyDescent="0.2">
      <c r="B105" t="e" cm="1">
        <f t="array" ref="B105">_xlfn.CHOOSECOLS('Auto Path Backend 1'!B105:AAA105,_xlfn.MAKEARRAY(1,'Auto Path Backend 1'!A105-2,_xlfn.LAMBDA(_xlpm.r,_xlpm.c,_xlpm.c)))</f>
        <v>#VALUE!</v>
      </c>
    </row>
    <row r="106" spans="2:2" x14ac:dyDescent="0.2">
      <c r="B106" t="e" cm="1">
        <f t="array" ref="B106">_xlfn.CHOOSECOLS('Auto Path Backend 1'!B106:AAA106,_xlfn.MAKEARRAY(1,'Auto Path Backend 1'!A106-2,_xlfn.LAMBDA(_xlpm.r,_xlpm.c,_xlpm.c)))</f>
        <v>#VALUE!</v>
      </c>
    </row>
    <row r="107" spans="2:2" x14ac:dyDescent="0.2">
      <c r="B107" t="e" cm="1">
        <f t="array" ref="B107">_xlfn.CHOOSECOLS('Auto Path Backend 1'!B107:AAA107,_xlfn.MAKEARRAY(1,'Auto Path Backend 1'!A107-2,_xlfn.LAMBDA(_xlpm.r,_xlpm.c,_xlpm.c)))</f>
        <v>#VALUE!</v>
      </c>
    </row>
    <row r="108" spans="2:2" x14ac:dyDescent="0.2">
      <c r="B108" t="e" cm="1">
        <f t="array" ref="B108">_xlfn.CHOOSECOLS('Auto Path Backend 1'!B108:AAA108,_xlfn.MAKEARRAY(1,'Auto Path Backend 1'!A108-2,_xlfn.LAMBDA(_xlpm.r,_xlpm.c,_xlpm.c)))</f>
        <v>#VALUE!</v>
      </c>
    </row>
    <row r="109" spans="2:2" x14ac:dyDescent="0.2">
      <c r="B109" t="e" cm="1">
        <f t="array" ref="B109">_xlfn.CHOOSECOLS('Auto Path Backend 1'!B109:AAA109,_xlfn.MAKEARRAY(1,'Auto Path Backend 1'!A109-2,_xlfn.LAMBDA(_xlpm.r,_xlpm.c,_xlpm.c)))</f>
        <v>#VALUE!</v>
      </c>
    </row>
    <row r="110" spans="2:2" x14ac:dyDescent="0.2">
      <c r="B110" t="e" cm="1">
        <f t="array" ref="B110">_xlfn.CHOOSECOLS('Auto Path Backend 1'!B110:AAA110,_xlfn.MAKEARRAY(1,'Auto Path Backend 1'!A110-2,_xlfn.LAMBDA(_xlpm.r,_xlpm.c,_xlpm.c)))</f>
        <v>#VALUE!</v>
      </c>
    </row>
    <row r="111" spans="2:2" x14ac:dyDescent="0.2">
      <c r="B111" t="e" cm="1">
        <f t="array" ref="B111">_xlfn.CHOOSECOLS('Auto Path Backend 1'!B111:AAA111,_xlfn.MAKEARRAY(1,'Auto Path Backend 1'!A111-2,_xlfn.LAMBDA(_xlpm.r,_xlpm.c,_xlpm.c)))</f>
        <v>#VALUE!</v>
      </c>
    </row>
    <row r="112" spans="2:2" x14ac:dyDescent="0.2">
      <c r="B112" t="e" cm="1">
        <f t="array" ref="B112">_xlfn.CHOOSECOLS('Auto Path Backend 1'!B112:AAA112,_xlfn.MAKEARRAY(1,'Auto Path Backend 1'!A112-2,_xlfn.LAMBDA(_xlpm.r,_xlpm.c,_xlpm.c)))</f>
        <v>#VALUE!</v>
      </c>
    </row>
    <row r="113" spans="2:2" x14ac:dyDescent="0.2">
      <c r="B113" t="e" cm="1">
        <f t="array" ref="B113">_xlfn.CHOOSECOLS('Auto Path Backend 1'!B113:AAA113,_xlfn.MAKEARRAY(1,'Auto Path Backend 1'!A113-2,_xlfn.LAMBDA(_xlpm.r,_xlpm.c,_xlpm.c)))</f>
        <v>#VALUE!</v>
      </c>
    </row>
    <row r="114" spans="2:2" x14ac:dyDescent="0.2">
      <c r="B114" t="e" cm="1">
        <f t="array" ref="B114">_xlfn.CHOOSECOLS('Auto Path Backend 1'!B114:AAA114,_xlfn.MAKEARRAY(1,'Auto Path Backend 1'!A114-2,_xlfn.LAMBDA(_xlpm.r,_xlpm.c,_xlpm.c)))</f>
        <v>#VALUE!</v>
      </c>
    </row>
    <row r="115" spans="2:2" x14ac:dyDescent="0.2">
      <c r="B115" t="e" cm="1">
        <f t="array" ref="B115">_xlfn.CHOOSECOLS('Auto Path Backend 1'!B115:AAA115,_xlfn.MAKEARRAY(1,'Auto Path Backend 1'!A115-2,_xlfn.LAMBDA(_xlpm.r,_xlpm.c,_xlpm.c)))</f>
        <v>#VALUE!</v>
      </c>
    </row>
    <row r="116" spans="2:2" x14ac:dyDescent="0.2">
      <c r="B116" t="e" cm="1">
        <f t="array" ref="B116">_xlfn.CHOOSECOLS('Auto Path Backend 1'!B116:AAA116,_xlfn.MAKEARRAY(1,'Auto Path Backend 1'!A116-2,_xlfn.LAMBDA(_xlpm.r,_xlpm.c,_xlpm.c)))</f>
        <v>#VALUE!</v>
      </c>
    </row>
    <row r="117" spans="2:2" x14ac:dyDescent="0.2">
      <c r="B117" t="e" cm="1">
        <f t="array" ref="B117">_xlfn.CHOOSECOLS('Auto Path Backend 1'!B117:AAA117,_xlfn.MAKEARRAY(1,'Auto Path Backend 1'!A117-2,_xlfn.LAMBDA(_xlpm.r,_xlpm.c,_xlpm.c)))</f>
        <v>#VALUE!</v>
      </c>
    </row>
    <row r="118" spans="2:2" x14ac:dyDescent="0.2">
      <c r="B118" t="e" cm="1">
        <f t="array" ref="B118">_xlfn.CHOOSECOLS('Auto Path Backend 1'!B118:AAA118,_xlfn.MAKEARRAY(1,'Auto Path Backend 1'!A118-2,_xlfn.LAMBDA(_xlpm.r,_xlpm.c,_xlpm.c)))</f>
        <v>#VALUE!</v>
      </c>
    </row>
    <row r="119" spans="2:2" x14ac:dyDescent="0.2">
      <c r="B119" t="e" cm="1">
        <f t="array" ref="B119">_xlfn.CHOOSECOLS('Auto Path Backend 1'!B119:AAA119,_xlfn.MAKEARRAY(1,'Auto Path Backend 1'!A119-2,_xlfn.LAMBDA(_xlpm.r,_xlpm.c,_xlpm.c)))</f>
        <v>#VALUE!</v>
      </c>
    </row>
    <row r="120" spans="2:2" x14ac:dyDescent="0.2">
      <c r="B120" t="e" cm="1">
        <f t="array" ref="B120">_xlfn.CHOOSECOLS('Auto Path Backend 1'!B120:AAA120,_xlfn.MAKEARRAY(1,'Auto Path Backend 1'!A120-2,_xlfn.LAMBDA(_xlpm.r,_xlpm.c,_xlpm.c)))</f>
        <v>#VALUE!</v>
      </c>
    </row>
    <row r="121" spans="2:2" x14ac:dyDescent="0.2">
      <c r="B121" t="e" cm="1">
        <f t="array" ref="B121">_xlfn.CHOOSECOLS('Auto Path Backend 1'!B121:AAA121,_xlfn.MAKEARRAY(1,'Auto Path Backend 1'!A121-2,_xlfn.LAMBDA(_xlpm.r,_xlpm.c,_xlpm.c)))</f>
        <v>#VALUE!</v>
      </c>
    </row>
    <row r="122" spans="2:2" x14ac:dyDescent="0.2">
      <c r="B122" t="e" cm="1">
        <f t="array" ref="B122">_xlfn.CHOOSECOLS('Auto Path Backend 1'!B122:AAA122,_xlfn.MAKEARRAY(1,'Auto Path Backend 1'!A122-2,_xlfn.LAMBDA(_xlpm.r,_xlpm.c,_xlpm.c)))</f>
        <v>#VALUE!</v>
      </c>
    </row>
    <row r="123" spans="2:2" x14ac:dyDescent="0.2">
      <c r="B123" t="e" cm="1">
        <f t="array" ref="B123">_xlfn.CHOOSECOLS('Auto Path Backend 1'!B123:AAA123,_xlfn.MAKEARRAY(1,'Auto Path Backend 1'!A123-2,_xlfn.LAMBDA(_xlpm.r,_xlpm.c,_xlpm.c)))</f>
        <v>#VALUE!</v>
      </c>
    </row>
    <row r="124" spans="2:2" x14ac:dyDescent="0.2">
      <c r="B124" t="e" cm="1">
        <f t="array" ref="B124">_xlfn.CHOOSECOLS('Auto Path Backend 1'!B124:AAA124,_xlfn.MAKEARRAY(1,'Auto Path Backend 1'!A124-2,_xlfn.LAMBDA(_xlpm.r,_xlpm.c,_xlpm.c)))</f>
        <v>#VALUE!</v>
      </c>
    </row>
    <row r="125" spans="2:2" x14ac:dyDescent="0.2">
      <c r="B125" t="e" cm="1">
        <f t="array" ref="B125">_xlfn.CHOOSECOLS('Auto Path Backend 1'!B125:AAA125,_xlfn.MAKEARRAY(1,'Auto Path Backend 1'!A125-2,_xlfn.LAMBDA(_xlpm.r,_xlpm.c,_xlpm.c)))</f>
        <v>#VALUE!</v>
      </c>
    </row>
    <row r="126" spans="2:2" x14ac:dyDescent="0.2">
      <c r="B126" t="e" cm="1">
        <f t="array" ref="B126">_xlfn.CHOOSECOLS('Auto Path Backend 1'!B126:AAA126,_xlfn.MAKEARRAY(1,'Auto Path Backend 1'!A126-2,_xlfn.LAMBDA(_xlpm.r,_xlpm.c,_xlpm.c)))</f>
        <v>#VALUE!</v>
      </c>
    </row>
    <row r="127" spans="2:2" x14ac:dyDescent="0.2">
      <c r="B127" t="e" cm="1">
        <f t="array" ref="B127">_xlfn.CHOOSECOLS('Auto Path Backend 1'!B127:AAA127,_xlfn.MAKEARRAY(1,'Auto Path Backend 1'!A127-2,_xlfn.LAMBDA(_xlpm.r,_xlpm.c,_xlpm.c)))</f>
        <v>#VALUE!</v>
      </c>
    </row>
    <row r="128" spans="2:2" x14ac:dyDescent="0.2">
      <c r="B128" t="e" cm="1">
        <f t="array" ref="B128">_xlfn.CHOOSECOLS('Auto Path Backend 1'!B128:AAA128,_xlfn.MAKEARRAY(1,'Auto Path Backend 1'!A128-2,_xlfn.LAMBDA(_xlpm.r,_xlpm.c,_xlpm.c)))</f>
        <v>#VALUE!</v>
      </c>
    </row>
    <row r="129" spans="2:2" x14ac:dyDescent="0.2">
      <c r="B129" t="e" cm="1">
        <f t="array" ref="B129">_xlfn.CHOOSECOLS('Auto Path Backend 1'!B129:AAA129,_xlfn.MAKEARRAY(1,'Auto Path Backend 1'!A129-2,_xlfn.LAMBDA(_xlpm.r,_xlpm.c,_xlpm.c)))</f>
        <v>#VALUE!</v>
      </c>
    </row>
    <row r="130" spans="2:2" x14ac:dyDescent="0.2">
      <c r="B130" t="e" cm="1">
        <f t="array" ref="B130">_xlfn.CHOOSECOLS('Auto Path Backend 1'!B130:AAA130,_xlfn.MAKEARRAY(1,'Auto Path Backend 1'!A130-2,_xlfn.LAMBDA(_xlpm.r,_xlpm.c,_xlpm.c)))</f>
        <v>#VALUE!</v>
      </c>
    </row>
    <row r="131" spans="2:2" x14ac:dyDescent="0.2">
      <c r="B131" t="e" cm="1">
        <f t="array" ref="B131">_xlfn.CHOOSECOLS('Auto Path Backend 1'!B131:AAA131,_xlfn.MAKEARRAY(1,'Auto Path Backend 1'!A131-2,_xlfn.LAMBDA(_xlpm.r,_xlpm.c,_xlpm.c)))</f>
        <v>#VALUE!</v>
      </c>
    </row>
    <row r="132" spans="2:2" x14ac:dyDescent="0.2">
      <c r="B132" t="e" cm="1">
        <f t="array" ref="B132">_xlfn.CHOOSECOLS('Auto Path Backend 1'!B132:AAA132,_xlfn.MAKEARRAY(1,'Auto Path Backend 1'!A132-2,_xlfn.LAMBDA(_xlpm.r,_xlpm.c,_xlpm.c)))</f>
        <v>#VALUE!</v>
      </c>
    </row>
    <row r="133" spans="2:2" x14ac:dyDescent="0.2">
      <c r="B133" t="e" cm="1">
        <f t="array" ref="B133">_xlfn.CHOOSECOLS('Auto Path Backend 1'!B133:AAA133,_xlfn.MAKEARRAY(1,'Auto Path Backend 1'!A133-2,_xlfn.LAMBDA(_xlpm.r,_xlpm.c,_xlpm.c)))</f>
        <v>#VALUE!</v>
      </c>
    </row>
    <row r="134" spans="2:2" x14ac:dyDescent="0.2">
      <c r="B134" t="e" cm="1">
        <f t="array" ref="B134">_xlfn.CHOOSECOLS('Auto Path Backend 1'!B134:AAA134,_xlfn.MAKEARRAY(1,'Auto Path Backend 1'!A134-2,_xlfn.LAMBDA(_xlpm.r,_xlpm.c,_xlpm.c)))</f>
        <v>#VALUE!</v>
      </c>
    </row>
    <row r="135" spans="2:2" x14ac:dyDescent="0.2">
      <c r="B135" t="e" cm="1">
        <f t="array" ref="B135">_xlfn.CHOOSECOLS('Auto Path Backend 1'!B135:AAA135,_xlfn.MAKEARRAY(1,'Auto Path Backend 1'!A135-2,_xlfn.LAMBDA(_xlpm.r,_xlpm.c,_xlpm.c)))</f>
        <v>#VALUE!</v>
      </c>
    </row>
    <row r="136" spans="2:2" x14ac:dyDescent="0.2">
      <c r="B136" t="e" cm="1">
        <f t="array" ref="B136">_xlfn.CHOOSECOLS('Auto Path Backend 1'!B136:AAA136,_xlfn.MAKEARRAY(1,'Auto Path Backend 1'!A136-2,_xlfn.LAMBDA(_xlpm.r,_xlpm.c,_xlpm.c)))</f>
        <v>#VALUE!</v>
      </c>
    </row>
    <row r="137" spans="2:2" x14ac:dyDescent="0.2">
      <c r="B137" t="e" cm="1">
        <f t="array" ref="B137">_xlfn.CHOOSECOLS('Auto Path Backend 1'!B137:AAA137,_xlfn.MAKEARRAY(1,'Auto Path Backend 1'!A137-2,_xlfn.LAMBDA(_xlpm.r,_xlpm.c,_xlpm.c)))</f>
        <v>#VALUE!</v>
      </c>
    </row>
    <row r="138" spans="2:2" x14ac:dyDescent="0.2">
      <c r="B138" t="e" cm="1">
        <f t="array" ref="B138">_xlfn.CHOOSECOLS('Auto Path Backend 1'!B138:AAA138,_xlfn.MAKEARRAY(1,'Auto Path Backend 1'!A138-2,_xlfn.LAMBDA(_xlpm.r,_xlpm.c,_xlpm.c)))</f>
        <v>#VALUE!</v>
      </c>
    </row>
    <row r="139" spans="2:2" x14ac:dyDescent="0.2">
      <c r="B139" t="e" cm="1">
        <f t="array" ref="B139">_xlfn.CHOOSECOLS('Auto Path Backend 1'!B139:AAA139,_xlfn.MAKEARRAY(1,'Auto Path Backend 1'!A139-2,_xlfn.LAMBDA(_xlpm.r,_xlpm.c,_xlpm.c)))</f>
        <v>#VALUE!</v>
      </c>
    </row>
    <row r="140" spans="2:2" x14ac:dyDescent="0.2">
      <c r="B140" t="e" cm="1">
        <f t="array" ref="B140">_xlfn.CHOOSECOLS('Auto Path Backend 1'!B140:AAA140,_xlfn.MAKEARRAY(1,'Auto Path Backend 1'!A140-2,_xlfn.LAMBDA(_xlpm.r,_xlpm.c,_xlpm.c)))</f>
        <v>#VALUE!</v>
      </c>
    </row>
    <row r="141" spans="2:2" x14ac:dyDescent="0.2">
      <c r="B141" t="e" cm="1">
        <f t="array" ref="B141">_xlfn.CHOOSECOLS('Auto Path Backend 1'!B141:AAA141,_xlfn.MAKEARRAY(1,'Auto Path Backend 1'!A141-2,_xlfn.LAMBDA(_xlpm.r,_xlpm.c,_xlpm.c)))</f>
        <v>#VALUE!</v>
      </c>
    </row>
    <row r="142" spans="2:2" x14ac:dyDescent="0.2">
      <c r="B142" t="e" cm="1">
        <f t="array" ref="B142">_xlfn.CHOOSECOLS('Auto Path Backend 1'!B142:AAA142,_xlfn.MAKEARRAY(1,'Auto Path Backend 1'!A142-2,_xlfn.LAMBDA(_xlpm.r,_xlpm.c,_xlpm.c)))</f>
        <v>#VALUE!</v>
      </c>
    </row>
    <row r="143" spans="2:2" x14ac:dyDescent="0.2">
      <c r="B143" t="e" cm="1">
        <f t="array" ref="B143">_xlfn.CHOOSECOLS('Auto Path Backend 1'!B143:AAA143,_xlfn.MAKEARRAY(1,'Auto Path Backend 1'!A143-2,_xlfn.LAMBDA(_xlpm.r,_xlpm.c,_xlpm.c)))</f>
        <v>#VALUE!</v>
      </c>
    </row>
    <row r="144" spans="2:2" x14ac:dyDescent="0.2">
      <c r="B144" t="e" cm="1">
        <f t="array" ref="B144">_xlfn.CHOOSECOLS('Auto Path Backend 1'!B144:AAA144,_xlfn.MAKEARRAY(1,'Auto Path Backend 1'!A144-2,_xlfn.LAMBDA(_xlpm.r,_xlpm.c,_xlpm.c)))</f>
        <v>#VALUE!</v>
      </c>
    </row>
    <row r="145" spans="2:2" x14ac:dyDescent="0.2">
      <c r="B145" t="e" cm="1">
        <f t="array" ref="B145">_xlfn.CHOOSECOLS('Auto Path Backend 1'!B145:AAA145,_xlfn.MAKEARRAY(1,'Auto Path Backend 1'!A145-2,_xlfn.LAMBDA(_xlpm.r,_xlpm.c,_xlpm.c)))</f>
        <v>#VALUE!</v>
      </c>
    </row>
    <row r="146" spans="2:2" x14ac:dyDescent="0.2">
      <c r="B146" t="e" cm="1">
        <f t="array" ref="B146">_xlfn.CHOOSECOLS('Auto Path Backend 1'!B146:AAA146,_xlfn.MAKEARRAY(1,'Auto Path Backend 1'!A146-2,_xlfn.LAMBDA(_xlpm.r,_xlpm.c,_xlpm.c)))</f>
        <v>#VALUE!</v>
      </c>
    </row>
    <row r="147" spans="2:2" x14ac:dyDescent="0.2">
      <c r="B147" t="e" cm="1">
        <f t="array" ref="B147">_xlfn.CHOOSECOLS('Auto Path Backend 1'!B147:AAA147,_xlfn.MAKEARRAY(1,'Auto Path Backend 1'!A147-2,_xlfn.LAMBDA(_xlpm.r,_xlpm.c,_xlpm.c)))</f>
        <v>#VALUE!</v>
      </c>
    </row>
    <row r="148" spans="2:2" x14ac:dyDescent="0.2">
      <c r="B148" t="e" cm="1">
        <f t="array" ref="B148">_xlfn.CHOOSECOLS('Auto Path Backend 1'!B148:AAA148,_xlfn.MAKEARRAY(1,'Auto Path Backend 1'!A148-2,_xlfn.LAMBDA(_xlpm.r,_xlpm.c,_xlpm.c)))</f>
        <v>#VALUE!</v>
      </c>
    </row>
    <row r="149" spans="2:2" x14ac:dyDescent="0.2">
      <c r="B149" t="e" cm="1">
        <f t="array" ref="B149">_xlfn.CHOOSECOLS('Auto Path Backend 1'!B149:AAA149,_xlfn.MAKEARRAY(1,'Auto Path Backend 1'!A149-2,_xlfn.LAMBDA(_xlpm.r,_xlpm.c,_xlpm.c)))</f>
        <v>#VALUE!</v>
      </c>
    </row>
    <row r="150" spans="2:2" x14ac:dyDescent="0.2">
      <c r="B150" t="e" cm="1">
        <f t="array" ref="B150">_xlfn.CHOOSECOLS('Auto Path Backend 1'!B150:AAA150,_xlfn.MAKEARRAY(1,'Auto Path Backend 1'!A150-2,_xlfn.LAMBDA(_xlpm.r,_xlpm.c,_xlpm.c)))</f>
        <v>#VALUE!</v>
      </c>
    </row>
    <row r="151" spans="2:2" x14ac:dyDescent="0.2">
      <c r="B151" t="e" cm="1">
        <f t="array" ref="B151">_xlfn.CHOOSECOLS('Auto Path Backend 1'!B151:AAA151,_xlfn.MAKEARRAY(1,'Auto Path Backend 1'!A151-2,_xlfn.LAMBDA(_xlpm.r,_xlpm.c,_xlpm.c)))</f>
        <v>#VALUE!</v>
      </c>
    </row>
    <row r="152" spans="2:2" x14ac:dyDescent="0.2">
      <c r="B152" t="e" cm="1">
        <f t="array" ref="B152">_xlfn.CHOOSECOLS('Auto Path Backend 1'!B152:AAA152,_xlfn.MAKEARRAY(1,'Auto Path Backend 1'!A152-2,_xlfn.LAMBDA(_xlpm.r,_xlpm.c,_xlpm.c)))</f>
        <v>#VALUE!</v>
      </c>
    </row>
    <row r="153" spans="2:2" x14ac:dyDescent="0.2">
      <c r="B153" t="e" cm="1">
        <f t="array" ref="B153">_xlfn.CHOOSECOLS('Auto Path Backend 1'!B153:AAA153,_xlfn.MAKEARRAY(1,'Auto Path Backend 1'!A153-2,_xlfn.LAMBDA(_xlpm.r,_xlpm.c,_xlpm.c)))</f>
        <v>#VALUE!</v>
      </c>
    </row>
    <row r="154" spans="2:2" x14ac:dyDescent="0.2">
      <c r="B154" t="e" cm="1">
        <f t="array" ref="B154">_xlfn.CHOOSECOLS('Auto Path Backend 1'!B154:AAA154,_xlfn.MAKEARRAY(1,'Auto Path Backend 1'!A154-2,_xlfn.LAMBDA(_xlpm.r,_xlpm.c,_xlpm.c)))</f>
        <v>#VALUE!</v>
      </c>
    </row>
    <row r="155" spans="2:2" x14ac:dyDescent="0.2">
      <c r="B155" t="e" cm="1">
        <f t="array" ref="B155">_xlfn.CHOOSECOLS('Auto Path Backend 1'!B155:AAA155,_xlfn.MAKEARRAY(1,'Auto Path Backend 1'!A155-2,_xlfn.LAMBDA(_xlpm.r,_xlpm.c,_xlpm.c)))</f>
        <v>#VALUE!</v>
      </c>
    </row>
    <row r="156" spans="2:2" x14ac:dyDescent="0.2">
      <c r="B156" t="e" cm="1">
        <f t="array" ref="B156">_xlfn.CHOOSECOLS('Auto Path Backend 1'!B156:AAA156,_xlfn.MAKEARRAY(1,'Auto Path Backend 1'!A156-2,_xlfn.LAMBDA(_xlpm.r,_xlpm.c,_xlpm.c)))</f>
        <v>#VALUE!</v>
      </c>
    </row>
    <row r="157" spans="2:2" x14ac:dyDescent="0.2">
      <c r="B157" t="e" cm="1">
        <f t="array" ref="B157">_xlfn.CHOOSECOLS('Auto Path Backend 1'!B157:AAA157,_xlfn.MAKEARRAY(1,'Auto Path Backend 1'!A157-2,_xlfn.LAMBDA(_xlpm.r,_xlpm.c,_xlpm.c)))</f>
        <v>#VALUE!</v>
      </c>
    </row>
    <row r="158" spans="2:2" x14ac:dyDescent="0.2">
      <c r="B158" t="e" cm="1">
        <f t="array" ref="B158">_xlfn.CHOOSECOLS('Auto Path Backend 1'!B158:AAA158,_xlfn.MAKEARRAY(1,'Auto Path Backend 1'!A158-2,_xlfn.LAMBDA(_xlpm.r,_xlpm.c,_xlpm.c)))</f>
        <v>#VALUE!</v>
      </c>
    </row>
    <row r="159" spans="2:2" x14ac:dyDescent="0.2">
      <c r="B159" t="e" cm="1">
        <f t="array" ref="B159">_xlfn.CHOOSECOLS('Auto Path Backend 1'!B159:AAA159,_xlfn.MAKEARRAY(1,'Auto Path Backend 1'!A159-2,_xlfn.LAMBDA(_xlpm.r,_xlpm.c,_xlpm.c)))</f>
        <v>#VALUE!</v>
      </c>
    </row>
    <row r="160" spans="2:2" x14ac:dyDescent="0.2">
      <c r="B160" t="e" cm="1">
        <f t="array" ref="B160">_xlfn.CHOOSECOLS('Auto Path Backend 1'!B160:AAA160,_xlfn.MAKEARRAY(1,'Auto Path Backend 1'!A160-2,_xlfn.LAMBDA(_xlpm.r,_xlpm.c,_xlpm.c)))</f>
        <v>#VALUE!</v>
      </c>
    </row>
    <row r="161" spans="2:2" x14ac:dyDescent="0.2">
      <c r="B161" t="e" cm="1">
        <f t="array" ref="B161">_xlfn.CHOOSECOLS('Auto Path Backend 1'!B161:AAA161,_xlfn.MAKEARRAY(1,'Auto Path Backend 1'!A161-2,_xlfn.LAMBDA(_xlpm.r,_xlpm.c,_xlpm.c)))</f>
        <v>#VALUE!</v>
      </c>
    </row>
    <row r="162" spans="2:2" x14ac:dyDescent="0.2">
      <c r="B162" t="e" cm="1">
        <f t="array" ref="B162">_xlfn.CHOOSECOLS('Auto Path Backend 1'!B162:AAA162,_xlfn.MAKEARRAY(1,'Auto Path Backend 1'!A162-2,_xlfn.LAMBDA(_xlpm.r,_xlpm.c,_xlpm.c)))</f>
        <v>#VALUE!</v>
      </c>
    </row>
    <row r="163" spans="2:2" x14ac:dyDescent="0.2">
      <c r="B163" t="e" cm="1">
        <f t="array" ref="B163">_xlfn.CHOOSECOLS('Auto Path Backend 1'!B163:AAA163,_xlfn.MAKEARRAY(1,'Auto Path Backend 1'!A163-2,_xlfn.LAMBDA(_xlpm.r,_xlpm.c,_xlpm.c)))</f>
        <v>#VALUE!</v>
      </c>
    </row>
    <row r="164" spans="2:2" x14ac:dyDescent="0.2">
      <c r="B164" t="e" cm="1">
        <f t="array" ref="B164">_xlfn.CHOOSECOLS('Auto Path Backend 1'!B164:AAA164,_xlfn.MAKEARRAY(1,'Auto Path Backend 1'!A164-2,_xlfn.LAMBDA(_xlpm.r,_xlpm.c,_xlpm.c)))</f>
        <v>#VALUE!</v>
      </c>
    </row>
    <row r="165" spans="2:2" x14ac:dyDescent="0.2">
      <c r="B165" t="e" cm="1">
        <f t="array" ref="B165">_xlfn.CHOOSECOLS('Auto Path Backend 1'!B165:AAA165,_xlfn.MAKEARRAY(1,'Auto Path Backend 1'!A165-2,_xlfn.LAMBDA(_xlpm.r,_xlpm.c,_xlpm.c)))</f>
        <v>#VALUE!</v>
      </c>
    </row>
    <row r="166" spans="2:2" x14ac:dyDescent="0.2">
      <c r="B166" t="e" cm="1">
        <f t="array" ref="B166">_xlfn.CHOOSECOLS('Auto Path Backend 1'!B166:AAA166,_xlfn.MAKEARRAY(1,'Auto Path Backend 1'!A166-2,_xlfn.LAMBDA(_xlpm.r,_xlpm.c,_xlpm.c)))</f>
        <v>#VALUE!</v>
      </c>
    </row>
    <row r="167" spans="2:2" x14ac:dyDescent="0.2">
      <c r="B167" t="e" cm="1">
        <f t="array" ref="B167">_xlfn.CHOOSECOLS('Auto Path Backend 1'!B167:AAA167,_xlfn.MAKEARRAY(1,'Auto Path Backend 1'!A167-2,_xlfn.LAMBDA(_xlpm.r,_xlpm.c,_xlpm.c)))</f>
        <v>#VALUE!</v>
      </c>
    </row>
    <row r="168" spans="2:2" x14ac:dyDescent="0.2">
      <c r="B168" t="e" cm="1">
        <f t="array" ref="B168">_xlfn.CHOOSECOLS('Auto Path Backend 1'!B168:AAA168,_xlfn.MAKEARRAY(1,'Auto Path Backend 1'!A168-2,_xlfn.LAMBDA(_xlpm.r,_xlpm.c,_xlpm.c)))</f>
        <v>#VALUE!</v>
      </c>
    </row>
    <row r="169" spans="2:2" x14ac:dyDescent="0.2">
      <c r="B169" t="e" cm="1">
        <f t="array" ref="B169">_xlfn.CHOOSECOLS('Auto Path Backend 1'!B169:AAA169,_xlfn.MAKEARRAY(1,'Auto Path Backend 1'!A169-2,_xlfn.LAMBDA(_xlpm.r,_xlpm.c,_xlpm.c)))</f>
        <v>#VALUE!</v>
      </c>
    </row>
    <row r="170" spans="2:2" x14ac:dyDescent="0.2">
      <c r="B170" t="e" cm="1">
        <f t="array" ref="B170">_xlfn.CHOOSECOLS('Auto Path Backend 1'!B170:AAA170,_xlfn.MAKEARRAY(1,'Auto Path Backend 1'!A170-2,_xlfn.LAMBDA(_xlpm.r,_xlpm.c,_xlpm.c)))</f>
        <v>#VALUE!</v>
      </c>
    </row>
    <row r="171" spans="2:2" x14ac:dyDescent="0.2">
      <c r="B171" t="e" cm="1">
        <f t="array" ref="B171">_xlfn.CHOOSECOLS('Auto Path Backend 1'!B171:AAA171,_xlfn.MAKEARRAY(1,'Auto Path Backend 1'!A171-2,_xlfn.LAMBDA(_xlpm.r,_xlpm.c,_xlpm.c)))</f>
        <v>#VALUE!</v>
      </c>
    </row>
    <row r="172" spans="2:2" x14ac:dyDescent="0.2">
      <c r="B172" t="e" cm="1">
        <f t="array" ref="B172">_xlfn.CHOOSECOLS('Auto Path Backend 1'!B172:AAA172,_xlfn.MAKEARRAY(1,'Auto Path Backend 1'!A172-2,_xlfn.LAMBDA(_xlpm.r,_xlpm.c,_xlpm.c)))</f>
        <v>#VALUE!</v>
      </c>
    </row>
    <row r="173" spans="2:2" x14ac:dyDescent="0.2">
      <c r="B173" t="e" cm="1">
        <f t="array" ref="B173">_xlfn.CHOOSECOLS('Auto Path Backend 1'!B173:AAA173,_xlfn.MAKEARRAY(1,'Auto Path Backend 1'!A173-2,_xlfn.LAMBDA(_xlpm.r,_xlpm.c,_xlpm.c)))</f>
        <v>#VALUE!</v>
      </c>
    </row>
    <row r="174" spans="2:2" x14ac:dyDescent="0.2">
      <c r="B174" t="e" cm="1">
        <f t="array" ref="B174">_xlfn.CHOOSECOLS('Auto Path Backend 1'!B174:AAA174,_xlfn.MAKEARRAY(1,'Auto Path Backend 1'!A174-2,_xlfn.LAMBDA(_xlpm.r,_xlpm.c,_xlpm.c)))</f>
        <v>#VALUE!</v>
      </c>
    </row>
    <row r="175" spans="2:2" x14ac:dyDescent="0.2">
      <c r="B175" t="e" cm="1">
        <f t="array" ref="B175">_xlfn.CHOOSECOLS('Auto Path Backend 1'!B175:AAA175,_xlfn.MAKEARRAY(1,'Auto Path Backend 1'!A175-2,_xlfn.LAMBDA(_xlpm.r,_xlpm.c,_xlpm.c)))</f>
        <v>#VALUE!</v>
      </c>
    </row>
    <row r="176" spans="2:2" x14ac:dyDescent="0.2">
      <c r="B176" t="e" cm="1">
        <f t="array" ref="B176">_xlfn.CHOOSECOLS('Auto Path Backend 1'!B176:AAA176,_xlfn.MAKEARRAY(1,'Auto Path Backend 1'!A176-2,_xlfn.LAMBDA(_xlpm.r,_xlpm.c,_xlpm.c)))</f>
        <v>#VALUE!</v>
      </c>
    </row>
    <row r="177" spans="2:2" x14ac:dyDescent="0.2">
      <c r="B177" t="e" cm="1">
        <f t="array" ref="B177">_xlfn.CHOOSECOLS('Auto Path Backend 1'!B177:AAA177,_xlfn.MAKEARRAY(1,'Auto Path Backend 1'!A177-2,_xlfn.LAMBDA(_xlpm.r,_xlpm.c,_xlpm.c)))</f>
        <v>#VALUE!</v>
      </c>
    </row>
    <row r="178" spans="2:2" x14ac:dyDescent="0.2">
      <c r="B178" t="e" cm="1">
        <f t="array" ref="B178">_xlfn.CHOOSECOLS('Auto Path Backend 1'!B178:AAA178,_xlfn.MAKEARRAY(1,'Auto Path Backend 1'!A178-2,_xlfn.LAMBDA(_xlpm.r,_xlpm.c,_xlpm.c)))</f>
        <v>#VALUE!</v>
      </c>
    </row>
    <row r="179" spans="2:2" x14ac:dyDescent="0.2">
      <c r="B179" t="e" cm="1">
        <f t="array" ref="B179">_xlfn.CHOOSECOLS('Auto Path Backend 1'!B179:AAA179,_xlfn.MAKEARRAY(1,'Auto Path Backend 1'!A179-2,_xlfn.LAMBDA(_xlpm.r,_xlpm.c,_xlpm.c)))</f>
        <v>#VALUE!</v>
      </c>
    </row>
    <row r="180" spans="2:2" x14ac:dyDescent="0.2">
      <c r="B180" t="e" cm="1">
        <f t="array" ref="B180">_xlfn.CHOOSECOLS('Auto Path Backend 1'!B180:AAA180,_xlfn.MAKEARRAY(1,'Auto Path Backend 1'!A180-2,_xlfn.LAMBDA(_xlpm.r,_xlpm.c,_xlpm.c)))</f>
        <v>#VALUE!</v>
      </c>
    </row>
    <row r="181" spans="2:2" x14ac:dyDescent="0.2">
      <c r="B181" t="e" cm="1">
        <f t="array" ref="B181">_xlfn.CHOOSECOLS('Auto Path Backend 1'!B181:AAA181,_xlfn.MAKEARRAY(1,'Auto Path Backend 1'!A181-2,_xlfn.LAMBDA(_xlpm.r,_xlpm.c,_xlpm.c)))</f>
        <v>#VALUE!</v>
      </c>
    </row>
    <row r="182" spans="2:2" x14ac:dyDescent="0.2">
      <c r="B182" t="e" cm="1">
        <f t="array" ref="B182">_xlfn.CHOOSECOLS('Auto Path Backend 1'!B182:AAA182,_xlfn.MAKEARRAY(1,'Auto Path Backend 1'!A182-2,_xlfn.LAMBDA(_xlpm.r,_xlpm.c,_xlpm.c)))</f>
        <v>#VALUE!</v>
      </c>
    </row>
    <row r="183" spans="2:2" x14ac:dyDescent="0.2">
      <c r="B183" t="e" cm="1">
        <f t="array" ref="B183">_xlfn.CHOOSECOLS('Auto Path Backend 1'!B183:AAA183,_xlfn.MAKEARRAY(1,'Auto Path Backend 1'!A183-2,_xlfn.LAMBDA(_xlpm.r,_xlpm.c,_xlpm.c)))</f>
        <v>#VALUE!</v>
      </c>
    </row>
    <row r="184" spans="2:2" x14ac:dyDescent="0.2">
      <c r="B184" t="e" cm="1">
        <f t="array" ref="B184">_xlfn.CHOOSECOLS('Auto Path Backend 1'!B184:AAA184,_xlfn.MAKEARRAY(1,'Auto Path Backend 1'!A184-2,_xlfn.LAMBDA(_xlpm.r,_xlpm.c,_xlpm.c)))</f>
        <v>#VALUE!</v>
      </c>
    </row>
    <row r="185" spans="2:2" x14ac:dyDescent="0.2">
      <c r="B185" t="e" cm="1">
        <f t="array" ref="B185">_xlfn.CHOOSECOLS('Auto Path Backend 1'!B185:AAA185,_xlfn.MAKEARRAY(1,'Auto Path Backend 1'!A185-2,_xlfn.LAMBDA(_xlpm.r,_xlpm.c,_xlpm.c)))</f>
        <v>#VALUE!</v>
      </c>
    </row>
    <row r="186" spans="2:2" x14ac:dyDescent="0.2">
      <c r="B186" t="e" cm="1">
        <f t="array" ref="B186">_xlfn.CHOOSECOLS('Auto Path Backend 1'!B186:AAA186,_xlfn.MAKEARRAY(1,'Auto Path Backend 1'!A186-2,_xlfn.LAMBDA(_xlpm.r,_xlpm.c,_xlpm.c)))</f>
        <v>#VALUE!</v>
      </c>
    </row>
    <row r="187" spans="2:2" x14ac:dyDescent="0.2">
      <c r="B187" t="e" cm="1">
        <f t="array" ref="B187">_xlfn.CHOOSECOLS('Auto Path Backend 1'!B187:AAA187,_xlfn.MAKEARRAY(1,'Auto Path Backend 1'!A187-2,_xlfn.LAMBDA(_xlpm.r,_xlpm.c,_xlpm.c)))</f>
        <v>#VALUE!</v>
      </c>
    </row>
    <row r="188" spans="2:2" x14ac:dyDescent="0.2">
      <c r="B188" t="e" cm="1">
        <f t="array" ref="B188">_xlfn.CHOOSECOLS('Auto Path Backend 1'!B188:AAA188,_xlfn.MAKEARRAY(1,'Auto Path Backend 1'!A188-2,_xlfn.LAMBDA(_xlpm.r,_xlpm.c,_xlpm.c)))</f>
        <v>#VALUE!</v>
      </c>
    </row>
    <row r="189" spans="2:2" x14ac:dyDescent="0.2">
      <c r="B189" t="e" cm="1">
        <f t="array" ref="B189">_xlfn.CHOOSECOLS('Auto Path Backend 1'!B189:AAA189,_xlfn.MAKEARRAY(1,'Auto Path Backend 1'!A189-2,_xlfn.LAMBDA(_xlpm.r,_xlpm.c,_xlpm.c)))</f>
        <v>#VALUE!</v>
      </c>
    </row>
    <row r="190" spans="2:2" x14ac:dyDescent="0.2">
      <c r="B190" t="e" cm="1">
        <f t="array" ref="B190">_xlfn.CHOOSECOLS('Auto Path Backend 1'!B190:AAA190,_xlfn.MAKEARRAY(1,'Auto Path Backend 1'!A190-2,_xlfn.LAMBDA(_xlpm.r,_xlpm.c,_xlpm.c)))</f>
        <v>#VALUE!</v>
      </c>
    </row>
    <row r="191" spans="2:2" x14ac:dyDescent="0.2">
      <c r="B191" t="e" cm="1">
        <f t="array" ref="B191">_xlfn.CHOOSECOLS('Auto Path Backend 1'!B191:AAA191,_xlfn.MAKEARRAY(1,'Auto Path Backend 1'!A191-2,_xlfn.LAMBDA(_xlpm.r,_xlpm.c,_xlpm.c)))</f>
        <v>#VALUE!</v>
      </c>
    </row>
    <row r="192" spans="2:2" x14ac:dyDescent="0.2">
      <c r="B192" t="e" cm="1">
        <f t="array" ref="B192">_xlfn.CHOOSECOLS('Auto Path Backend 1'!B192:AAA192,_xlfn.MAKEARRAY(1,'Auto Path Backend 1'!A192-2,_xlfn.LAMBDA(_xlpm.r,_xlpm.c,_xlpm.c)))</f>
        <v>#VALUE!</v>
      </c>
    </row>
    <row r="193" spans="2:2" x14ac:dyDescent="0.2">
      <c r="B193" t="e" cm="1">
        <f t="array" ref="B193">_xlfn.CHOOSECOLS('Auto Path Backend 1'!B193:AAA193,_xlfn.MAKEARRAY(1,'Auto Path Backend 1'!A193-2,_xlfn.LAMBDA(_xlpm.r,_xlpm.c,_xlpm.c)))</f>
        <v>#VALUE!</v>
      </c>
    </row>
    <row r="194" spans="2:2" x14ac:dyDescent="0.2">
      <c r="B194" t="e" cm="1">
        <f t="array" ref="B194">_xlfn.CHOOSECOLS('Auto Path Backend 1'!B194:AAA194,_xlfn.MAKEARRAY(1,'Auto Path Backend 1'!A194-2,_xlfn.LAMBDA(_xlpm.r,_xlpm.c,_xlpm.c)))</f>
        <v>#VALUE!</v>
      </c>
    </row>
    <row r="195" spans="2:2" x14ac:dyDescent="0.2">
      <c r="B195" t="e" cm="1">
        <f t="array" ref="B195">_xlfn.CHOOSECOLS('Auto Path Backend 1'!B195:AAA195,_xlfn.MAKEARRAY(1,'Auto Path Backend 1'!A195-2,_xlfn.LAMBDA(_xlpm.r,_xlpm.c,_xlpm.c)))</f>
        <v>#VALUE!</v>
      </c>
    </row>
    <row r="196" spans="2:2" x14ac:dyDescent="0.2">
      <c r="B196" t="e" cm="1">
        <f t="array" ref="B196">_xlfn.CHOOSECOLS('Auto Path Backend 1'!B196:AAA196,_xlfn.MAKEARRAY(1,'Auto Path Backend 1'!A196-2,_xlfn.LAMBDA(_xlpm.r,_xlpm.c,_xlpm.c)))</f>
        <v>#VALUE!</v>
      </c>
    </row>
    <row r="197" spans="2:2" x14ac:dyDescent="0.2">
      <c r="B197" t="e" cm="1">
        <f t="array" ref="B197">_xlfn.CHOOSECOLS('Auto Path Backend 1'!B197:AAA197,_xlfn.MAKEARRAY(1,'Auto Path Backend 1'!A197-2,_xlfn.LAMBDA(_xlpm.r,_xlpm.c,_xlpm.c)))</f>
        <v>#VALUE!</v>
      </c>
    </row>
    <row r="198" spans="2:2" x14ac:dyDescent="0.2">
      <c r="B198" t="e" cm="1">
        <f t="array" ref="B198">_xlfn.CHOOSECOLS('Auto Path Backend 1'!B198:AAA198,_xlfn.MAKEARRAY(1,'Auto Path Backend 1'!A198-2,_xlfn.LAMBDA(_xlpm.r,_xlpm.c,_xlpm.c)))</f>
        <v>#VALUE!</v>
      </c>
    </row>
    <row r="199" spans="2:2" x14ac:dyDescent="0.2">
      <c r="B199" t="e" cm="1">
        <f t="array" ref="B199">_xlfn.CHOOSECOLS('Auto Path Backend 1'!B199:AAA199,_xlfn.MAKEARRAY(1,'Auto Path Backend 1'!A199-2,_xlfn.LAMBDA(_xlpm.r,_xlpm.c,_xlpm.c)))</f>
        <v>#VALUE!</v>
      </c>
    </row>
    <row r="200" spans="2:2" x14ac:dyDescent="0.2">
      <c r="B200" t="e" cm="1">
        <f t="array" ref="B200">_xlfn.CHOOSECOLS('Auto Path Backend 1'!B200:AAA200,_xlfn.MAKEARRAY(1,'Auto Path Backend 1'!A200-2,_xlfn.LAMBDA(_xlpm.r,_xlpm.c,_xlpm.c)))</f>
        <v>#VALUE!</v>
      </c>
    </row>
    <row r="201" spans="2:2" x14ac:dyDescent="0.2">
      <c r="B201" t="e" cm="1">
        <f t="array" ref="B201">_xlfn.CHOOSECOLS('Auto Path Backend 1'!B201:AAA201,_xlfn.MAKEARRAY(1,'Auto Path Backend 1'!A201-2,_xlfn.LAMBDA(_xlpm.r,_xlpm.c,_xlpm.c)))</f>
        <v>#VALUE!</v>
      </c>
    </row>
    <row r="202" spans="2:2" x14ac:dyDescent="0.2">
      <c r="B202" t="e" cm="1">
        <f t="array" ref="B202">_xlfn.CHOOSECOLS('Auto Path Backend 1'!B202:AAA202,_xlfn.MAKEARRAY(1,'Auto Path Backend 1'!A202-2,_xlfn.LAMBDA(_xlpm.r,_xlpm.c,_xlpm.c)))</f>
        <v>#VALUE!</v>
      </c>
    </row>
    <row r="203" spans="2:2" x14ac:dyDescent="0.2">
      <c r="B203" t="e" cm="1">
        <f t="array" ref="B203">_xlfn.CHOOSECOLS('Auto Path Backend 1'!B203:AAA203,_xlfn.MAKEARRAY(1,'Auto Path Backend 1'!A203-2,_xlfn.LAMBDA(_xlpm.r,_xlpm.c,_xlpm.c)))</f>
        <v>#VALUE!</v>
      </c>
    </row>
    <row r="204" spans="2:2" x14ac:dyDescent="0.2">
      <c r="B204" t="e" cm="1">
        <f t="array" ref="B204">_xlfn.CHOOSECOLS('Auto Path Backend 1'!B204:AAA204,_xlfn.MAKEARRAY(1,'Auto Path Backend 1'!A204-2,_xlfn.LAMBDA(_xlpm.r,_xlpm.c,_xlpm.c)))</f>
        <v>#VALUE!</v>
      </c>
    </row>
    <row r="205" spans="2:2" x14ac:dyDescent="0.2">
      <c r="B205" t="e" cm="1">
        <f t="array" ref="B205">_xlfn.CHOOSECOLS('Auto Path Backend 1'!B205:AAA205,_xlfn.MAKEARRAY(1,'Auto Path Backend 1'!A205-2,_xlfn.LAMBDA(_xlpm.r,_xlpm.c,_xlpm.c)))</f>
        <v>#VALUE!</v>
      </c>
    </row>
    <row r="206" spans="2:2" x14ac:dyDescent="0.2">
      <c r="B206" t="e" cm="1">
        <f t="array" ref="B206">_xlfn.CHOOSECOLS('Auto Path Backend 1'!B206:AAA206,_xlfn.MAKEARRAY(1,'Auto Path Backend 1'!A206-2,_xlfn.LAMBDA(_xlpm.r,_xlpm.c,_xlpm.c)))</f>
        <v>#VALUE!</v>
      </c>
    </row>
    <row r="207" spans="2:2" x14ac:dyDescent="0.2">
      <c r="B207" t="e" cm="1">
        <f t="array" ref="B207">_xlfn.CHOOSECOLS('Auto Path Backend 1'!B207:AAA207,_xlfn.MAKEARRAY(1,'Auto Path Backend 1'!A207-2,_xlfn.LAMBDA(_xlpm.r,_xlpm.c,_xlpm.c)))</f>
        <v>#VALUE!</v>
      </c>
    </row>
    <row r="208" spans="2:2" x14ac:dyDescent="0.2">
      <c r="B208" t="e" cm="1">
        <f t="array" ref="B208">_xlfn.CHOOSECOLS('Auto Path Backend 1'!B208:AAA208,_xlfn.MAKEARRAY(1,'Auto Path Backend 1'!A208-2,_xlfn.LAMBDA(_xlpm.r,_xlpm.c,_xlpm.c)))</f>
        <v>#VALUE!</v>
      </c>
    </row>
    <row r="209" spans="2:2" x14ac:dyDescent="0.2">
      <c r="B209" t="e" cm="1">
        <f t="array" ref="B209">_xlfn.CHOOSECOLS('Auto Path Backend 1'!B209:AAA209,_xlfn.MAKEARRAY(1,'Auto Path Backend 1'!A209-2,_xlfn.LAMBDA(_xlpm.r,_xlpm.c,_xlpm.c)))</f>
        <v>#VALUE!</v>
      </c>
    </row>
    <row r="210" spans="2:2" x14ac:dyDescent="0.2">
      <c r="B210" t="e" cm="1">
        <f t="array" ref="B210">_xlfn.CHOOSECOLS('Auto Path Backend 1'!B210:AAA210,_xlfn.MAKEARRAY(1,'Auto Path Backend 1'!A210-2,_xlfn.LAMBDA(_xlpm.r,_xlpm.c,_xlpm.c)))</f>
        <v>#VALUE!</v>
      </c>
    </row>
    <row r="211" spans="2:2" x14ac:dyDescent="0.2">
      <c r="B211" t="e" cm="1">
        <f t="array" ref="B211">_xlfn.CHOOSECOLS('Auto Path Backend 1'!B211:AAA211,_xlfn.MAKEARRAY(1,'Auto Path Backend 1'!A211-2,_xlfn.LAMBDA(_xlpm.r,_xlpm.c,_xlpm.c)))</f>
        <v>#VALUE!</v>
      </c>
    </row>
    <row r="212" spans="2:2" x14ac:dyDescent="0.2">
      <c r="B212" t="e" cm="1">
        <f t="array" ref="B212">_xlfn.CHOOSECOLS('Auto Path Backend 1'!B212:AAA212,_xlfn.MAKEARRAY(1,'Auto Path Backend 1'!A212-2,_xlfn.LAMBDA(_xlpm.r,_xlpm.c,_xlpm.c)))</f>
        <v>#VALUE!</v>
      </c>
    </row>
    <row r="213" spans="2:2" x14ac:dyDescent="0.2">
      <c r="B213" t="e" cm="1">
        <f t="array" ref="B213">_xlfn.CHOOSECOLS('Auto Path Backend 1'!B213:AAA213,_xlfn.MAKEARRAY(1,'Auto Path Backend 1'!A213-2,_xlfn.LAMBDA(_xlpm.r,_xlpm.c,_xlpm.c)))</f>
        <v>#VALUE!</v>
      </c>
    </row>
    <row r="214" spans="2:2" x14ac:dyDescent="0.2">
      <c r="B214" t="e" cm="1">
        <f t="array" ref="B214">_xlfn.CHOOSECOLS('Auto Path Backend 1'!B214:AAA214,_xlfn.MAKEARRAY(1,'Auto Path Backend 1'!A214-2,_xlfn.LAMBDA(_xlpm.r,_xlpm.c,_xlpm.c)))</f>
        <v>#VALUE!</v>
      </c>
    </row>
    <row r="215" spans="2:2" x14ac:dyDescent="0.2">
      <c r="B215" t="e" cm="1">
        <f t="array" ref="B215">_xlfn.CHOOSECOLS('Auto Path Backend 1'!B215:AAA215,_xlfn.MAKEARRAY(1,'Auto Path Backend 1'!A215-2,_xlfn.LAMBDA(_xlpm.r,_xlpm.c,_xlpm.c)))</f>
        <v>#VALUE!</v>
      </c>
    </row>
    <row r="216" spans="2:2" x14ac:dyDescent="0.2">
      <c r="B216" t="e" cm="1">
        <f t="array" ref="B216">_xlfn.CHOOSECOLS('Auto Path Backend 1'!B216:AAA216,_xlfn.MAKEARRAY(1,'Auto Path Backend 1'!A216-2,_xlfn.LAMBDA(_xlpm.r,_xlpm.c,_xlpm.c)))</f>
        <v>#VALUE!</v>
      </c>
    </row>
    <row r="217" spans="2:2" x14ac:dyDescent="0.2">
      <c r="B217" t="e" cm="1">
        <f t="array" ref="B217">_xlfn.CHOOSECOLS('Auto Path Backend 1'!B217:AAA217,_xlfn.MAKEARRAY(1,'Auto Path Backend 1'!A217-2,_xlfn.LAMBDA(_xlpm.r,_xlpm.c,_xlpm.c)))</f>
        <v>#VALUE!</v>
      </c>
    </row>
    <row r="218" spans="2:2" x14ac:dyDescent="0.2">
      <c r="B218" t="e" cm="1">
        <f t="array" ref="B218">_xlfn.CHOOSECOLS('Auto Path Backend 1'!B218:AAA218,_xlfn.MAKEARRAY(1,'Auto Path Backend 1'!A218-2,_xlfn.LAMBDA(_xlpm.r,_xlpm.c,_xlpm.c)))</f>
        <v>#VALUE!</v>
      </c>
    </row>
    <row r="219" spans="2:2" x14ac:dyDescent="0.2">
      <c r="B219" t="e" cm="1">
        <f t="array" ref="B219">_xlfn.CHOOSECOLS('Auto Path Backend 1'!B219:AAA219,_xlfn.MAKEARRAY(1,'Auto Path Backend 1'!A219-2,_xlfn.LAMBDA(_xlpm.r,_xlpm.c,_xlpm.c)))</f>
        <v>#VALUE!</v>
      </c>
    </row>
    <row r="220" spans="2:2" x14ac:dyDescent="0.2">
      <c r="B220" t="e" cm="1">
        <f t="array" ref="B220">_xlfn.CHOOSECOLS('Auto Path Backend 1'!B220:AAA220,_xlfn.MAKEARRAY(1,'Auto Path Backend 1'!A220-2,_xlfn.LAMBDA(_xlpm.r,_xlpm.c,_xlpm.c)))</f>
        <v>#VALUE!</v>
      </c>
    </row>
    <row r="221" spans="2:2" x14ac:dyDescent="0.2">
      <c r="B221" t="e" cm="1">
        <f t="array" ref="B221">_xlfn.CHOOSECOLS('Auto Path Backend 1'!B221:AAA221,_xlfn.MAKEARRAY(1,'Auto Path Backend 1'!A221-2,_xlfn.LAMBDA(_xlpm.r,_xlpm.c,_xlpm.c)))</f>
        <v>#VALUE!</v>
      </c>
    </row>
    <row r="222" spans="2:2" x14ac:dyDescent="0.2">
      <c r="B222" t="e" cm="1">
        <f t="array" ref="B222">_xlfn.CHOOSECOLS('Auto Path Backend 1'!B222:AAA222,_xlfn.MAKEARRAY(1,'Auto Path Backend 1'!A222-2,_xlfn.LAMBDA(_xlpm.r,_xlpm.c,_xlpm.c)))</f>
        <v>#VALUE!</v>
      </c>
    </row>
    <row r="223" spans="2:2" x14ac:dyDescent="0.2">
      <c r="B223" t="e" cm="1">
        <f t="array" ref="B223">_xlfn.CHOOSECOLS('Auto Path Backend 1'!B223:AAA223,_xlfn.MAKEARRAY(1,'Auto Path Backend 1'!A223-2,_xlfn.LAMBDA(_xlpm.r,_xlpm.c,_xlpm.c)))</f>
        <v>#VALUE!</v>
      </c>
    </row>
    <row r="224" spans="2:2" x14ac:dyDescent="0.2">
      <c r="B224" t="e" cm="1">
        <f t="array" ref="B224">_xlfn.CHOOSECOLS('Auto Path Backend 1'!B224:AAA224,_xlfn.MAKEARRAY(1,'Auto Path Backend 1'!A224-2,_xlfn.LAMBDA(_xlpm.r,_xlpm.c,_xlpm.c)))</f>
        <v>#VALUE!</v>
      </c>
    </row>
    <row r="225" spans="2:2" x14ac:dyDescent="0.2">
      <c r="B225" t="e" cm="1">
        <f t="array" ref="B225">_xlfn.CHOOSECOLS('Auto Path Backend 1'!B225:AAA225,_xlfn.MAKEARRAY(1,'Auto Path Backend 1'!A225-2,_xlfn.LAMBDA(_xlpm.r,_xlpm.c,_xlpm.c)))</f>
        <v>#VALUE!</v>
      </c>
    </row>
    <row r="226" spans="2:2" x14ac:dyDescent="0.2">
      <c r="B226" t="e" cm="1">
        <f t="array" ref="B226">_xlfn.CHOOSECOLS('Auto Path Backend 1'!B226:AAA226,_xlfn.MAKEARRAY(1,'Auto Path Backend 1'!A226-2,_xlfn.LAMBDA(_xlpm.r,_xlpm.c,_xlpm.c)))</f>
        <v>#VALUE!</v>
      </c>
    </row>
    <row r="227" spans="2:2" x14ac:dyDescent="0.2">
      <c r="B227" t="e" cm="1">
        <f t="array" ref="B227">_xlfn.CHOOSECOLS('Auto Path Backend 1'!B227:AAA227,_xlfn.MAKEARRAY(1,'Auto Path Backend 1'!A227-2,_xlfn.LAMBDA(_xlpm.r,_xlpm.c,_xlpm.c)))</f>
        <v>#VALUE!</v>
      </c>
    </row>
    <row r="228" spans="2:2" x14ac:dyDescent="0.2">
      <c r="B228" t="e" cm="1">
        <f t="array" ref="B228">_xlfn.CHOOSECOLS('Auto Path Backend 1'!B228:AAA228,_xlfn.MAKEARRAY(1,'Auto Path Backend 1'!A228-2,_xlfn.LAMBDA(_xlpm.r,_xlpm.c,_xlpm.c)))</f>
        <v>#VALUE!</v>
      </c>
    </row>
    <row r="229" spans="2:2" x14ac:dyDescent="0.2">
      <c r="B229" t="e" cm="1">
        <f t="array" ref="B229">_xlfn.CHOOSECOLS('Auto Path Backend 1'!B229:AAA229,_xlfn.MAKEARRAY(1,'Auto Path Backend 1'!A229-2,_xlfn.LAMBDA(_xlpm.r,_xlpm.c,_xlpm.c)))</f>
        <v>#VALUE!</v>
      </c>
    </row>
    <row r="230" spans="2:2" x14ac:dyDescent="0.2">
      <c r="B230" t="e" cm="1">
        <f t="array" ref="B230">_xlfn.CHOOSECOLS('Auto Path Backend 1'!B230:AAA230,_xlfn.MAKEARRAY(1,'Auto Path Backend 1'!A230-2,_xlfn.LAMBDA(_xlpm.r,_xlpm.c,_xlpm.c)))</f>
        <v>#VALUE!</v>
      </c>
    </row>
    <row r="231" spans="2:2" x14ac:dyDescent="0.2">
      <c r="B231" t="e" cm="1">
        <f t="array" ref="B231">_xlfn.CHOOSECOLS('Auto Path Backend 1'!B231:AAA231,_xlfn.MAKEARRAY(1,'Auto Path Backend 1'!A231-2,_xlfn.LAMBDA(_xlpm.r,_xlpm.c,_xlpm.c)))</f>
        <v>#VALUE!</v>
      </c>
    </row>
    <row r="232" spans="2:2" x14ac:dyDescent="0.2">
      <c r="B232" t="e" cm="1">
        <f t="array" ref="B232">_xlfn.CHOOSECOLS('Auto Path Backend 1'!B232:AAA232,_xlfn.MAKEARRAY(1,'Auto Path Backend 1'!A232-2,_xlfn.LAMBDA(_xlpm.r,_xlpm.c,_xlpm.c)))</f>
        <v>#VALUE!</v>
      </c>
    </row>
    <row r="233" spans="2:2" x14ac:dyDescent="0.2">
      <c r="B233" t="e" cm="1">
        <f t="array" ref="B233">_xlfn.CHOOSECOLS('Auto Path Backend 1'!B233:AAA233,_xlfn.MAKEARRAY(1,'Auto Path Backend 1'!A233-2,_xlfn.LAMBDA(_xlpm.r,_xlpm.c,_xlpm.c)))</f>
        <v>#VALUE!</v>
      </c>
    </row>
    <row r="234" spans="2:2" x14ac:dyDescent="0.2">
      <c r="B234" t="e" cm="1">
        <f t="array" ref="B234">_xlfn.CHOOSECOLS('Auto Path Backend 1'!B234:AAA234,_xlfn.MAKEARRAY(1,'Auto Path Backend 1'!A234-2,_xlfn.LAMBDA(_xlpm.r,_xlpm.c,_xlpm.c)))</f>
        <v>#VALUE!</v>
      </c>
    </row>
    <row r="235" spans="2:2" x14ac:dyDescent="0.2">
      <c r="B235" t="e" cm="1">
        <f t="array" ref="B235">_xlfn.CHOOSECOLS('Auto Path Backend 1'!B235:AAA235,_xlfn.MAKEARRAY(1,'Auto Path Backend 1'!A235-2,_xlfn.LAMBDA(_xlpm.r,_xlpm.c,_xlpm.c)))</f>
        <v>#VALUE!</v>
      </c>
    </row>
    <row r="236" spans="2:2" x14ac:dyDescent="0.2">
      <c r="B236" t="e" cm="1">
        <f t="array" ref="B236">_xlfn.CHOOSECOLS('Auto Path Backend 1'!B236:AAA236,_xlfn.MAKEARRAY(1,'Auto Path Backend 1'!A236-2,_xlfn.LAMBDA(_xlpm.r,_xlpm.c,_xlpm.c)))</f>
        <v>#VALUE!</v>
      </c>
    </row>
    <row r="237" spans="2:2" x14ac:dyDescent="0.2">
      <c r="B237" t="e" cm="1">
        <f t="array" ref="B237">_xlfn.CHOOSECOLS('Auto Path Backend 1'!B237:AAA237,_xlfn.MAKEARRAY(1,'Auto Path Backend 1'!A237-2,_xlfn.LAMBDA(_xlpm.r,_xlpm.c,_xlpm.c)))</f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72E70-6C8D-4201-9E9B-A924B031363A}">
  <sheetPr codeName="Sheet4"/>
  <dimension ref="A1:I348"/>
  <sheetViews>
    <sheetView workbookViewId="0">
      <selection activeCell="B7" sqref="B7"/>
    </sheetView>
  </sheetViews>
  <sheetFormatPr baseColWidth="10" defaultColWidth="8.83203125" defaultRowHeight="15" x14ac:dyDescent="0.2"/>
  <cols>
    <col min="1" max="1" width="9.1640625" customWidth="1"/>
    <col min="8" max="9" width="11" customWidth="1"/>
  </cols>
  <sheetData>
    <row r="1" spans="1:9" x14ac:dyDescent="0.2">
      <c r="A1" t="e" cm="1" vm="1">
        <f t="array" ref="A1:A2">_xlfn.UNIQUE('Auto Path Backend 2'!A7:A1000)</f>
        <v>#VALUE!</v>
      </c>
      <c r="B1" cm="1">
        <f t="array" ref="B1:B2">_xlfn.MAKEARRAY(COUNTA(A1:A1000),1,_xlfn.LAMBDA(_xlpm.r,_xlpm.c,_xlpm.r))</f>
        <v>1</v>
      </c>
      <c r="C1" t="s">
        <v>167</v>
      </c>
      <c r="E1" t="s">
        <v>168</v>
      </c>
    </row>
    <row r="2" spans="1:9" x14ac:dyDescent="0.2">
      <c r="A2">
        <v>0</v>
      </c>
      <c r="B2">
        <v>2</v>
      </c>
      <c r="C2">
        <f>'Auto Path'!A2</f>
        <v>6443</v>
      </c>
      <c r="E2" s="4" cm="1">
        <f t="array" ref="E2">getData(A:A,B:B,B:B,'Auto Path'!C2)</f>
        <v>0</v>
      </c>
    </row>
    <row r="3" spans="1:9" x14ac:dyDescent="0.2">
      <c r="D3" t="s">
        <v>173</v>
      </c>
      <c r="E3" t="s">
        <v>174</v>
      </c>
    </row>
    <row r="4" spans="1:9" x14ac:dyDescent="0.2">
      <c r="G4" t="s">
        <v>173</v>
      </c>
      <c r="H4" t="s">
        <v>174</v>
      </c>
    </row>
    <row r="5" spans="1:9" x14ac:dyDescent="0.2">
      <c r="D5" t="e" cm="1">
        <f t="array" ref="D5">_xlfn.TOCOL(_xlfn.CHOOSECOLS('Auto Path Backend 2'!B5:AAA5, _xlfn.MAKEARRAY(('Auto Path Backend 2'!F2)/4,1,_xlfn.LAMBDA(_xlpm.r,_xlpm.c,_xlpm.r*4-1))))</f>
        <v>#VALUE!</v>
      </c>
      <c r="E5" t="e" cm="1">
        <f t="array" ref="E5">_xlfn.TOCOL(_xlfn.CHOOSECOLS('Auto Path Backend 2'!B5:AAA5, _xlfn.MAKEARRAY(('Auto Path Backend 2'!F2)/4,1,_xlfn.LAMBDA(_xlpm.r,_xlpm.c,_xlpm.r*4-3))))</f>
        <v>#VALUE!</v>
      </c>
      <c r="G5" t="e" cm="1" vm="2">
        <f t="array" ref="G5">_xlfn.TOCOL(IF(_xlfn.BYROW(H5:H1000,_xlfn.LAMBDA(_xlpm.r,AVERAGE(getData(D5:D1000,E5:E1000,E5:E1000,_xlpm.r))))=0,"",_xlfn.BYROW(H5:H1000,_xlfn.LAMBDA(_xlpm.r,MAX(getData(D5:D1000,E5:E1000,E5:E1000,_xlpm.r))))),3)</f>
        <v>#VALUE!</v>
      </c>
      <c r="H5" t="e" cm="1">
        <f t="array" ref="H5">_xlfn.TOCOL(_xlfn._xlws.SORT(_xlfn.UNIQUE(E5:E1000)),1)</f>
        <v>#VALUE!</v>
      </c>
    </row>
    <row r="9" spans="1:9" x14ac:dyDescent="0.2">
      <c r="H9" t="str">
        <f t="shared" ref="H9:H69" si="0">IF(C8=0,"",C8)</f>
        <v/>
      </c>
      <c r="I9" t="str">
        <f t="shared" ref="I9:I69" si="1">IF(D8=0,"",D8)</f>
        <v/>
      </c>
    </row>
    <row r="10" spans="1:9" x14ac:dyDescent="0.2">
      <c r="H10" t="str">
        <f t="shared" si="0"/>
        <v/>
      </c>
      <c r="I10" t="str">
        <f t="shared" si="1"/>
        <v/>
      </c>
    </row>
    <row r="11" spans="1:9" x14ac:dyDescent="0.2">
      <c r="H11" t="str">
        <f t="shared" si="0"/>
        <v/>
      </c>
      <c r="I11" t="str">
        <f t="shared" si="1"/>
        <v/>
      </c>
    </row>
    <row r="12" spans="1:9" x14ac:dyDescent="0.2">
      <c r="H12" t="str">
        <f t="shared" si="0"/>
        <v/>
      </c>
      <c r="I12" t="str">
        <f t="shared" si="1"/>
        <v/>
      </c>
    </row>
    <row r="13" spans="1:9" x14ac:dyDescent="0.2">
      <c r="H13" t="str">
        <f t="shared" si="0"/>
        <v/>
      </c>
      <c r="I13" t="str">
        <f t="shared" si="1"/>
        <v/>
      </c>
    </row>
    <row r="14" spans="1:9" x14ac:dyDescent="0.2">
      <c r="H14" t="str">
        <f t="shared" si="0"/>
        <v/>
      </c>
      <c r="I14" t="str">
        <f t="shared" si="1"/>
        <v/>
      </c>
    </row>
    <row r="15" spans="1:9" x14ac:dyDescent="0.2">
      <c r="H15" t="str">
        <f t="shared" si="0"/>
        <v/>
      </c>
      <c r="I15" t="str">
        <f t="shared" si="1"/>
        <v/>
      </c>
    </row>
    <row r="16" spans="1:9" x14ac:dyDescent="0.2">
      <c r="H16" t="str">
        <f t="shared" si="0"/>
        <v/>
      </c>
      <c r="I16" t="str">
        <f t="shared" si="1"/>
        <v/>
      </c>
    </row>
    <row r="17" spans="8:9" x14ac:dyDescent="0.2">
      <c r="H17" t="str">
        <f t="shared" si="0"/>
        <v/>
      </c>
      <c r="I17" t="str">
        <f t="shared" si="1"/>
        <v/>
      </c>
    </row>
    <row r="18" spans="8:9" x14ac:dyDescent="0.2">
      <c r="H18" t="str">
        <f t="shared" si="0"/>
        <v/>
      </c>
      <c r="I18" t="str">
        <f t="shared" si="1"/>
        <v/>
      </c>
    </row>
    <row r="19" spans="8:9" x14ac:dyDescent="0.2">
      <c r="H19" t="str">
        <f t="shared" si="0"/>
        <v/>
      </c>
      <c r="I19" t="str">
        <f t="shared" si="1"/>
        <v/>
      </c>
    </row>
    <row r="20" spans="8:9" x14ac:dyDescent="0.2">
      <c r="H20" t="str">
        <f t="shared" si="0"/>
        <v/>
      </c>
      <c r="I20" t="str">
        <f t="shared" si="1"/>
        <v/>
      </c>
    </row>
    <row r="21" spans="8:9" x14ac:dyDescent="0.2">
      <c r="H21" t="str">
        <f t="shared" si="0"/>
        <v/>
      </c>
      <c r="I21" t="str">
        <f t="shared" si="1"/>
        <v/>
      </c>
    </row>
    <row r="22" spans="8:9" x14ac:dyDescent="0.2">
      <c r="H22" t="str">
        <f t="shared" si="0"/>
        <v/>
      </c>
      <c r="I22" t="str">
        <f t="shared" si="1"/>
        <v/>
      </c>
    </row>
    <row r="23" spans="8:9" x14ac:dyDescent="0.2">
      <c r="H23" t="str">
        <f t="shared" si="0"/>
        <v/>
      </c>
      <c r="I23" t="str">
        <f t="shared" si="1"/>
        <v/>
      </c>
    </row>
    <row r="24" spans="8:9" x14ac:dyDescent="0.2">
      <c r="H24" t="str">
        <f t="shared" si="0"/>
        <v/>
      </c>
      <c r="I24" t="str">
        <f t="shared" si="1"/>
        <v/>
      </c>
    </row>
    <row r="25" spans="8:9" x14ac:dyDescent="0.2">
      <c r="H25" t="str">
        <f t="shared" si="0"/>
        <v/>
      </c>
      <c r="I25" t="str">
        <f t="shared" si="1"/>
        <v/>
      </c>
    </row>
    <row r="26" spans="8:9" x14ac:dyDescent="0.2">
      <c r="H26" t="str">
        <f t="shared" si="0"/>
        <v/>
      </c>
      <c r="I26" t="str">
        <f t="shared" si="1"/>
        <v/>
      </c>
    </row>
    <row r="27" spans="8:9" x14ac:dyDescent="0.2">
      <c r="H27" t="str">
        <f t="shared" si="0"/>
        <v/>
      </c>
      <c r="I27" t="str">
        <f t="shared" si="1"/>
        <v/>
      </c>
    </row>
    <row r="28" spans="8:9" x14ac:dyDescent="0.2">
      <c r="H28" t="str">
        <f t="shared" si="0"/>
        <v/>
      </c>
      <c r="I28" t="str">
        <f t="shared" si="1"/>
        <v/>
      </c>
    </row>
    <row r="29" spans="8:9" x14ac:dyDescent="0.2">
      <c r="H29" t="str">
        <f t="shared" si="0"/>
        <v/>
      </c>
      <c r="I29" t="str">
        <f t="shared" si="1"/>
        <v/>
      </c>
    </row>
    <row r="30" spans="8:9" x14ac:dyDescent="0.2">
      <c r="H30" t="str">
        <f t="shared" si="0"/>
        <v/>
      </c>
      <c r="I30" t="str">
        <f t="shared" si="1"/>
        <v/>
      </c>
    </row>
    <row r="31" spans="8:9" x14ac:dyDescent="0.2">
      <c r="H31" t="str">
        <f t="shared" si="0"/>
        <v/>
      </c>
      <c r="I31" t="str">
        <f t="shared" si="1"/>
        <v/>
      </c>
    </row>
    <row r="32" spans="8:9" x14ac:dyDescent="0.2">
      <c r="H32" t="str">
        <f t="shared" si="0"/>
        <v/>
      </c>
      <c r="I32" t="str">
        <f t="shared" si="1"/>
        <v/>
      </c>
    </row>
    <row r="33" spans="8:9" x14ac:dyDescent="0.2">
      <c r="H33" t="str">
        <f t="shared" si="0"/>
        <v/>
      </c>
      <c r="I33" t="str">
        <f t="shared" si="1"/>
        <v/>
      </c>
    </row>
    <row r="34" spans="8:9" x14ac:dyDescent="0.2">
      <c r="H34" t="str">
        <f t="shared" si="0"/>
        <v/>
      </c>
      <c r="I34" t="str">
        <f t="shared" si="1"/>
        <v/>
      </c>
    </row>
    <row r="35" spans="8:9" x14ac:dyDescent="0.2">
      <c r="H35" t="str">
        <f t="shared" si="0"/>
        <v/>
      </c>
      <c r="I35" t="str">
        <f t="shared" si="1"/>
        <v/>
      </c>
    </row>
    <row r="36" spans="8:9" x14ac:dyDescent="0.2">
      <c r="H36" t="str">
        <f t="shared" si="0"/>
        <v/>
      </c>
      <c r="I36" t="str">
        <f t="shared" si="1"/>
        <v/>
      </c>
    </row>
    <row r="37" spans="8:9" x14ac:dyDescent="0.2">
      <c r="H37" t="str">
        <f t="shared" si="0"/>
        <v/>
      </c>
      <c r="I37" t="str">
        <f t="shared" si="1"/>
        <v/>
      </c>
    </row>
    <row r="38" spans="8:9" x14ac:dyDescent="0.2">
      <c r="H38" t="str">
        <f t="shared" si="0"/>
        <v/>
      </c>
      <c r="I38" t="str">
        <f t="shared" si="1"/>
        <v/>
      </c>
    </row>
    <row r="39" spans="8:9" x14ac:dyDescent="0.2">
      <c r="H39" t="str">
        <f t="shared" si="0"/>
        <v/>
      </c>
      <c r="I39" t="str">
        <f t="shared" si="1"/>
        <v/>
      </c>
    </row>
    <row r="40" spans="8:9" x14ac:dyDescent="0.2">
      <c r="H40" t="str">
        <f t="shared" si="0"/>
        <v/>
      </c>
      <c r="I40" t="str">
        <f t="shared" si="1"/>
        <v/>
      </c>
    </row>
    <row r="41" spans="8:9" x14ac:dyDescent="0.2">
      <c r="H41" t="str">
        <f t="shared" si="0"/>
        <v/>
      </c>
      <c r="I41" t="str">
        <f t="shared" si="1"/>
        <v/>
      </c>
    </row>
    <row r="42" spans="8:9" x14ac:dyDescent="0.2">
      <c r="H42" t="str">
        <f t="shared" si="0"/>
        <v/>
      </c>
      <c r="I42" t="str">
        <f t="shared" si="1"/>
        <v/>
      </c>
    </row>
    <row r="43" spans="8:9" x14ac:dyDescent="0.2">
      <c r="H43" t="str">
        <f t="shared" si="0"/>
        <v/>
      </c>
      <c r="I43" t="str">
        <f t="shared" si="1"/>
        <v/>
      </c>
    </row>
    <row r="44" spans="8:9" x14ac:dyDescent="0.2">
      <c r="H44" t="str">
        <f t="shared" si="0"/>
        <v/>
      </c>
      <c r="I44" t="str">
        <f t="shared" si="1"/>
        <v/>
      </c>
    </row>
    <row r="45" spans="8:9" x14ac:dyDescent="0.2">
      <c r="H45" t="str">
        <f t="shared" si="0"/>
        <v/>
      </c>
      <c r="I45" t="str">
        <f t="shared" si="1"/>
        <v/>
      </c>
    </row>
    <row r="46" spans="8:9" x14ac:dyDescent="0.2">
      <c r="H46" t="str">
        <f t="shared" si="0"/>
        <v/>
      </c>
      <c r="I46" t="str">
        <f t="shared" si="1"/>
        <v/>
      </c>
    </row>
    <row r="47" spans="8:9" x14ac:dyDescent="0.2">
      <c r="H47" t="str">
        <f t="shared" si="0"/>
        <v/>
      </c>
      <c r="I47" t="str">
        <f t="shared" si="1"/>
        <v/>
      </c>
    </row>
    <row r="48" spans="8:9" x14ac:dyDescent="0.2">
      <c r="H48" t="str">
        <f t="shared" si="0"/>
        <v/>
      </c>
      <c r="I48" t="str">
        <f t="shared" si="1"/>
        <v/>
      </c>
    </row>
    <row r="49" spans="8:9" x14ac:dyDescent="0.2">
      <c r="H49" t="str">
        <f t="shared" si="0"/>
        <v/>
      </c>
      <c r="I49" t="str">
        <f t="shared" si="1"/>
        <v/>
      </c>
    </row>
    <row r="50" spans="8:9" x14ac:dyDescent="0.2">
      <c r="H50" t="str">
        <f t="shared" si="0"/>
        <v/>
      </c>
      <c r="I50" t="str">
        <f t="shared" si="1"/>
        <v/>
      </c>
    </row>
    <row r="51" spans="8:9" x14ac:dyDescent="0.2">
      <c r="H51" t="str">
        <f t="shared" si="0"/>
        <v/>
      </c>
      <c r="I51" t="str">
        <f t="shared" si="1"/>
        <v/>
      </c>
    </row>
    <row r="52" spans="8:9" x14ac:dyDescent="0.2">
      <c r="H52" t="str">
        <f t="shared" si="0"/>
        <v/>
      </c>
      <c r="I52" t="str">
        <f t="shared" si="1"/>
        <v/>
      </c>
    </row>
    <row r="53" spans="8:9" x14ac:dyDescent="0.2">
      <c r="H53" t="str">
        <f t="shared" si="0"/>
        <v/>
      </c>
      <c r="I53" t="str">
        <f t="shared" si="1"/>
        <v/>
      </c>
    </row>
    <row r="54" spans="8:9" x14ac:dyDescent="0.2">
      <c r="H54" t="str">
        <f t="shared" si="0"/>
        <v/>
      </c>
      <c r="I54" t="str">
        <f t="shared" si="1"/>
        <v/>
      </c>
    </row>
    <row r="55" spans="8:9" x14ac:dyDescent="0.2">
      <c r="H55" t="str">
        <f t="shared" si="0"/>
        <v/>
      </c>
      <c r="I55" t="str">
        <f t="shared" si="1"/>
        <v/>
      </c>
    </row>
    <row r="56" spans="8:9" x14ac:dyDescent="0.2">
      <c r="H56" t="str">
        <f t="shared" si="0"/>
        <v/>
      </c>
      <c r="I56" t="str">
        <f t="shared" si="1"/>
        <v/>
      </c>
    </row>
    <row r="57" spans="8:9" x14ac:dyDescent="0.2">
      <c r="H57" t="str">
        <f t="shared" si="0"/>
        <v/>
      </c>
      <c r="I57" t="str">
        <f t="shared" si="1"/>
        <v/>
      </c>
    </row>
    <row r="58" spans="8:9" x14ac:dyDescent="0.2">
      <c r="H58" t="str">
        <f t="shared" si="0"/>
        <v/>
      </c>
      <c r="I58" t="str">
        <f t="shared" si="1"/>
        <v/>
      </c>
    </row>
    <row r="59" spans="8:9" x14ac:dyDescent="0.2">
      <c r="H59" t="str">
        <f t="shared" si="0"/>
        <v/>
      </c>
      <c r="I59" t="str">
        <f t="shared" si="1"/>
        <v/>
      </c>
    </row>
    <row r="60" spans="8:9" x14ac:dyDescent="0.2">
      <c r="H60" t="str">
        <f t="shared" si="0"/>
        <v/>
      </c>
      <c r="I60" t="str">
        <f t="shared" si="1"/>
        <v/>
      </c>
    </row>
    <row r="61" spans="8:9" x14ac:dyDescent="0.2">
      <c r="H61" t="str">
        <f t="shared" si="0"/>
        <v/>
      </c>
      <c r="I61" t="str">
        <f t="shared" si="1"/>
        <v/>
      </c>
    </row>
    <row r="62" spans="8:9" x14ac:dyDescent="0.2">
      <c r="H62" t="str">
        <f t="shared" si="0"/>
        <v/>
      </c>
      <c r="I62" t="str">
        <f t="shared" si="1"/>
        <v/>
      </c>
    </row>
    <row r="63" spans="8:9" x14ac:dyDescent="0.2">
      <c r="H63" t="str">
        <f t="shared" si="0"/>
        <v/>
      </c>
      <c r="I63" t="str">
        <f t="shared" si="1"/>
        <v/>
      </c>
    </row>
    <row r="64" spans="8:9" x14ac:dyDescent="0.2">
      <c r="H64" t="str">
        <f t="shared" si="0"/>
        <v/>
      </c>
      <c r="I64" t="str">
        <f t="shared" si="1"/>
        <v/>
      </c>
    </row>
    <row r="65" spans="8:9" x14ac:dyDescent="0.2">
      <c r="H65" t="str">
        <f t="shared" si="0"/>
        <v/>
      </c>
      <c r="I65" t="str">
        <f t="shared" si="1"/>
        <v/>
      </c>
    </row>
    <row r="66" spans="8:9" x14ac:dyDescent="0.2">
      <c r="H66" t="str">
        <f t="shared" si="0"/>
        <v/>
      </c>
      <c r="I66" t="str">
        <f t="shared" si="1"/>
        <v/>
      </c>
    </row>
    <row r="67" spans="8:9" x14ac:dyDescent="0.2">
      <c r="H67" t="str">
        <f t="shared" si="0"/>
        <v/>
      </c>
      <c r="I67" t="str">
        <f t="shared" si="1"/>
        <v/>
      </c>
    </row>
    <row r="68" spans="8:9" x14ac:dyDescent="0.2">
      <c r="H68" t="str">
        <f t="shared" si="0"/>
        <v/>
      </c>
      <c r="I68" t="str">
        <f t="shared" si="1"/>
        <v/>
      </c>
    </row>
    <row r="69" spans="8:9" x14ac:dyDescent="0.2">
      <c r="H69" t="str">
        <f t="shared" si="0"/>
        <v/>
      </c>
      <c r="I69" t="str">
        <f t="shared" si="1"/>
        <v/>
      </c>
    </row>
    <row r="70" spans="8:9" x14ac:dyDescent="0.2">
      <c r="H70" t="str">
        <f t="shared" ref="H70:H133" si="2">IF(C69=0,"",C69)</f>
        <v/>
      </c>
      <c r="I70" t="str">
        <f t="shared" ref="I70:I133" si="3">IF(D69=0,"",D69)</f>
        <v/>
      </c>
    </row>
    <row r="71" spans="8:9" x14ac:dyDescent="0.2">
      <c r="H71" t="str">
        <f t="shared" si="2"/>
        <v/>
      </c>
      <c r="I71" t="str">
        <f t="shared" si="3"/>
        <v/>
      </c>
    </row>
    <row r="72" spans="8:9" x14ac:dyDescent="0.2">
      <c r="H72" t="str">
        <f t="shared" si="2"/>
        <v/>
      </c>
      <c r="I72" t="str">
        <f t="shared" si="3"/>
        <v/>
      </c>
    </row>
    <row r="73" spans="8:9" x14ac:dyDescent="0.2">
      <c r="H73" t="str">
        <f t="shared" si="2"/>
        <v/>
      </c>
      <c r="I73" t="str">
        <f t="shared" si="3"/>
        <v/>
      </c>
    </row>
    <row r="74" spans="8:9" x14ac:dyDescent="0.2">
      <c r="H74" t="str">
        <f t="shared" si="2"/>
        <v/>
      </c>
      <c r="I74" t="str">
        <f t="shared" si="3"/>
        <v/>
      </c>
    </row>
    <row r="75" spans="8:9" x14ac:dyDescent="0.2">
      <c r="H75" t="str">
        <f t="shared" si="2"/>
        <v/>
      </c>
      <c r="I75" t="str">
        <f t="shared" si="3"/>
        <v/>
      </c>
    </row>
    <row r="76" spans="8:9" x14ac:dyDescent="0.2">
      <c r="H76" t="str">
        <f t="shared" si="2"/>
        <v/>
      </c>
      <c r="I76" t="str">
        <f t="shared" si="3"/>
        <v/>
      </c>
    </row>
    <row r="77" spans="8:9" x14ac:dyDescent="0.2">
      <c r="H77" t="str">
        <f t="shared" si="2"/>
        <v/>
      </c>
      <c r="I77" t="str">
        <f t="shared" si="3"/>
        <v/>
      </c>
    </row>
    <row r="78" spans="8:9" x14ac:dyDescent="0.2">
      <c r="H78" t="str">
        <f t="shared" si="2"/>
        <v/>
      </c>
      <c r="I78" t="str">
        <f t="shared" si="3"/>
        <v/>
      </c>
    </row>
    <row r="79" spans="8:9" x14ac:dyDescent="0.2">
      <c r="H79" t="str">
        <f t="shared" si="2"/>
        <v/>
      </c>
      <c r="I79" t="str">
        <f t="shared" si="3"/>
        <v/>
      </c>
    </row>
    <row r="80" spans="8:9" x14ac:dyDescent="0.2">
      <c r="H80" t="str">
        <f t="shared" si="2"/>
        <v/>
      </c>
      <c r="I80" t="str">
        <f t="shared" si="3"/>
        <v/>
      </c>
    </row>
    <row r="81" spans="8:9" x14ac:dyDescent="0.2">
      <c r="H81" t="str">
        <f t="shared" si="2"/>
        <v/>
      </c>
      <c r="I81" t="str">
        <f t="shared" si="3"/>
        <v/>
      </c>
    </row>
    <row r="82" spans="8:9" x14ac:dyDescent="0.2">
      <c r="H82" t="str">
        <f t="shared" si="2"/>
        <v/>
      </c>
      <c r="I82" t="str">
        <f t="shared" si="3"/>
        <v/>
      </c>
    </row>
    <row r="83" spans="8:9" x14ac:dyDescent="0.2">
      <c r="H83" t="str">
        <f t="shared" si="2"/>
        <v/>
      </c>
      <c r="I83" t="str">
        <f t="shared" si="3"/>
        <v/>
      </c>
    </row>
    <row r="84" spans="8:9" x14ac:dyDescent="0.2">
      <c r="H84" t="str">
        <f t="shared" si="2"/>
        <v/>
      </c>
      <c r="I84" t="str">
        <f t="shared" si="3"/>
        <v/>
      </c>
    </row>
    <row r="85" spans="8:9" x14ac:dyDescent="0.2">
      <c r="H85" t="str">
        <f t="shared" si="2"/>
        <v/>
      </c>
      <c r="I85" t="str">
        <f t="shared" si="3"/>
        <v/>
      </c>
    </row>
    <row r="86" spans="8:9" x14ac:dyDescent="0.2">
      <c r="H86" t="str">
        <f t="shared" si="2"/>
        <v/>
      </c>
      <c r="I86" t="str">
        <f t="shared" si="3"/>
        <v/>
      </c>
    </row>
    <row r="87" spans="8:9" x14ac:dyDescent="0.2">
      <c r="H87" t="str">
        <f t="shared" si="2"/>
        <v/>
      </c>
      <c r="I87" t="str">
        <f t="shared" si="3"/>
        <v/>
      </c>
    </row>
    <row r="88" spans="8:9" x14ac:dyDescent="0.2">
      <c r="H88" t="str">
        <f t="shared" si="2"/>
        <v/>
      </c>
      <c r="I88" t="str">
        <f t="shared" si="3"/>
        <v/>
      </c>
    </row>
    <row r="89" spans="8:9" x14ac:dyDescent="0.2">
      <c r="H89" t="str">
        <f t="shared" si="2"/>
        <v/>
      </c>
      <c r="I89" t="str">
        <f t="shared" si="3"/>
        <v/>
      </c>
    </row>
    <row r="90" spans="8:9" x14ac:dyDescent="0.2">
      <c r="H90" t="str">
        <f t="shared" si="2"/>
        <v/>
      </c>
      <c r="I90" t="str">
        <f t="shared" si="3"/>
        <v/>
      </c>
    </row>
    <row r="91" spans="8:9" x14ac:dyDescent="0.2">
      <c r="H91" t="str">
        <f t="shared" si="2"/>
        <v/>
      </c>
      <c r="I91" t="str">
        <f t="shared" si="3"/>
        <v/>
      </c>
    </row>
    <row r="92" spans="8:9" x14ac:dyDescent="0.2">
      <c r="H92" t="str">
        <f t="shared" si="2"/>
        <v/>
      </c>
      <c r="I92" t="str">
        <f t="shared" si="3"/>
        <v/>
      </c>
    </row>
    <row r="93" spans="8:9" x14ac:dyDescent="0.2">
      <c r="H93" t="str">
        <f t="shared" si="2"/>
        <v/>
      </c>
      <c r="I93" t="str">
        <f t="shared" si="3"/>
        <v/>
      </c>
    </row>
    <row r="94" spans="8:9" x14ac:dyDescent="0.2">
      <c r="H94" t="str">
        <f t="shared" si="2"/>
        <v/>
      </c>
      <c r="I94" t="str">
        <f t="shared" si="3"/>
        <v/>
      </c>
    </row>
    <row r="95" spans="8:9" x14ac:dyDescent="0.2">
      <c r="H95" t="str">
        <f t="shared" si="2"/>
        <v/>
      </c>
      <c r="I95" t="str">
        <f t="shared" si="3"/>
        <v/>
      </c>
    </row>
    <row r="96" spans="8:9" x14ac:dyDescent="0.2">
      <c r="H96" t="str">
        <f t="shared" si="2"/>
        <v/>
      </c>
      <c r="I96" t="str">
        <f t="shared" si="3"/>
        <v/>
      </c>
    </row>
    <row r="97" spans="8:9" x14ac:dyDescent="0.2">
      <c r="H97" t="str">
        <f t="shared" si="2"/>
        <v/>
      </c>
      <c r="I97" t="str">
        <f t="shared" si="3"/>
        <v/>
      </c>
    </row>
    <row r="98" spans="8:9" x14ac:dyDescent="0.2">
      <c r="H98" t="str">
        <f t="shared" si="2"/>
        <v/>
      </c>
      <c r="I98" t="str">
        <f t="shared" si="3"/>
        <v/>
      </c>
    </row>
    <row r="99" spans="8:9" x14ac:dyDescent="0.2">
      <c r="H99" t="str">
        <f t="shared" si="2"/>
        <v/>
      </c>
      <c r="I99" t="str">
        <f t="shared" si="3"/>
        <v/>
      </c>
    </row>
    <row r="100" spans="8:9" x14ac:dyDescent="0.2">
      <c r="H100" t="str">
        <f t="shared" si="2"/>
        <v/>
      </c>
      <c r="I100" t="str">
        <f t="shared" si="3"/>
        <v/>
      </c>
    </row>
    <row r="101" spans="8:9" x14ac:dyDescent="0.2">
      <c r="H101" t="str">
        <f t="shared" si="2"/>
        <v/>
      </c>
      <c r="I101" t="str">
        <f t="shared" si="3"/>
        <v/>
      </c>
    </row>
    <row r="102" spans="8:9" x14ac:dyDescent="0.2">
      <c r="H102" t="str">
        <f t="shared" si="2"/>
        <v/>
      </c>
      <c r="I102" t="str">
        <f t="shared" si="3"/>
        <v/>
      </c>
    </row>
    <row r="103" spans="8:9" x14ac:dyDescent="0.2">
      <c r="H103" t="str">
        <f t="shared" si="2"/>
        <v/>
      </c>
      <c r="I103" t="str">
        <f t="shared" si="3"/>
        <v/>
      </c>
    </row>
    <row r="104" spans="8:9" x14ac:dyDescent="0.2">
      <c r="H104" t="str">
        <f t="shared" si="2"/>
        <v/>
      </c>
      <c r="I104" t="str">
        <f t="shared" si="3"/>
        <v/>
      </c>
    </row>
    <row r="105" spans="8:9" x14ac:dyDescent="0.2">
      <c r="H105" t="str">
        <f t="shared" si="2"/>
        <v/>
      </c>
      <c r="I105" t="str">
        <f t="shared" si="3"/>
        <v/>
      </c>
    </row>
    <row r="106" spans="8:9" x14ac:dyDescent="0.2">
      <c r="H106" t="str">
        <f t="shared" si="2"/>
        <v/>
      </c>
      <c r="I106" t="str">
        <f t="shared" si="3"/>
        <v/>
      </c>
    </row>
    <row r="107" spans="8:9" x14ac:dyDescent="0.2">
      <c r="H107" t="str">
        <f t="shared" si="2"/>
        <v/>
      </c>
      <c r="I107" t="str">
        <f t="shared" si="3"/>
        <v/>
      </c>
    </row>
    <row r="108" spans="8:9" x14ac:dyDescent="0.2">
      <c r="H108" t="str">
        <f t="shared" si="2"/>
        <v/>
      </c>
      <c r="I108" t="str">
        <f t="shared" si="3"/>
        <v/>
      </c>
    </row>
    <row r="109" spans="8:9" x14ac:dyDescent="0.2">
      <c r="H109" t="str">
        <f t="shared" si="2"/>
        <v/>
      </c>
      <c r="I109" t="str">
        <f t="shared" si="3"/>
        <v/>
      </c>
    </row>
    <row r="110" spans="8:9" x14ac:dyDescent="0.2">
      <c r="H110" t="str">
        <f t="shared" si="2"/>
        <v/>
      </c>
      <c r="I110" t="str">
        <f t="shared" si="3"/>
        <v/>
      </c>
    </row>
    <row r="111" spans="8:9" x14ac:dyDescent="0.2">
      <c r="H111" t="str">
        <f t="shared" si="2"/>
        <v/>
      </c>
      <c r="I111" t="str">
        <f t="shared" si="3"/>
        <v/>
      </c>
    </row>
    <row r="112" spans="8:9" x14ac:dyDescent="0.2">
      <c r="H112" t="str">
        <f t="shared" si="2"/>
        <v/>
      </c>
      <c r="I112" t="str">
        <f t="shared" si="3"/>
        <v/>
      </c>
    </row>
    <row r="113" spans="8:9" x14ac:dyDescent="0.2">
      <c r="H113" t="str">
        <f t="shared" si="2"/>
        <v/>
      </c>
      <c r="I113" t="str">
        <f t="shared" si="3"/>
        <v/>
      </c>
    </row>
    <row r="114" spans="8:9" x14ac:dyDescent="0.2">
      <c r="H114" t="str">
        <f t="shared" si="2"/>
        <v/>
      </c>
      <c r="I114" t="str">
        <f t="shared" si="3"/>
        <v/>
      </c>
    </row>
    <row r="115" spans="8:9" x14ac:dyDescent="0.2">
      <c r="H115" t="str">
        <f t="shared" si="2"/>
        <v/>
      </c>
      <c r="I115" t="str">
        <f t="shared" si="3"/>
        <v/>
      </c>
    </row>
    <row r="116" spans="8:9" x14ac:dyDescent="0.2">
      <c r="H116" t="str">
        <f t="shared" si="2"/>
        <v/>
      </c>
      <c r="I116" t="str">
        <f t="shared" si="3"/>
        <v/>
      </c>
    </row>
    <row r="117" spans="8:9" x14ac:dyDescent="0.2">
      <c r="H117" t="str">
        <f t="shared" si="2"/>
        <v/>
      </c>
      <c r="I117" t="str">
        <f t="shared" si="3"/>
        <v/>
      </c>
    </row>
    <row r="118" spans="8:9" x14ac:dyDescent="0.2">
      <c r="H118" t="str">
        <f t="shared" si="2"/>
        <v/>
      </c>
      <c r="I118" t="str">
        <f t="shared" si="3"/>
        <v/>
      </c>
    </row>
    <row r="119" spans="8:9" x14ac:dyDescent="0.2">
      <c r="H119" t="str">
        <f t="shared" si="2"/>
        <v/>
      </c>
      <c r="I119" t="str">
        <f t="shared" si="3"/>
        <v/>
      </c>
    </row>
    <row r="120" spans="8:9" x14ac:dyDescent="0.2">
      <c r="H120" t="str">
        <f t="shared" si="2"/>
        <v/>
      </c>
      <c r="I120" t="str">
        <f t="shared" si="3"/>
        <v/>
      </c>
    </row>
    <row r="121" spans="8:9" x14ac:dyDescent="0.2">
      <c r="H121" t="str">
        <f t="shared" si="2"/>
        <v/>
      </c>
      <c r="I121" t="str">
        <f t="shared" si="3"/>
        <v/>
      </c>
    </row>
    <row r="122" spans="8:9" x14ac:dyDescent="0.2">
      <c r="H122" t="str">
        <f t="shared" si="2"/>
        <v/>
      </c>
      <c r="I122" t="str">
        <f t="shared" si="3"/>
        <v/>
      </c>
    </row>
    <row r="123" spans="8:9" x14ac:dyDescent="0.2">
      <c r="H123" t="str">
        <f t="shared" si="2"/>
        <v/>
      </c>
      <c r="I123" t="str">
        <f t="shared" si="3"/>
        <v/>
      </c>
    </row>
    <row r="124" spans="8:9" x14ac:dyDescent="0.2">
      <c r="H124" t="str">
        <f t="shared" si="2"/>
        <v/>
      </c>
      <c r="I124" t="str">
        <f t="shared" si="3"/>
        <v/>
      </c>
    </row>
    <row r="125" spans="8:9" x14ac:dyDescent="0.2">
      <c r="H125" t="str">
        <f t="shared" si="2"/>
        <v/>
      </c>
      <c r="I125" t="str">
        <f t="shared" si="3"/>
        <v/>
      </c>
    </row>
    <row r="126" spans="8:9" x14ac:dyDescent="0.2">
      <c r="H126" t="str">
        <f t="shared" si="2"/>
        <v/>
      </c>
      <c r="I126" t="str">
        <f t="shared" si="3"/>
        <v/>
      </c>
    </row>
    <row r="127" spans="8:9" x14ac:dyDescent="0.2">
      <c r="H127" t="str">
        <f t="shared" si="2"/>
        <v/>
      </c>
      <c r="I127" t="str">
        <f t="shared" si="3"/>
        <v/>
      </c>
    </row>
    <row r="128" spans="8:9" x14ac:dyDescent="0.2">
      <c r="H128" t="str">
        <f t="shared" si="2"/>
        <v/>
      </c>
      <c r="I128" t="str">
        <f t="shared" si="3"/>
        <v/>
      </c>
    </row>
    <row r="129" spans="8:9" x14ac:dyDescent="0.2">
      <c r="H129" t="str">
        <f t="shared" si="2"/>
        <v/>
      </c>
      <c r="I129" t="str">
        <f t="shared" si="3"/>
        <v/>
      </c>
    </row>
    <row r="130" spans="8:9" x14ac:dyDescent="0.2">
      <c r="H130" t="str">
        <f t="shared" si="2"/>
        <v/>
      </c>
      <c r="I130" t="str">
        <f t="shared" si="3"/>
        <v/>
      </c>
    </row>
    <row r="131" spans="8:9" x14ac:dyDescent="0.2">
      <c r="H131" t="str">
        <f t="shared" si="2"/>
        <v/>
      </c>
      <c r="I131" t="str">
        <f t="shared" si="3"/>
        <v/>
      </c>
    </row>
    <row r="132" spans="8:9" x14ac:dyDescent="0.2">
      <c r="H132" t="str">
        <f t="shared" si="2"/>
        <v/>
      </c>
      <c r="I132" t="str">
        <f t="shared" si="3"/>
        <v/>
      </c>
    </row>
    <row r="133" spans="8:9" x14ac:dyDescent="0.2">
      <c r="H133" t="str">
        <f t="shared" si="2"/>
        <v/>
      </c>
      <c r="I133" t="str">
        <f t="shared" si="3"/>
        <v/>
      </c>
    </row>
    <row r="134" spans="8:9" x14ac:dyDescent="0.2">
      <c r="H134" t="str">
        <f t="shared" ref="H134:H197" si="4">IF(C133=0,"",C133)</f>
        <v/>
      </c>
      <c r="I134" t="str">
        <f t="shared" ref="I134:I197" si="5">IF(D133=0,"",D133)</f>
        <v/>
      </c>
    </row>
    <row r="135" spans="8:9" x14ac:dyDescent="0.2">
      <c r="H135" t="str">
        <f t="shared" si="4"/>
        <v/>
      </c>
      <c r="I135" t="str">
        <f t="shared" si="5"/>
        <v/>
      </c>
    </row>
    <row r="136" spans="8:9" x14ac:dyDescent="0.2">
      <c r="H136" t="str">
        <f t="shared" si="4"/>
        <v/>
      </c>
      <c r="I136" t="str">
        <f t="shared" si="5"/>
        <v/>
      </c>
    </row>
    <row r="137" spans="8:9" x14ac:dyDescent="0.2">
      <c r="H137" t="str">
        <f t="shared" si="4"/>
        <v/>
      </c>
      <c r="I137" t="str">
        <f t="shared" si="5"/>
        <v/>
      </c>
    </row>
    <row r="138" spans="8:9" x14ac:dyDescent="0.2">
      <c r="H138" t="str">
        <f t="shared" si="4"/>
        <v/>
      </c>
      <c r="I138" t="str">
        <f t="shared" si="5"/>
        <v/>
      </c>
    </row>
    <row r="139" spans="8:9" x14ac:dyDescent="0.2">
      <c r="H139" t="str">
        <f t="shared" si="4"/>
        <v/>
      </c>
      <c r="I139" t="str">
        <f t="shared" si="5"/>
        <v/>
      </c>
    </row>
    <row r="140" spans="8:9" x14ac:dyDescent="0.2">
      <c r="H140" t="str">
        <f t="shared" si="4"/>
        <v/>
      </c>
      <c r="I140" t="str">
        <f t="shared" si="5"/>
        <v/>
      </c>
    </row>
    <row r="141" spans="8:9" x14ac:dyDescent="0.2">
      <c r="H141" t="str">
        <f t="shared" si="4"/>
        <v/>
      </c>
      <c r="I141" t="str">
        <f t="shared" si="5"/>
        <v/>
      </c>
    </row>
    <row r="142" spans="8:9" x14ac:dyDescent="0.2">
      <c r="H142" t="str">
        <f t="shared" si="4"/>
        <v/>
      </c>
      <c r="I142" t="str">
        <f t="shared" si="5"/>
        <v/>
      </c>
    </row>
    <row r="143" spans="8:9" x14ac:dyDescent="0.2">
      <c r="H143" t="str">
        <f t="shared" si="4"/>
        <v/>
      </c>
      <c r="I143" t="str">
        <f t="shared" si="5"/>
        <v/>
      </c>
    </row>
    <row r="144" spans="8:9" x14ac:dyDescent="0.2">
      <c r="H144" t="str">
        <f t="shared" si="4"/>
        <v/>
      </c>
      <c r="I144" t="str">
        <f t="shared" si="5"/>
        <v/>
      </c>
    </row>
    <row r="145" spans="8:9" x14ac:dyDescent="0.2">
      <c r="H145" t="str">
        <f t="shared" si="4"/>
        <v/>
      </c>
      <c r="I145" t="str">
        <f t="shared" si="5"/>
        <v/>
      </c>
    </row>
    <row r="146" spans="8:9" x14ac:dyDescent="0.2">
      <c r="H146" t="str">
        <f t="shared" si="4"/>
        <v/>
      </c>
      <c r="I146" t="str">
        <f t="shared" si="5"/>
        <v/>
      </c>
    </row>
    <row r="147" spans="8:9" x14ac:dyDescent="0.2">
      <c r="H147" t="str">
        <f t="shared" si="4"/>
        <v/>
      </c>
      <c r="I147" t="str">
        <f t="shared" si="5"/>
        <v/>
      </c>
    </row>
    <row r="148" spans="8:9" x14ac:dyDescent="0.2">
      <c r="H148" t="str">
        <f t="shared" si="4"/>
        <v/>
      </c>
      <c r="I148" t="str">
        <f t="shared" si="5"/>
        <v/>
      </c>
    </row>
    <row r="149" spans="8:9" x14ac:dyDescent="0.2">
      <c r="H149" t="str">
        <f t="shared" si="4"/>
        <v/>
      </c>
      <c r="I149" t="str">
        <f t="shared" si="5"/>
        <v/>
      </c>
    </row>
    <row r="150" spans="8:9" x14ac:dyDescent="0.2">
      <c r="H150" t="str">
        <f t="shared" si="4"/>
        <v/>
      </c>
      <c r="I150" t="str">
        <f t="shared" si="5"/>
        <v/>
      </c>
    </row>
    <row r="151" spans="8:9" x14ac:dyDescent="0.2">
      <c r="H151" t="str">
        <f t="shared" si="4"/>
        <v/>
      </c>
      <c r="I151" t="str">
        <f t="shared" si="5"/>
        <v/>
      </c>
    </row>
    <row r="152" spans="8:9" x14ac:dyDescent="0.2">
      <c r="H152" t="str">
        <f t="shared" si="4"/>
        <v/>
      </c>
      <c r="I152" t="str">
        <f t="shared" si="5"/>
        <v/>
      </c>
    </row>
    <row r="153" spans="8:9" x14ac:dyDescent="0.2">
      <c r="H153" t="str">
        <f t="shared" si="4"/>
        <v/>
      </c>
      <c r="I153" t="str">
        <f t="shared" si="5"/>
        <v/>
      </c>
    </row>
    <row r="154" spans="8:9" x14ac:dyDescent="0.2">
      <c r="H154" t="str">
        <f t="shared" si="4"/>
        <v/>
      </c>
      <c r="I154" t="str">
        <f t="shared" si="5"/>
        <v/>
      </c>
    </row>
    <row r="155" spans="8:9" x14ac:dyDescent="0.2">
      <c r="H155" t="str">
        <f t="shared" si="4"/>
        <v/>
      </c>
      <c r="I155" t="str">
        <f t="shared" si="5"/>
        <v/>
      </c>
    </row>
    <row r="156" spans="8:9" x14ac:dyDescent="0.2">
      <c r="H156" t="str">
        <f t="shared" si="4"/>
        <v/>
      </c>
      <c r="I156" t="str">
        <f t="shared" si="5"/>
        <v/>
      </c>
    </row>
    <row r="157" spans="8:9" x14ac:dyDescent="0.2">
      <c r="H157" t="str">
        <f t="shared" si="4"/>
        <v/>
      </c>
      <c r="I157" t="str">
        <f t="shared" si="5"/>
        <v/>
      </c>
    </row>
    <row r="158" spans="8:9" x14ac:dyDescent="0.2">
      <c r="H158" t="str">
        <f t="shared" si="4"/>
        <v/>
      </c>
      <c r="I158" t="str">
        <f t="shared" si="5"/>
        <v/>
      </c>
    </row>
    <row r="159" spans="8:9" x14ac:dyDescent="0.2">
      <c r="H159" t="str">
        <f t="shared" si="4"/>
        <v/>
      </c>
      <c r="I159" t="str">
        <f t="shared" si="5"/>
        <v/>
      </c>
    </row>
    <row r="160" spans="8:9" x14ac:dyDescent="0.2">
      <c r="H160" t="str">
        <f t="shared" si="4"/>
        <v/>
      </c>
      <c r="I160" t="str">
        <f t="shared" si="5"/>
        <v/>
      </c>
    </row>
    <row r="161" spans="8:9" x14ac:dyDescent="0.2">
      <c r="H161" t="str">
        <f t="shared" si="4"/>
        <v/>
      </c>
      <c r="I161" t="str">
        <f t="shared" si="5"/>
        <v/>
      </c>
    </row>
    <row r="162" spans="8:9" x14ac:dyDescent="0.2">
      <c r="H162" t="str">
        <f t="shared" si="4"/>
        <v/>
      </c>
      <c r="I162" t="str">
        <f t="shared" si="5"/>
        <v/>
      </c>
    </row>
    <row r="163" spans="8:9" x14ac:dyDescent="0.2">
      <c r="H163" t="str">
        <f t="shared" si="4"/>
        <v/>
      </c>
      <c r="I163" t="str">
        <f t="shared" si="5"/>
        <v/>
      </c>
    </row>
    <row r="164" spans="8:9" x14ac:dyDescent="0.2">
      <c r="H164" t="str">
        <f t="shared" si="4"/>
        <v/>
      </c>
      <c r="I164" t="str">
        <f t="shared" si="5"/>
        <v/>
      </c>
    </row>
    <row r="165" spans="8:9" x14ac:dyDescent="0.2">
      <c r="H165" t="str">
        <f t="shared" si="4"/>
        <v/>
      </c>
      <c r="I165" t="str">
        <f t="shared" si="5"/>
        <v/>
      </c>
    </row>
    <row r="166" spans="8:9" x14ac:dyDescent="0.2">
      <c r="H166" t="str">
        <f t="shared" si="4"/>
        <v/>
      </c>
      <c r="I166" t="str">
        <f t="shared" si="5"/>
        <v/>
      </c>
    </row>
    <row r="167" spans="8:9" x14ac:dyDescent="0.2">
      <c r="H167" t="str">
        <f t="shared" si="4"/>
        <v/>
      </c>
      <c r="I167" t="str">
        <f t="shared" si="5"/>
        <v/>
      </c>
    </row>
    <row r="168" spans="8:9" x14ac:dyDescent="0.2">
      <c r="H168" t="str">
        <f t="shared" si="4"/>
        <v/>
      </c>
      <c r="I168" t="str">
        <f t="shared" si="5"/>
        <v/>
      </c>
    </row>
    <row r="169" spans="8:9" x14ac:dyDescent="0.2">
      <c r="H169" t="str">
        <f t="shared" si="4"/>
        <v/>
      </c>
      <c r="I169" t="str">
        <f t="shared" si="5"/>
        <v/>
      </c>
    </row>
    <row r="170" spans="8:9" x14ac:dyDescent="0.2">
      <c r="H170" t="str">
        <f t="shared" si="4"/>
        <v/>
      </c>
      <c r="I170" t="str">
        <f t="shared" si="5"/>
        <v/>
      </c>
    </row>
    <row r="171" spans="8:9" x14ac:dyDescent="0.2">
      <c r="H171" t="str">
        <f t="shared" si="4"/>
        <v/>
      </c>
      <c r="I171" t="str">
        <f t="shared" si="5"/>
        <v/>
      </c>
    </row>
    <row r="172" spans="8:9" x14ac:dyDescent="0.2">
      <c r="H172" t="str">
        <f t="shared" si="4"/>
        <v/>
      </c>
      <c r="I172" t="str">
        <f t="shared" si="5"/>
        <v/>
      </c>
    </row>
    <row r="173" spans="8:9" x14ac:dyDescent="0.2">
      <c r="H173" t="str">
        <f t="shared" si="4"/>
        <v/>
      </c>
      <c r="I173" t="str">
        <f t="shared" si="5"/>
        <v/>
      </c>
    </row>
    <row r="174" spans="8:9" x14ac:dyDescent="0.2">
      <c r="H174" t="str">
        <f t="shared" si="4"/>
        <v/>
      </c>
      <c r="I174" t="str">
        <f t="shared" si="5"/>
        <v/>
      </c>
    </row>
    <row r="175" spans="8:9" x14ac:dyDescent="0.2">
      <c r="H175" t="str">
        <f t="shared" si="4"/>
        <v/>
      </c>
      <c r="I175" t="str">
        <f t="shared" si="5"/>
        <v/>
      </c>
    </row>
    <row r="176" spans="8:9" x14ac:dyDescent="0.2">
      <c r="H176" t="str">
        <f t="shared" si="4"/>
        <v/>
      </c>
      <c r="I176" t="str">
        <f t="shared" si="5"/>
        <v/>
      </c>
    </row>
    <row r="177" spans="8:9" x14ac:dyDescent="0.2">
      <c r="H177" t="str">
        <f t="shared" si="4"/>
        <v/>
      </c>
      <c r="I177" t="str">
        <f t="shared" si="5"/>
        <v/>
      </c>
    </row>
    <row r="178" spans="8:9" x14ac:dyDescent="0.2">
      <c r="H178" t="str">
        <f t="shared" si="4"/>
        <v/>
      </c>
      <c r="I178" t="str">
        <f t="shared" si="5"/>
        <v/>
      </c>
    </row>
    <row r="179" spans="8:9" x14ac:dyDescent="0.2">
      <c r="H179" t="str">
        <f t="shared" si="4"/>
        <v/>
      </c>
      <c r="I179" t="str">
        <f t="shared" si="5"/>
        <v/>
      </c>
    </row>
    <row r="180" spans="8:9" x14ac:dyDescent="0.2">
      <c r="H180" t="str">
        <f t="shared" si="4"/>
        <v/>
      </c>
      <c r="I180" t="str">
        <f t="shared" si="5"/>
        <v/>
      </c>
    </row>
    <row r="181" spans="8:9" x14ac:dyDescent="0.2">
      <c r="H181" t="str">
        <f t="shared" si="4"/>
        <v/>
      </c>
      <c r="I181" t="str">
        <f t="shared" si="5"/>
        <v/>
      </c>
    </row>
    <row r="182" spans="8:9" x14ac:dyDescent="0.2">
      <c r="H182" t="str">
        <f t="shared" si="4"/>
        <v/>
      </c>
      <c r="I182" t="str">
        <f t="shared" si="5"/>
        <v/>
      </c>
    </row>
    <row r="183" spans="8:9" x14ac:dyDescent="0.2">
      <c r="H183" t="str">
        <f t="shared" si="4"/>
        <v/>
      </c>
      <c r="I183" t="str">
        <f t="shared" si="5"/>
        <v/>
      </c>
    </row>
    <row r="184" spans="8:9" x14ac:dyDescent="0.2">
      <c r="H184" t="str">
        <f t="shared" si="4"/>
        <v/>
      </c>
      <c r="I184" t="str">
        <f t="shared" si="5"/>
        <v/>
      </c>
    </row>
    <row r="185" spans="8:9" x14ac:dyDescent="0.2">
      <c r="H185" t="str">
        <f t="shared" si="4"/>
        <v/>
      </c>
      <c r="I185" t="str">
        <f t="shared" si="5"/>
        <v/>
      </c>
    </row>
    <row r="186" spans="8:9" x14ac:dyDescent="0.2">
      <c r="H186" t="str">
        <f t="shared" si="4"/>
        <v/>
      </c>
      <c r="I186" t="str">
        <f t="shared" si="5"/>
        <v/>
      </c>
    </row>
    <row r="187" spans="8:9" x14ac:dyDescent="0.2">
      <c r="H187" t="str">
        <f t="shared" si="4"/>
        <v/>
      </c>
      <c r="I187" t="str">
        <f t="shared" si="5"/>
        <v/>
      </c>
    </row>
    <row r="188" spans="8:9" x14ac:dyDescent="0.2">
      <c r="H188" t="str">
        <f t="shared" si="4"/>
        <v/>
      </c>
      <c r="I188" t="str">
        <f t="shared" si="5"/>
        <v/>
      </c>
    </row>
    <row r="189" spans="8:9" x14ac:dyDescent="0.2">
      <c r="H189" t="str">
        <f t="shared" si="4"/>
        <v/>
      </c>
      <c r="I189" t="str">
        <f t="shared" si="5"/>
        <v/>
      </c>
    </row>
    <row r="190" spans="8:9" x14ac:dyDescent="0.2">
      <c r="H190" t="str">
        <f t="shared" si="4"/>
        <v/>
      </c>
      <c r="I190" t="str">
        <f t="shared" si="5"/>
        <v/>
      </c>
    </row>
    <row r="191" spans="8:9" x14ac:dyDescent="0.2">
      <c r="H191" t="str">
        <f t="shared" si="4"/>
        <v/>
      </c>
      <c r="I191" t="str">
        <f t="shared" si="5"/>
        <v/>
      </c>
    </row>
    <row r="192" spans="8:9" x14ac:dyDescent="0.2">
      <c r="H192" t="str">
        <f t="shared" si="4"/>
        <v/>
      </c>
      <c r="I192" t="str">
        <f t="shared" si="5"/>
        <v/>
      </c>
    </row>
    <row r="193" spans="8:9" x14ac:dyDescent="0.2">
      <c r="H193" t="str">
        <f t="shared" si="4"/>
        <v/>
      </c>
      <c r="I193" t="str">
        <f t="shared" si="5"/>
        <v/>
      </c>
    </row>
    <row r="194" spans="8:9" x14ac:dyDescent="0.2">
      <c r="H194" t="str">
        <f t="shared" si="4"/>
        <v/>
      </c>
      <c r="I194" t="str">
        <f t="shared" si="5"/>
        <v/>
      </c>
    </row>
    <row r="195" spans="8:9" x14ac:dyDescent="0.2">
      <c r="H195" t="str">
        <f t="shared" si="4"/>
        <v/>
      </c>
      <c r="I195" t="str">
        <f t="shared" si="5"/>
        <v/>
      </c>
    </row>
    <row r="196" spans="8:9" x14ac:dyDescent="0.2">
      <c r="H196" t="str">
        <f t="shared" si="4"/>
        <v/>
      </c>
      <c r="I196" t="str">
        <f t="shared" si="5"/>
        <v/>
      </c>
    </row>
    <row r="197" spans="8:9" x14ac:dyDescent="0.2">
      <c r="H197" t="str">
        <f t="shared" si="4"/>
        <v/>
      </c>
      <c r="I197" t="str">
        <f t="shared" si="5"/>
        <v/>
      </c>
    </row>
    <row r="198" spans="8:9" x14ac:dyDescent="0.2">
      <c r="H198" t="str">
        <f t="shared" ref="H198:H261" si="6">IF(C197=0,"",C197)</f>
        <v/>
      </c>
      <c r="I198" t="str">
        <f t="shared" ref="I198:I261" si="7">IF(D197=0,"",D197)</f>
        <v/>
      </c>
    </row>
    <row r="199" spans="8:9" x14ac:dyDescent="0.2">
      <c r="H199" t="str">
        <f t="shared" si="6"/>
        <v/>
      </c>
      <c r="I199" t="str">
        <f t="shared" si="7"/>
        <v/>
      </c>
    </row>
    <row r="200" spans="8:9" x14ac:dyDescent="0.2">
      <c r="H200" t="str">
        <f t="shared" si="6"/>
        <v/>
      </c>
      <c r="I200" t="str">
        <f t="shared" si="7"/>
        <v/>
      </c>
    </row>
    <row r="201" spans="8:9" x14ac:dyDescent="0.2">
      <c r="H201" t="str">
        <f t="shared" si="6"/>
        <v/>
      </c>
      <c r="I201" t="str">
        <f t="shared" si="7"/>
        <v/>
      </c>
    </row>
    <row r="202" spans="8:9" x14ac:dyDescent="0.2">
      <c r="H202" t="str">
        <f t="shared" si="6"/>
        <v/>
      </c>
      <c r="I202" t="str">
        <f t="shared" si="7"/>
        <v/>
      </c>
    </row>
    <row r="203" spans="8:9" x14ac:dyDescent="0.2">
      <c r="H203" t="str">
        <f t="shared" si="6"/>
        <v/>
      </c>
      <c r="I203" t="str">
        <f t="shared" si="7"/>
        <v/>
      </c>
    </row>
    <row r="204" spans="8:9" x14ac:dyDescent="0.2">
      <c r="H204" t="str">
        <f t="shared" si="6"/>
        <v/>
      </c>
      <c r="I204" t="str">
        <f t="shared" si="7"/>
        <v/>
      </c>
    </row>
    <row r="205" spans="8:9" x14ac:dyDescent="0.2">
      <c r="H205" t="str">
        <f t="shared" si="6"/>
        <v/>
      </c>
      <c r="I205" t="str">
        <f t="shared" si="7"/>
        <v/>
      </c>
    </row>
    <row r="206" spans="8:9" x14ac:dyDescent="0.2">
      <c r="H206" t="str">
        <f t="shared" si="6"/>
        <v/>
      </c>
      <c r="I206" t="str">
        <f t="shared" si="7"/>
        <v/>
      </c>
    </row>
    <row r="207" spans="8:9" x14ac:dyDescent="0.2">
      <c r="H207" t="str">
        <f t="shared" si="6"/>
        <v/>
      </c>
      <c r="I207" t="str">
        <f t="shared" si="7"/>
        <v/>
      </c>
    </row>
    <row r="208" spans="8:9" x14ac:dyDescent="0.2">
      <c r="H208" t="str">
        <f t="shared" si="6"/>
        <v/>
      </c>
      <c r="I208" t="str">
        <f t="shared" si="7"/>
        <v/>
      </c>
    </row>
    <row r="209" spans="8:9" x14ac:dyDescent="0.2">
      <c r="H209" t="str">
        <f t="shared" si="6"/>
        <v/>
      </c>
      <c r="I209" t="str">
        <f t="shared" si="7"/>
        <v/>
      </c>
    </row>
    <row r="210" spans="8:9" x14ac:dyDescent="0.2">
      <c r="H210" t="str">
        <f t="shared" si="6"/>
        <v/>
      </c>
      <c r="I210" t="str">
        <f t="shared" si="7"/>
        <v/>
      </c>
    </row>
    <row r="211" spans="8:9" x14ac:dyDescent="0.2">
      <c r="H211" t="str">
        <f t="shared" si="6"/>
        <v/>
      </c>
      <c r="I211" t="str">
        <f t="shared" si="7"/>
        <v/>
      </c>
    </row>
    <row r="212" spans="8:9" x14ac:dyDescent="0.2">
      <c r="H212" t="str">
        <f t="shared" si="6"/>
        <v/>
      </c>
      <c r="I212" t="str">
        <f t="shared" si="7"/>
        <v/>
      </c>
    </row>
    <row r="213" spans="8:9" x14ac:dyDescent="0.2">
      <c r="H213" t="str">
        <f t="shared" si="6"/>
        <v/>
      </c>
      <c r="I213" t="str">
        <f t="shared" si="7"/>
        <v/>
      </c>
    </row>
    <row r="214" spans="8:9" x14ac:dyDescent="0.2">
      <c r="H214" t="str">
        <f t="shared" si="6"/>
        <v/>
      </c>
      <c r="I214" t="str">
        <f t="shared" si="7"/>
        <v/>
      </c>
    </row>
    <row r="215" spans="8:9" x14ac:dyDescent="0.2">
      <c r="H215" t="str">
        <f t="shared" si="6"/>
        <v/>
      </c>
      <c r="I215" t="str">
        <f t="shared" si="7"/>
        <v/>
      </c>
    </row>
    <row r="216" spans="8:9" x14ac:dyDescent="0.2">
      <c r="H216" t="str">
        <f t="shared" si="6"/>
        <v/>
      </c>
      <c r="I216" t="str">
        <f t="shared" si="7"/>
        <v/>
      </c>
    </row>
    <row r="217" spans="8:9" x14ac:dyDescent="0.2">
      <c r="H217" t="str">
        <f t="shared" si="6"/>
        <v/>
      </c>
      <c r="I217" t="str">
        <f t="shared" si="7"/>
        <v/>
      </c>
    </row>
    <row r="218" spans="8:9" x14ac:dyDescent="0.2">
      <c r="H218" t="str">
        <f t="shared" si="6"/>
        <v/>
      </c>
      <c r="I218" t="str">
        <f t="shared" si="7"/>
        <v/>
      </c>
    </row>
    <row r="219" spans="8:9" x14ac:dyDescent="0.2">
      <c r="H219" t="str">
        <f t="shared" si="6"/>
        <v/>
      </c>
      <c r="I219" t="str">
        <f t="shared" si="7"/>
        <v/>
      </c>
    </row>
    <row r="220" spans="8:9" x14ac:dyDescent="0.2">
      <c r="H220" t="str">
        <f t="shared" si="6"/>
        <v/>
      </c>
      <c r="I220" t="str">
        <f t="shared" si="7"/>
        <v/>
      </c>
    </row>
    <row r="221" spans="8:9" x14ac:dyDescent="0.2">
      <c r="H221" t="str">
        <f t="shared" si="6"/>
        <v/>
      </c>
      <c r="I221" t="str">
        <f t="shared" si="7"/>
        <v/>
      </c>
    </row>
    <row r="222" spans="8:9" x14ac:dyDescent="0.2">
      <c r="H222" t="str">
        <f t="shared" si="6"/>
        <v/>
      </c>
      <c r="I222" t="str">
        <f t="shared" si="7"/>
        <v/>
      </c>
    </row>
    <row r="223" spans="8:9" x14ac:dyDescent="0.2">
      <c r="H223" t="str">
        <f t="shared" si="6"/>
        <v/>
      </c>
      <c r="I223" t="str">
        <f t="shared" si="7"/>
        <v/>
      </c>
    </row>
    <row r="224" spans="8:9" x14ac:dyDescent="0.2">
      <c r="H224" t="str">
        <f t="shared" si="6"/>
        <v/>
      </c>
      <c r="I224" t="str">
        <f t="shared" si="7"/>
        <v/>
      </c>
    </row>
    <row r="225" spans="8:9" x14ac:dyDescent="0.2">
      <c r="H225" t="str">
        <f t="shared" si="6"/>
        <v/>
      </c>
      <c r="I225" t="str">
        <f t="shared" si="7"/>
        <v/>
      </c>
    </row>
    <row r="226" spans="8:9" x14ac:dyDescent="0.2">
      <c r="H226" t="str">
        <f t="shared" si="6"/>
        <v/>
      </c>
      <c r="I226" t="str">
        <f t="shared" si="7"/>
        <v/>
      </c>
    </row>
    <row r="227" spans="8:9" x14ac:dyDescent="0.2">
      <c r="H227" t="str">
        <f t="shared" si="6"/>
        <v/>
      </c>
      <c r="I227" t="str">
        <f t="shared" si="7"/>
        <v/>
      </c>
    </row>
    <row r="228" spans="8:9" x14ac:dyDescent="0.2">
      <c r="H228" t="str">
        <f t="shared" si="6"/>
        <v/>
      </c>
      <c r="I228" t="str">
        <f t="shared" si="7"/>
        <v/>
      </c>
    </row>
    <row r="229" spans="8:9" x14ac:dyDescent="0.2">
      <c r="H229" t="str">
        <f t="shared" si="6"/>
        <v/>
      </c>
      <c r="I229" t="str">
        <f t="shared" si="7"/>
        <v/>
      </c>
    </row>
    <row r="230" spans="8:9" x14ac:dyDescent="0.2">
      <c r="H230" t="str">
        <f t="shared" si="6"/>
        <v/>
      </c>
      <c r="I230" t="str">
        <f t="shared" si="7"/>
        <v/>
      </c>
    </row>
    <row r="231" spans="8:9" x14ac:dyDescent="0.2">
      <c r="H231" t="str">
        <f t="shared" si="6"/>
        <v/>
      </c>
      <c r="I231" t="str">
        <f t="shared" si="7"/>
        <v/>
      </c>
    </row>
    <row r="232" spans="8:9" x14ac:dyDescent="0.2">
      <c r="H232" t="str">
        <f t="shared" si="6"/>
        <v/>
      </c>
      <c r="I232" t="str">
        <f t="shared" si="7"/>
        <v/>
      </c>
    </row>
    <row r="233" spans="8:9" x14ac:dyDescent="0.2">
      <c r="H233" t="str">
        <f t="shared" si="6"/>
        <v/>
      </c>
      <c r="I233" t="str">
        <f t="shared" si="7"/>
        <v/>
      </c>
    </row>
    <row r="234" spans="8:9" x14ac:dyDescent="0.2">
      <c r="H234" t="str">
        <f t="shared" si="6"/>
        <v/>
      </c>
      <c r="I234" t="str">
        <f t="shared" si="7"/>
        <v/>
      </c>
    </row>
    <row r="235" spans="8:9" x14ac:dyDescent="0.2">
      <c r="H235" t="str">
        <f t="shared" si="6"/>
        <v/>
      </c>
      <c r="I235" t="str">
        <f t="shared" si="7"/>
        <v/>
      </c>
    </row>
    <row r="236" spans="8:9" x14ac:dyDescent="0.2">
      <c r="H236" t="str">
        <f t="shared" si="6"/>
        <v/>
      </c>
      <c r="I236" t="str">
        <f t="shared" si="7"/>
        <v/>
      </c>
    </row>
    <row r="237" spans="8:9" x14ac:dyDescent="0.2">
      <c r="H237" t="str">
        <f t="shared" si="6"/>
        <v/>
      </c>
      <c r="I237" t="str">
        <f t="shared" si="7"/>
        <v/>
      </c>
    </row>
    <row r="238" spans="8:9" x14ac:dyDescent="0.2">
      <c r="H238" t="str">
        <f t="shared" si="6"/>
        <v/>
      </c>
      <c r="I238" t="str">
        <f t="shared" si="7"/>
        <v/>
      </c>
    </row>
    <row r="239" spans="8:9" x14ac:dyDescent="0.2">
      <c r="H239" t="str">
        <f t="shared" si="6"/>
        <v/>
      </c>
      <c r="I239" t="str">
        <f t="shared" si="7"/>
        <v/>
      </c>
    </row>
    <row r="240" spans="8:9" x14ac:dyDescent="0.2">
      <c r="H240" t="str">
        <f t="shared" si="6"/>
        <v/>
      </c>
      <c r="I240" t="str">
        <f t="shared" si="7"/>
        <v/>
      </c>
    </row>
    <row r="241" spans="8:9" x14ac:dyDescent="0.2">
      <c r="H241" t="str">
        <f t="shared" si="6"/>
        <v/>
      </c>
      <c r="I241" t="str">
        <f t="shared" si="7"/>
        <v/>
      </c>
    </row>
    <row r="242" spans="8:9" x14ac:dyDescent="0.2">
      <c r="H242" t="str">
        <f t="shared" si="6"/>
        <v/>
      </c>
      <c r="I242" t="str">
        <f t="shared" si="7"/>
        <v/>
      </c>
    </row>
    <row r="243" spans="8:9" x14ac:dyDescent="0.2">
      <c r="H243" t="str">
        <f t="shared" si="6"/>
        <v/>
      </c>
      <c r="I243" t="str">
        <f t="shared" si="7"/>
        <v/>
      </c>
    </row>
    <row r="244" spans="8:9" x14ac:dyDescent="0.2">
      <c r="H244" t="str">
        <f t="shared" si="6"/>
        <v/>
      </c>
      <c r="I244" t="str">
        <f t="shared" si="7"/>
        <v/>
      </c>
    </row>
    <row r="245" spans="8:9" x14ac:dyDescent="0.2">
      <c r="H245" t="str">
        <f t="shared" si="6"/>
        <v/>
      </c>
      <c r="I245" t="str">
        <f t="shared" si="7"/>
        <v/>
      </c>
    </row>
    <row r="246" spans="8:9" x14ac:dyDescent="0.2">
      <c r="H246" t="str">
        <f t="shared" si="6"/>
        <v/>
      </c>
      <c r="I246" t="str">
        <f t="shared" si="7"/>
        <v/>
      </c>
    </row>
    <row r="247" spans="8:9" x14ac:dyDescent="0.2">
      <c r="H247" t="str">
        <f t="shared" si="6"/>
        <v/>
      </c>
      <c r="I247" t="str">
        <f t="shared" si="7"/>
        <v/>
      </c>
    </row>
    <row r="248" spans="8:9" x14ac:dyDescent="0.2">
      <c r="H248" t="str">
        <f t="shared" si="6"/>
        <v/>
      </c>
      <c r="I248" t="str">
        <f t="shared" si="7"/>
        <v/>
      </c>
    </row>
    <row r="249" spans="8:9" x14ac:dyDescent="0.2">
      <c r="H249" t="str">
        <f t="shared" si="6"/>
        <v/>
      </c>
      <c r="I249" t="str">
        <f t="shared" si="7"/>
        <v/>
      </c>
    </row>
    <row r="250" spans="8:9" x14ac:dyDescent="0.2">
      <c r="H250" t="str">
        <f t="shared" si="6"/>
        <v/>
      </c>
      <c r="I250" t="str">
        <f t="shared" si="7"/>
        <v/>
      </c>
    </row>
    <row r="251" spans="8:9" x14ac:dyDescent="0.2">
      <c r="H251" t="str">
        <f t="shared" si="6"/>
        <v/>
      </c>
      <c r="I251" t="str">
        <f t="shared" si="7"/>
        <v/>
      </c>
    </row>
    <row r="252" spans="8:9" x14ac:dyDescent="0.2">
      <c r="H252" t="str">
        <f t="shared" si="6"/>
        <v/>
      </c>
      <c r="I252" t="str">
        <f t="shared" si="7"/>
        <v/>
      </c>
    </row>
    <row r="253" spans="8:9" x14ac:dyDescent="0.2">
      <c r="H253" t="str">
        <f t="shared" si="6"/>
        <v/>
      </c>
      <c r="I253" t="str">
        <f t="shared" si="7"/>
        <v/>
      </c>
    </row>
    <row r="254" spans="8:9" x14ac:dyDescent="0.2">
      <c r="H254" t="str">
        <f t="shared" si="6"/>
        <v/>
      </c>
      <c r="I254" t="str">
        <f t="shared" si="7"/>
        <v/>
      </c>
    </row>
    <row r="255" spans="8:9" x14ac:dyDescent="0.2">
      <c r="H255" t="str">
        <f t="shared" si="6"/>
        <v/>
      </c>
      <c r="I255" t="str">
        <f t="shared" si="7"/>
        <v/>
      </c>
    </row>
    <row r="256" spans="8:9" x14ac:dyDescent="0.2">
      <c r="H256" t="str">
        <f t="shared" si="6"/>
        <v/>
      </c>
      <c r="I256" t="str">
        <f t="shared" si="7"/>
        <v/>
      </c>
    </row>
    <row r="257" spans="8:9" x14ac:dyDescent="0.2">
      <c r="H257" t="str">
        <f t="shared" si="6"/>
        <v/>
      </c>
      <c r="I257" t="str">
        <f t="shared" si="7"/>
        <v/>
      </c>
    </row>
    <row r="258" spans="8:9" x14ac:dyDescent="0.2">
      <c r="H258" t="str">
        <f t="shared" si="6"/>
        <v/>
      </c>
      <c r="I258" t="str">
        <f t="shared" si="7"/>
        <v/>
      </c>
    </row>
    <row r="259" spans="8:9" x14ac:dyDescent="0.2">
      <c r="H259" t="str">
        <f t="shared" si="6"/>
        <v/>
      </c>
      <c r="I259" t="str">
        <f t="shared" si="7"/>
        <v/>
      </c>
    </row>
    <row r="260" spans="8:9" x14ac:dyDescent="0.2">
      <c r="H260" t="str">
        <f t="shared" si="6"/>
        <v/>
      </c>
      <c r="I260" t="str">
        <f t="shared" si="7"/>
        <v/>
      </c>
    </row>
    <row r="261" spans="8:9" x14ac:dyDescent="0.2">
      <c r="H261" t="str">
        <f t="shared" si="6"/>
        <v/>
      </c>
      <c r="I261" t="str">
        <f t="shared" si="7"/>
        <v/>
      </c>
    </row>
    <row r="262" spans="8:9" x14ac:dyDescent="0.2">
      <c r="H262" t="str">
        <f t="shared" ref="H262:H325" si="8">IF(C261=0,"",C261)</f>
        <v/>
      </c>
      <c r="I262" t="str">
        <f t="shared" ref="I262:I325" si="9">IF(D261=0,"",D261)</f>
        <v/>
      </c>
    </row>
    <row r="263" spans="8:9" x14ac:dyDescent="0.2">
      <c r="H263" t="str">
        <f t="shared" si="8"/>
        <v/>
      </c>
      <c r="I263" t="str">
        <f t="shared" si="9"/>
        <v/>
      </c>
    </row>
    <row r="264" spans="8:9" x14ac:dyDescent="0.2">
      <c r="H264" t="str">
        <f t="shared" si="8"/>
        <v/>
      </c>
      <c r="I264" t="str">
        <f t="shared" si="9"/>
        <v/>
      </c>
    </row>
    <row r="265" spans="8:9" x14ac:dyDescent="0.2">
      <c r="H265" t="str">
        <f t="shared" si="8"/>
        <v/>
      </c>
      <c r="I265" t="str">
        <f t="shared" si="9"/>
        <v/>
      </c>
    </row>
    <row r="266" spans="8:9" x14ac:dyDescent="0.2">
      <c r="H266" t="str">
        <f t="shared" si="8"/>
        <v/>
      </c>
      <c r="I266" t="str">
        <f t="shared" si="9"/>
        <v/>
      </c>
    </row>
    <row r="267" spans="8:9" x14ac:dyDescent="0.2">
      <c r="H267" t="str">
        <f t="shared" si="8"/>
        <v/>
      </c>
      <c r="I267" t="str">
        <f t="shared" si="9"/>
        <v/>
      </c>
    </row>
    <row r="268" spans="8:9" x14ac:dyDescent="0.2">
      <c r="H268" t="str">
        <f t="shared" si="8"/>
        <v/>
      </c>
      <c r="I268" t="str">
        <f t="shared" si="9"/>
        <v/>
      </c>
    </row>
    <row r="269" spans="8:9" x14ac:dyDescent="0.2">
      <c r="H269" t="str">
        <f t="shared" si="8"/>
        <v/>
      </c>
      <c r="I269" t="str">
        <f t="shared" si="9"/>
        <v/>
      </c>
    </row>
    <row r="270" spans="8:9" x14ac:dyDescent="0.2">
      <c r="H270" t="str">
        <f t="shared" si="8"/>
        <v/>
      </c>
      <c r="I270" t="str">
        <f t="shared" si="9"/>
        <v/>
      </c>
    </row>
    <row r="271" spans="8:9" x14ac:dyDescent="0.2">
      <c r="H271" t="str">
        <f t="shared" si="8"/>
        <v/>
      </c>
      <c r="I271" t="str">
        <f t="shared" si="9"/>
        <v/>
      </c>
    </row>
    <row r="272" spans="8:9" x14ac:dyDescent="0.2">
      <c r="H272" t="str">
        <f t="shared" si="8"/>
        <v/>
      </c>
      <c r="I272" t="str">
        <f t="shared" si="9"/>
        <v/>
      </c>
    </row>
    <row r="273" spans="8:9" x14ac:dyDescent="0.2">
      <c r="H273" t="str">
        <f t="shared" si="8"/>
        <v/>
      </c>
      <c r="I273" t="str">
        <f t="shared" si="9"/>
        <v/>
      </c>
    </row>
    <row r="274" spans="8:9" x14ac:dyDescent="0.2">
      <c r="H274" t="str">
        <f t="shared" si="8"/>
        <v/>
      </c>
      <c r="I274" t="str">
        <f t="shared" si="9"/>
        <v/>
      </c>
    </row>
    <row r="275" spans="8:9" x14ac:dyDescent="0.2">
      <c r="H275" t="str">
        <f t="shared" si="8"/>
        <v/>
      </c>
      <c r="I275" t="str">
        <f t="shared" si="9"/>
        <v/>
      </c>
    </row>
    <row r="276" spans="8:9" x14ac:dyDescent="0.2">
      <c r="H276" t="str">
        <f t="shared" si="8"/>
        <v/>
      </c>
      <c r="I276" t="str">
        <f t="shared" si="9"/>
        <v/>
      </c>
    </row>
    <row r="277" spans="8:9" x14ac:dyDescent="0.2">
      <c r="H277" t="str">
        <f t="shared" si="8"/>
        <v/>
      </c>
      <c r="I277" t="str">
        <f t="shared" si="9"/>
        <v/>
      </c>
    </row>
    <row r="278" spans="8:9" x14ac:dyDescent="0.2">
      <c r="H278" t="str">
        <f t="shared" si="8"/>
        <v/>
      </c>
      <c r="I278" t="str">
        <f t="shared" si="9"/>
        <v/>
      </c>
    </row>
    <row r="279" spans="8:9" x14ac:dyDescent="0.2">
      <c r="H279" t="str">
        <f t="shared" si="8"/>
        <v/>
      </c>
      <c r="I279" t="str">
        <f t="shared" si="9"/>
        <v/>
      </c>
    </row>
    <row r="280" spans="8:9" x14ac:dyDescent="0.2">
      <c r="H280" t="str">
        <f t="shared" si="8"/>
        <v/>
      </c>
      <c r="I280" t="str">
        <f t="shared" si="9"/>
        <v/>
      </c>
    </row>
    <row r="281" spans="8:9" x14ac:dyDescent="0.2">
      <c r="H281" t="str">
        <f t="shared" si="8"/>
        <v/>
      </c>
      <c r="I281" t="str">
        <f t="shared" si="9"/>
        <v/>
      </c>
    </row>
    <row r="282" spans="8:9" x14ac:dyDescent="0.2">
      <c r="H282" t="str">
        <f t="shared" si="8"/>
        <v/>
      </c>
      <c r="I282" t="str">
        <f t="shared" si="9"/>
        <v/>
      </c>
    </row>
    <row r="283" spans="8:9" x14ac:dyDescent="0.2">
      <c r="H283" t="str">
        <f t="shared" si="8"/>
        <v/>
      </c>
      <c r="I283" t="str">
        <f t="shared" si="9"/>
        <v/>
      </c>
    </row>
    <row r="284" spans="8:9" x14ac:dyDescent="0.2">
      <c r="H284" t="str">
        <f t="shared" si="8"/>
        <v/>
      </c>
      <c r="I284" t="str">
        <f t="shared" si="9"/>
        <v/>
      </c>
    </row>
    <row r="285" spans="8:9" x14ac:dyDescent="0.2">
      <c r="H285" t="str">
        <f t="shared" si="8"/>
        <v/>
      </c>
      <c r="I285" t="str">
        <f t="shared" si="9"/>
        <v/>
      </c>
    </row>
    <row r="286" spans="8:9" x14ac:dyDescent="0.2">
      <c r="H286" t="str">
        <f t="shared" si="8"/>
        <v/>
      </c>
      <c r="I286" t="str">
        <f t="shared" si="9"/>
        <v/>
      </c>
    </row>
    <row r="287" spans="8:9" x14ac:dyDescent="0.2">
      <c r="H287" t="str">
        <f t="shared" si="8"/>
        <v/>
      </c>
      <c r="I287" t="str">
        <f t="shared" si="9"/>
        <v/>
      </c>
    </row>
    <row r="288" spans="8:9" x14ac:dyDescent="0.2">
      <c r="H288" t="str">
        <f t="shared" si="8"/>
        <v/>
      </c>
      <c r="I288" t="str">
        <f t="shared" si="9"/>
        <v/>
      </c>
    </row>
    <row r="289" spans="8:9" x14ac:dyDescent="0.2">
      <c r="H289" t="str">
        <f t="shared" si="8"/>
        <v/>
      </c>
      <c r="I289" t="str">
        <f t="shared" si="9"/>
        <v/>
      </c>
    </row>
    <row r="290" spans="8:9" x14ac:dyDescent="0.2">
      <c r="H290" t="str">
        <f t="shared" si="8"/>
        <v/>
      </c>
      <c r="I290" t="str">
        <f t="shared" si="9"/>
        <v/>
      </c>
    </row>
    <row r="291" spans="8:9" x14ac:dyDescent="0.2">
      <c r="H291" t="str">
        <f t="shared" si="8"/>
        <v/>
      </c>
      <c r="I291" t="str">
        <f t="shared" si="9"/>
        <v/>
      </c>
    </row>
    <row r="292" spans="8:9" x14ac:dyDescent="0.2">
      <c r="H292" t="str">
        <f t="shared" si="8"/>
        <v/>
      </c>
      <c r="I292" t="str">
        <f t="shared" si="9"/>
        <v/>
      </c>
    </row>
    <row r="293" spans="8:9" x14ac:dyDescent="0.2">
      <c r="H293" t="str">
        <f t="shared" si="8"/>
        <v/>
      </c>
      <c r="I293" t="str">
        <f t="shared" si="9"/>
        <v/>
      </c>
    </row>
    <row r="294" spans="8:9" x14ac:dyDescent="0.2">
      <c r="H294" t="str">
        <f t="shared" si="8"/>
        <v/>
      </c>
      <c r="I294" t="str">
        <f t="shared" si="9"/>
        <v/>
      </c>
    </row>
    <row r="295" spans="8:9" x14ac:dyDescent="0.2">
      <c r="H295" t="str">
        <f t="shared" si="8"/>
        <v/>
      </c>
      <c r="I295" t="str">
        <f t="shared" si="9"/>
        <v/>
      </c>
    </row>
    <row r="296" spans="8:9" x14ac:dyDescent="0.2">
      <c r="H296" t="str">
        <f t="shared" si="8"/>
        <v/>
      </c>
      <c r="I296" t="str">
        <f t="shared" si="9"/>
        <v/>
      </c>
    </row>
    <row r="297" spans="8:9" x14ac:dyDescent="0.2">
      <c r="H297" t="str">
        <f t="shared" si="8"/>
        <v/>
      </c>
      <c r="I297" t="str">
        <f t="shared" si="9"/>
        <v/>
      </c>
    </row>
    <row r="298" spans="8:9" x14ac:dyDescent="0.2">
      <c r="H298" t="str">
        <f t="shared" si="8"/>
        <v/>
      </c>
      <c r="I298" t="str">
        <f t="shared" si="9"/>
        <v/>
      </c>
    </row>
    <row r="299" spans="8:9" x14ac:dyDescent="0.2">
      <c r="H299" t="str">
        <f t="shared" si="8"/>
        <v/>
      </c>
      <c r="I299" t="str">
        <f t="shared" si="9"/>
        <v/>
      </c>
    </row>
    <row r="300" spans="8:9" x14ac:dyDescent="0.2">
      <c r="H300" t="str">
        <f t="shared" si="8"/>
        <v/>
      </c>
      <c r="I300" t="str">
        <f t="shared" si="9"/>
        <v/>
      </c>
    </row>
    <row r="301" spans="8:9" x14ac:dyDescent="0.2">
      <c r="H301" t="str">
        <f t="shared" si="8"/>
        <v/>
      </c>
      <c r="I301" t="str">
        <f t="shared" si="9"/>
        <v/>
      </c>
    </row>
    <row r="302" spans="8:9" x14ac:dyDescent="0.2">
      <c r="H302" t="str">
        <f t="shared" si="8"/>
        <v/>
      </c>
      <c r="I302" t="str">
        <f t="shared" si="9"/>
        <v/>
      </c>
    </row>
    <row r="303" spans="8:9" x14ac:dyDescent="0.2">
      <c r="H303" t="str">
        <f t="shared" si="8"/>
        <v/>
      </c>
      <c r="I303" t="str">
        <f t="shared" si="9"/>
        <v/>
      </c>
    </row>
    <row r="304" spans="8:9" x14ac:dyDescent="0.2">
      <c r="H304" t="str">
        <f t="shared" si="8"/>
        <v/>
      </c>
      <c r="I304" t="str">
        <f t="shared" si="9"/>
        <v/>
      </c>
    </row>
    <row r="305" spans="8:9" x14ac:dyDescent="0.2">
      <c r="H305" t="str">
        <f t="shared" si="8"/>
        <v/>
      </c>
      <c r="I305" t="str">
        <f t="shared" si="9"/>
        <v/>
      </c>
    </row>
    <row r="306" spans="8:9" x14ac:dyDescent="0.2">
      <c r="H306" t="str">
        <f t="shared" si="8"/>
        <v/>
      </c>
      <c r="I306" t="str">
        <f t="shared" si="9"/>
        <v/>
      </c>
    </row>
    <row r="307" spans="8:9" x14ac:dyDescent="0.2">
      <c r="H307" t="str">
        <f t="shared" si="8"/>
        <v/>
      </c>
      <c r="I307" t="str">
        <f t="shared" si="9"/>
        <v/>
      </c>
    </row>
    <row r="308" spans="8:9" x14ac:dyDescent="0.2">
      <c r="H308" t="str">
        <f t="shared" si="8"/>
        <v/>
      </c>
      <c r="I308" t="str">
        <f t="shared" si="9"/>
        <v/>
      </c>
    </row>
    <row r="309" spans="8:9" x14ac:dyDescent="0.2">
      <c r="H309" t="str">
        <f t="shared" si="8"/>
        <v/>
      </c>
      <c r="I309" t="str">
        <f t="shared" si="9"/>
        <v/>
      </c>
    </row>
    <row r="310" spans="8:9" x14ac:dyDescent="0.2">
      <c r="H310" t="str">
        <f t="shared" si="8"/>
        <v/>
      </c>
      <c r="I310" t="str">
        <f t="shared" si="9"/>
        <v/>
      </c>
    </row>
    <row r="311" spans="8:9" x14ac:dyDescent="0.2">
      <c r="H311" t="str">
        <f t="shared" si="8"/>
        <v/>
      </c>
      <c r="I311" t="str">
        <f t="shared" si="9"/>
        <v/>
      </c>
    </row>
    <row r="312" spans="8:9" x14ac:dyDescent="0.2">
      <c r="H312" t="str">
        <f t="shared" si="8"/>
        <v/>
      </c>
      <c r="I312" t="str">
        <f t="shared" si="9"/>
        <v/>
      </c>
    </row>
    <row r="313" spans="8:9" x14ac:dyDescent="0.2">
      <c r="H313" t="str">
        <f t="shared" si="8"/>
        <v/>
      </c>
      <c r="I313" t="str">
        <f t="shared" si="9"/>
        <v/>
      </c>
    </row>
    <row r="314" spans="8:9" x14ac:dyDescent="0.2">
      <c r="H314" t="str">
        <f t="shared" si="8"/>
        <v/>
      </c>
      <c r="I314" t="str">
        <f t="shared" si="9"/>
        <v/>
      </c>
    </row>
    <row r="315" spans="8:9" x14ac:dyDescent="0.2">
      <c r="H315" t="str">
        <f t="shared" si="8"/>
        <v/>
      </c>
      <c r="I315" t="str">
        <f t="shared" si="9"/>
        <v/>
      </c>
    </row>
    <row r="316" spans="8:9" x14ac:dyDescent="0.2">
      <c r="H316" t="str">
        <f t="shared" si="8"/>
        <v/>
      </c>
      <c r="I316" t="str">
        <f t="shared" si="9"/>
        <v/>
      </c>
    </row>
    <row r="317" spans="8:9" x14ac:dyDescent="0.2">
      <c r="H317" t="str">
        <f t="shared" si="8"/>
        <v/>
      </c>
      <c r="I317" t="str">
        <f t="shared" si="9"/>
        <v/>
      </c>
    </row>
    <row r="318" spans="8:9" x14ac:dyDescent="0.2">
      <c r="H318" t="str">
        <f t="shared" si="8"/>
        <v/>
      </c>
      <c r="I318" t="str">
        <f t="shared" si="9"/>
        <v/>
      </c>
    </row>
    <row r="319" spans="8:9" x14ac:dyDescent="0.2">
      <c r="H319" t="str">
        <f t="shared" si="8"/>
        <v/>
      </c>
      <c r="I319" t="str">
        <f t="shared" si="9"/>
        <v/>
      </c>
    </row>
    <row r="320" spans="8:9" x14ac:dyDescent="0.2">
      <c r="H320" t="str">
        <f t="shared" si="8"/>
        <v/>
      </c>
      <c r="I320" t="str">
        <f t="shared" si="9"/>
        <v/>
      </c>
    </row>
    <row r="321" spans="8:9" x14ac:dyDescent="0.2">
      <c r="H321" t="str">
        <f t="shared" si="8"/>
        <v/>
      </c>
      <c r="I321" t="str">
        <f t="shared" si="9"/>
        <v/>
      </c>
    </row>
    <row r="322" spans="8:9" x14ac:dyDescent="0.2">
      <c r="H322" t="str">
        <f t="shared" si="8"/>
        <v/>
      </c>
      <c r="I322" t="str">
        <f t="shared" si="9"/>
        <v/>
      </c>
    </row>
    <row r="323" spans="8:9" x14ac:dyDescent="0.2">
      <c r="H323" t="str">
        <f t="shared" si="8"/>
        <v/>
      </c>
      <c r="I323" t="str">
        <f t="shared" si="9"/>
        <v/>
      </c>
    </row>
    <row r="324" spans="8:9" x14ac:dyDescent="0.2">
      <c r="H324" t="str">
        <f t="shared" si="8"/>
        <v/>
      </c>
      <c r="I324" t="str">
        <f t="shared" si="9"/>
        <v/>
      </c>
    </row>
    <row r="325" spans="8:9" x14ac:dyDescent="0.2">
      <c r="H325" t="str">
        <f t="shared" si="8"/>
        <v/>
      </c>
      <c r="I325" t="str">
        <f t="shared" si="9"/>
        <v/>
      </c>
    </row>
    <row r="326" spans="8:9" x14ac:dyDescent="0.2">
      <c r="H326" t="str">
        <f t="shared" ref="H326:H336" si="10">IF(C325=0,"",C325)</f>
        <v/>
      </c>
      <c r="I326" t="str">
        <f t="shared" ref="I326:I336" si="11">IF(D325=0,"",D325)</f>
        <v/>
      </c>
    </row>
    <row r="327" spans="8:9" x14ac:dyDescent="0.2">
      <c r="H327" t="str">
        <f t="shared" si="10"/>
        <v/>
      </c>
      <c r="I327" t="str">
        <f t="shared" si="11"/>
        <v/>
      </c>
    </row>
    <row r="328" spans="8:9" x14ac:dyDescent="0.2">
      <c r="H328" t="str">
        <f t="shared" si="10"/>
        <v/>
      </c>
      <c r="I328" t="str">
        <f t="shared" si="11"/>
        <v/>
      </c>
    </row>
    <row r="329" spans="8:9" x14ac:dyDescent="0.2">
      <c r="H329" t="str">
        <f t="shared" si="10"/>
        <v/>
      </c>
      <c r="I329" t="str">
        <f t="shared" si="11"/>
        <v/>
      </c>
    </row>
    <row r="330" spans="8:9" x14ac:dyDescent="0.2">
      <c r="H330" t="str">
        <f t="shared" si="10"/>
        <v/>
      </c>
      <c r="I330" t="str">
        <f t="shared" si="11"/>
        <v/>
      </c>
    </row>
    <row r="331" spans="8:9" x14ac:dyDescent="0.2">
      <c r="H331" t="str">
        <f t="shared" si="10"/>
        <v/>
      </c>
      <c r="I331" t="str">
        <f t="shared" si="11"/>
        <v/>
      </c>
    </row>
    <row r="332" spans="8:9" x14ac:dyDescent="0.2">
      <c r="H332" t="str">
        <f t="shared" si="10"/>
        <v/>
      </c>
      <c r="I332" t="str">
        <f t="shared" si="11"/>
        <v/>
      </c>
    </row>
    <row r="333" spans="8:9" x14ac:dyDescent="0.2">
      <c r="H333" t="str">
        <f t="shared" si="10"/>
        <v/>
      </c>
      <c r="I333" t="str">
        <f t="shared" si="11"/>
        <v/>
      </c>
    </row>
    <row r="334" spans="8:9" x14ac:dyDescent="0.2">
      <c r="H334" t="str">
        <f t="shared" si="10"/>
        <v/>
      </c>
      <c r="I334" t="str">
        <f t="shared" si="11"/>
        <v/>
      </c>
    </row>
    <row r="335" spans="8:9" x14ac:dyDescent="0.2">
      <c r="H335" t="str">
        <f t="shared" si="10"/>
        <v/>
      </c>
      <c r="I335" t="str">
        <f t="shared" si="11"/>
        <v/>
      </c>
    </row>
    <row r="336" spans="8:9" x14ac:dyDescent="0.2">
      <c r="H336" t="str">
        <f t="shared" si="10"/>
        <v/>
      </c>
      <c r="I336" t="str">
        <f t="shared" si="11"/>
        <v/>
      </c>
    </row>
    <row r="337" spans="8:8" x14ac:dyDescent="0.2">
      <c r="H337" t="str">
        <f t="shared" ref="H337:H348" si="12">IF(C336=0,"",C336)</f>
        <v/>
      </c>
    </row>
    <row r="338" spans="8:8" x14ac:dyDescent="0.2">
      <c r="H338" t="str">
        <f t="shared" si="12"/>
        <v/>
      </c>
    </row>
    <row r="339" spans="8:8" x14ac:dyDescent="0.2">
      <c r="H339" t="str">
        <f t="shared" si="12"/>
        <v/>
      </c>
    </row>
    <row r="340" spans="8:8" x14ac:dyDescent="0.2">
      <c r="H340" t="str">
        <f t="shared" si="12"/>
        <v/>
      </c>
    </row>
    <row r="341" spans="8:8" x14ac:dyDescent="0.2">
      <c r="H341" t="str">
        <f t="shared" si="12"/>
        <v/>
      </c>
    </row>
    <row r="342" spans="8:8" x14ac:dyDescent="0.2">
      <c r="H342" t="str">
        <f t="shared" si="12"/>
        <v/>
      </c>
    </row>
    <row r="343" spans="8:8" x14ac:dyDescent="0.2">
      <c r="H343" t="str">
        <f t="shared" si="12"/>
        <v/>
      </c>
    </row>
    <row r="344" spans="8:8" x14ac:dyDescent="0.2">
      <c r="H344" t="str">
        <f t="shared" si="12"/>
        <v/>
      </c>
    </row>
    <row r="345" spans="8:8" x14ac:dyDescent="0.2">
      <c r="H345" t="str">
        <f t="shared" si="12"/>
        <v/>
      </c>
    </row>
    <row r="346" spans="8:8" x14ac:dyDescent="0.2">
      <c r="H346" t="str">
        <f t="shared" si="12"/>
        <v/>
      </c>
    </row>
    <row r="347" spans="8:8" x14ac:dyDescent="0.2">
      <c r="H347" t="str">
        <f t="shared" si="12"/>
        <v/>
      </c>
    </row>
    <row r="348" spans="8:8" x14ac:dyDescent="0.2">
      <c r="H348" t="str">
        <f t="shared" si="12"/>
        <v/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E9869-7653-4BA9-BF5E-C1E0EDE2925B}">
  <sheetPr codeName="Sheet8"/>
  <dimension ref="A1:H1000"/>
  <sheetViews>
    <sheetView topLeftCell="B1" workbookViewId="0">
      <selection activeCell="F2" sqref="F2"/>
    </sheetView>
  </sheetViews>
  <sheetFormatPr baseColWidth="10" defaultColWidth="8.83203125" defaultRowHeight="15" x14ac:dyDescent="0.2"/>
  <cols>
    <col min="3" max="3" width="14.1640625" bestFit="1" customWidth="1"/>
    <col min="4" max="4" width="10.5" bestFit="1" customWidth="1"/>
    <col min="5" max="5" width="12.33203125" bestFit="1" customWidth="1"/>
    <col min="6" max="6" width="11" bestFit="1" customWidth="1"/>
    <col min="7" max="7" width="17" bestFit="1" customWidth="1"/>
    <col min="8" max="8" width="30.83203125" bestFit="1" customWidth="1"/>
  </cols>
  <sheetData>
    <row r="1" spans="1:8" x14ac:dyDescent="0.2">
      <c r="A1" t="s">
        <v>175</v>
      </c>
      <c r="C1" t="s">
        <v>176</v>
      </c>
      <c r="D1" t="s">
        <v>177</v>
      </c>
      <c r="E1" t="s">
        <v>157</v>
      </c>
      <c r="F1" t="s">
        <v>178</v>
      </c>
      <c r="G1" t="s">
        <v>179</v>
      </c>
      <c r="H1" t="s">
        <v>180</v>
      </c>
    </row>
    <row r="2" spans="1:8" x14ac:dyDescent="0.2">
      <c r="A2" cm="1">
        <f t="array" ref="A2:A999">Averages!A2:A999</f>
        <v>0</v>
      </c>
      <c r="C2" t="e" cm="1">
        <f t="array" ref="C2:C999">Averages!E2:E999</f>
        <v>#VALUE!</v>
      </c>
      <c r="D2" t="e" cm="1">
        <f t="array" ref="D2:D999">Averages!C2:C999</f>
        <v>#VALUE!</v>
      </c>
      <c r="E2" t="e" cm="1">
        <f t="array" ref="E2:E999">Averages!F2:F999</f>
        <v>#VALUE!</v>
      </c>
      <c r="F2" t="e" cm="1">
        <f t="array" ref="F2:F999">Averages!L2:L999</f>
        <v>#VALUE!</v>
      </c>
      <c r="G2" t="e" cm="1">
        <f t="array" ref="G2:G1000">Averages!P2:P1000</f>
        <v>#VALUE!</v>
      </c>
      <c r="H2" t="e">
        <f>_xlfn.CONCAT(Averages!N2,"/",Averages!O2+Averages!N2)</f>
        <v>#VALUE!</v>
      </c>
    </row>
    <row r="3" spans="1:8" x14ac:dyDescent="0.2">
      <c r="A3">
        <v>0</v>
      </c>
      <c r="C3" t="e">
        <v>#VALUE!</v>
      </c>
      <c r="D3" t="e">
        <v>#VALUE!</v>
      </c>
      <c r="E3" t="e">
        <v>#VALUE!</v>
      </c>
      <c r="F3" t="e">
        <v>#VALUE!</v>
      </c>
      <c r="G3" t="e">
        <v>#VALUE!</v>
      </c>
      <c r="H3" t="e">
        <f>_xlfn.CONCAT(Averages!N3,"/",Averages!O3+Averages!N3)</f>
        <v>#VALUE!</v>
      </c>
    </row>
    <row r="4" spans="1:8" x14ac:dyDescent="0.2">
      <c r="A4">
        <v>0</v>
      </c>
      <c r="C4" t="e">
        <v>#VALUE!</v>
      </c>
      <c r="D4" t="e">
        <v>#VALUE!</v>
      </c>
      <c r="E4" t="e">
        <v>#VALUE!</v>
      </c>
      <c r="F4" t="e">
        <v>#VALUE!</v>
      </c>
      <c r="G4" t="e">
        <v>#VALUE!</v>
      </c>
      <c r="H4" t="e">
        <f>_xlfn.CONCAT(Averages!N4,"/",Averages!O4+Averages!N4)</f>
        <v>#VALUE!</v>
      </c>
    </row>
    <row r="5" spans="1:8" x14ac:dyDescent="0.2">
      <c r="A5">
        <v>0</v>
      </c>
      <c r="C5" t="e">
        <v>#VALUE!</v>
      </c>
      <c r="D5" t="e">
        <v>#VALUE!</v>
      </c>
      <c r="E5" t="e">
        <v>#VALUE!</v>
      </c>
      <c r="F5" t="e">
        <v>#VALUE!</v>
      </c>
      <c r="G5" t="e">
        <v>#VALUE!</v>
      </c>
      <c r="H5" t="e">
        <f>_xlfn.CONCAT(Averages!N5,"/",Averages!O5+Averages!N5)</f>
        <v>#VALUE!</v>
      </c>
    </row>
    <row r="6" spans="1:8" x14ac:dyDescent="0.2">
      <c r="A6">
        <v>0</v>
      </c>
      <c r="C6" t="e">
        <v>#VALUE!</v>
      </c>
      <c r="D6" t="e">
        <v>#VALUE!</v>
      </c>
      <c r="E6" t="e">
        <v>#VALUE!</v>
      </c>
      <c r="F6" t="e">
        <v>#VALUE!</v>
      </c>
      <c r="G6" t="e">
        <v>#VALUE!</v>
      </c>
      <c r="H6" t="e">
        <f>_xlfn.CONCAT(Averages!N6,"/",Averages!O6+Averages!N6)</f>
        <v>#VALUE!</v>
      </c>
    </row>
    <row r="7" spans="1:8" x14ac:dyDescent="0.2">
      <c r="A7">
        <v>0</v>
      </c>
      <c r="C7" t="e">
        <v>#VALUE!</v>
      </c>
      <c r="D7" t="e">
        <v>#VALUE!</v>
      </c>
      <c r="E7" t="e">
        <v>#VALUE!</v>
      </c>
      <c r="F7" t="e">
        <v>#VALUE!</v>
      </c>
      <c r="G7" t="e">
        <v>#VALUE!</v>
      </c>
      <c r="H7" t="e">
        <f>_xlfn.CONCAT(Averages!N7,"/",Averages!O7+Averages!N7)</f>
        <v>#VALUE!</v>
      </c>
    </row>
    <row r="8" spans="1:8" x14ac:dyDescent="0.2">
      <c r="A8">
        <v>0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f>_xlfn.CONCAT(Averages!N8,"/",Averages!O8+Averages!N8)</f>
        <v>#VALUE!</v>
      </c>
    </row>
    <row r="9" spans="1:8" x14ac:dyDescent="0.2">
      <c r="A9">
        <v>0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f>_xlfn.CONCAT(Averages!N9,"/",Averages!O9+Averages!N9)</f>
        <v>#VALUE!</v>
      </c>
    </row>
    <row r="10" spans="1:8" x14ac:dyDescent="0.2">
      <c r="A10">
        <v>0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f>_xlfn.CONCAT(Averages!N10,"/",Averages!O10+Averages!N10)</f>
        <v>#VALUE!</v>
      </c>
    </row>
    <row r="11" spans="1:8" x14ac:dyDescent="0.2">
      <c r="A11">
        <v>0</v>
      </c>
      <c r="C11" t="e">
        <v>#VALUE!</v>
      </c>
      <c r="D11" t="e">
        <v>#VALUE!</v>
      </c>
      <c r="E11" t="e">
        <v>#VALUE!</v>
      </c>
      <c r="F11" t="e">
        <v>#VALUE!</v>
      </c>
      <c r="G11" t="e">
        <v>#VALUE!</v>
      </c>
      <c r="H11" t="e">
        <f>_xlfn.CONCAT(Averages!N11,"/",Averages!O11+Averages!N11)</f>
        <v>#VALUE!</v>
      </c>
    </row>
    <row r="12" spans="1:8" x14ac:dyDescent="0.2">
      <c r="A12">
        <v>0</v>
      </c>
      <c r="C12" t="e">
        <v>#VALUE!</v>
      </c>
      <c r="D12" t="e">
        <v>#VALUE!</v>
      </c>
      <c r="E12" t="e">
        <v>#VALUE!</v>
      </c>
      <c r="F12" t="e">
        <v>#VALUE!</v>
      </c>
      <c r="G12" t="e">
        <v>#VALUE!</v>
      </c>
      <c r="H12" t="e">
        <f>_xlfn.CONCAT(Averages!N12,"/",Averages!O12+Averages!N12)</f>
        <v>#VALUE!</v>
      </c>
    </row>
    <row r="13" spans="1:8" x14ac:dyDescent="0.2">
      <c r="A13">
        <v>0</v>
      </c>
      <c r="C13" t="e">
        <v>#VALUE!</v>
      </c>
      <c r="D13" t="e">
        <v>#VALUE!</v>
      </c>
      <c r="E13" t="e">
        <v>#VALUE!</v>
      </c>
      <c r="F13" t="e">
        <v>#VALUE!</v>
      </c>
      <c r="G13" t="e">
        <v>#VALUE!</v>
      </c>
      <c r="H13" t="e">
        <f>_xlfn.CONCAT(Averages!N13,"/",Averages!O13+Averages!N13)</f>
        <v>#VALUE!</v>
      </c>
    </row>
    <row r="14" spans="1:8" x14ac:dyDescent="0.2">
      <c r="A14">
        <v>0</v>
      </c>
      <c r="C14" t="e">
        <v>#VALUE!</v>
      </c>
      <c r="D14" t="e">
        <v>#VALUE!</v>
      </c>
      <c r="E14" t="e">
        <v>#VALUE!</v>
      </c>
      <c r="F14" t="e">
        <v>#VALUE!</v>
      </c>
      <c r="G14" t="e">
        <v>#VALUE!</v>
      </c>
      <c r="H14" t="e">
        <f>_xlfn.CONCAT(Averages!N14,"/",Averages!O14+Averages!N14)</f>
        <v>#VALUE!</v>
      </c>
    </row>
    <row r="15" spans="1:8" x14ac:dyDescent="0.2">
      <c r="A15">
        <v>0</v>
      </c>
      <c r="C15" t="e">
        <v>#VALUE!</v>
      </c>
      <c r="D15" t="e">
        <v>#VALUE!</v>
      </c>
      <c r="E15" t="e">
        <v>#VALUE!</v>
      </c>
      <c r="F15" t="e">
        <v>#VALUE!</v>
      </c>
      <c r="G15" t="e">
        <v>#VALUE!</v>
      </c>
      <c r="H15" t="e">
        <f>_xlfn.CONCAT(Averages!N15,"/",Averages!O15+Averages!N15)</f>
        <v>#VALUE!</v>
      </c>
    </row>
    <row r="16" spans="1:8" x14ac:dyDescent="0.2">
      <c r="A16">
        <v>0</v>
      </c>
      <c r="C16" t="e">
        <v>#VALUE!</v>
      </c>
      <c r="D16" t="e">
        <v>#VALUE!</v>
      </c>
      <c r="E16" t="e">
        <v>#VALUE!</v>
      </c>
      <c r="F16" t="e">
        <v>#VALUE!</v>
      </c>
      <c r="G16" t="e">
        <v>#VALUE!</v>
      </c>
      <c r="H16" t="e">
        <f>_xlfn.CONCAT(Averages!N16,"/",Averages!O16+Averages!N16)</f>
        <v>#VALUE!</v>
      </c>
    </row>
    <row r="17" spans="1:8" x14ac:dyDescent="0.2">
      <c r="A17">
        <v>0</v>
      </c>
      <c r="C17" t="e">
        <v>#VALUE!</v>
      </c>
      <c r="D17" t="e">
        <v>#VALUE!</v>
      </c>
      <c r="E17" t="e">
        <v>#VALUE!</v>
      </c>
      <c r="F17" t="e">
        <v>#VALUE!</v>
      </c>
      <c r="G17" t="e">
        <v>#VALUE!</v>
      </c>
      <c r="H17" t="e">
        <f>_xlfn.CONCAT(Averages!N17,"/",Averages!O17+Averages!N17)</f>
        <v>#VALUE!</v>
      </c>
    </row>
    <row r="18" spans="1:8" x14ac:dyDescent="0.2">
      <c r="A18">
        <v>0</v>
      </c>
      <c r="C18" t="e">
        <v>#VALUE!</v>
      </c>
      <c r="D18" t="e">
        <v>#VALUE!</v>
      </c>
      <c r="E18" t="e">
        <v>#VALUE!</v>
      </c>
      <c r="F18" t="e">
        <v>#VALUE!</v>
      </c>
      <c r="G18" t="e">
        <v>#VALUE!</v>
      </c>
      <c r="H18" t="e">
        <f>_xlfn.CONCAT(Averages!N18,"/",Averages!O18+Averages!N18)</f>
        <v>#VALUE!</v>
      </c>
    </row>
    <row r="19" spans="1:8" x14ac:dyDescent="0.2">
      <c r="A19">
        <v>0</v>
      </c>
      <c r="C19" t="e">
        <v>#VALUE!</v>
      </c>
      <c r="D19" t="e">
        <v>#VALUE!</v>
      </c>
      <c r="E19" t="e">
        <v>#VALUE!</v>
      </c>
      <c r="F19" t="e">
        <v>#VALUE!</v>
      </c>
      <c r="G19" t="e">
        <v>#VALUE!</v>
      </c>
      <c r="H19" t="e">
        <f>_xlfn.CONCAT(Averages!N19,"/",Averages!O19+Averages!N19)</f>
        <v>#VALUE!</v>
      </c>
    </row>
    <row r="20" spans="1:8" x14ac:dyDescent="0.2">
      <c r="A20">
        <v>0</v>
      </c>
      <c r="C20" t="e">
        <v>#VALUE!</v>
      </c>
      <c r="D20" t="e">
        <v>#VALUE!</v>
      </c>
      <c r="E20" t="e">
        <v>#VALUE!</v>
      </c>
      <c r="F20" t="e">
        <v>#VALUE!</v>
      </c>
      <c r="G20" t="e">
        <v>#VALUE!</v>
      </c>
      <c r="H20" t="e">
        <f>_xlfn.CONCAT(Averages!N20,"/",Averages!O20+Averages!N20)</f>
        <v>#VALUE!</v>
      </c>
    </row>
    <row r="21" spans="1:8" x14ac:dyDescent="0.2">
      <c r="A21">
        <v>0</v>
      </c>
      <c r="C21" t="e">
        <v>#VALUE!</v>
      </c>
      <c r="D21" t="e">
        <v>#VALUE!</v>
      </c>
      <c r="E21" t="e">
        <v>#VALUE!</v>
      </c>
      <c r="F21" t="e">
        <v>#VALUE!</v>
      </c>
      <c r="G21" t="e">
        <v>#VALUE!</v>
      </c>
      <c r="H21" t="e">
        <f>_xlfn.CONCAT(Averages!N21,"/",Averages!O21+Averages!N21)</f>
        <v>#VALUE!</v>
      </c>
    </row>
    <row r="22" spans="1:8" x14ac:dyDescent="0.2">
      <c r="A22">
        <v>0</v>
      </c>
      <c r="C22" t="e">
        <v>#VALUE!</v>
      </c>
      <c r="D22" t="e">
        <v>#VALUE!</v>
      </c>
      <c r="E22" t="e">
        <v>#VALUE!</v>
      </c>
      <c r="F22" t="e">
        <v>#VALUE!</v>
      </c>
      <c r="G22" t="e">
        <v>#VALUE!</v>
      </c>
      <c r="H22" t="e">
        <f>_xlfn.CONCAT(Averages!N22,"/",Averages!O22+Averages!N22)</f>
        <v>#VALUE!</v>
      </c>
    </row>
    <row r="23" spans="1:8" x14ac:dyDescent="0.2">
      <c r="A23">
        <v>0</v>
      </c>
      <c r="C23" t="e">
        <v>#VALUE!</v>
      </c>
      <c r="D23" t="e">
        <v>#VALUE!</v>
      </c>
      <c r="E23" t="e">
        <v>#VALUE!</v>
      </c>
      <c r="F23" t="e">
        <v>#VALUE!</v>
      </c>
      <c r="G23" t="e">
        <v>#VALUE!</v>
      </c>
      <c r="H23" t="e">
        <f>_xlfn.CONCAT(Averages!N23,"/",Averages!O23+Averages!N23)</f>
        <v>#VALUE!</v>
      </c>
    </row>
    <row r="24" spans="1:8" x14ac:dyDescent="0.2">
      <c r="A24">
        <v>0</v>
      </c>
      <c r="C24" t="e">
        <v>#VALUE!</v>
      </c>
      <c r="D24" t="e">
        <v>#VALUE!</v>
      </c>
      <c r="E24" t="e">
        <v>#VALUE!</v>
      </c>
      <c r="F24" t="e">
        <v>#VALUE!</v>
      </c>
      <c r="G24" t="e">
        <v>#VALUE!</v>
      </c>
      <c r="H24" t="e">
        <f>_xlfn.CONCAT(Averages!N24,"/",Averages!O24+Averages!N24)</f>
        <v>#VALUE!</v>
      </c>
    </row>
    <row r="25" spans="1:8" x14ac:dyDescent="0.2">
      <c r="A25">
        <v>0</v>
      </c>
      <c r="C25" t="e">
        <v>#VALUE!</v>
      </c>
      <c r="D25" t="e">
        <v>#VALUE!</v>
      </c>
      <c r="E25" t="e">
        <v>#VALUE!</v>
      </c>
      <c r="F25" t="e">
        <v>#VALUE!</v>
      </c>
      <c r="G25" t="e">
        <v>#VALUE!</v>
      </c>
      <c r="H25" t="e">
        <f>_xlfn.CONCAT(Averages!N25,"/",Averages!O25+Averages!N25)</f>
        <v>#VALUE!</v>
      </c>
    </row>
    <row r="26" spans="1:8" x14ac:dyDescent="0.2">
      <c r="A26">
        <v>0</v>
      </c>
      <c r="C26" t="e">
        <v>#VALUE!</v>
      </c>
      <c r="D26" t="e">
        <v>#VALUE!</v>
      </c>
      <c r="E26" t="e">
        <v>#VALUE!</v>
      </c>
      <c r="F26" t="e">
        <v>#VALUE!</v>
      </c>
      <c r="G26" t="e">
        <v>#VALUE!</v>
      </c>
      <c r="H26" t="e">
        <f>_xlfn.CONCAT(Averages!N26,"/",Averages!O26+Averages!N26)</f>
        <v>#VALUE!</v>
      </c>
    </row>
    <row r="27" spans="1:8" x14ac:dyDescent="0.2">
      <c r="A27">
        <v>0</v>
      </c>
      <c r="C27" t="e">
        <v>#VALUE!</v>
      </c>
      <c r="D27" t="e">
        <v>#VALUE!</v>
      </c>
      <c r="E27" t="e">
        <v>#VALUE!</v>
      </c>
      <c r="F27" t="e">
        <v>#VALUE!</v>
      </c>
      <c r="G27" t="e">
        <v>#VALUE!</v>
      </c>
      <c r="H27" t="e">
        <f>_xlfn.CONCAT(Averages!N27,"/",Averages!O27+Averages!N27)</f>
        <v>#VALUE!</v>
      </c>
    </row>
    <row r="28" spans="1:8" x14ac:dyDescent="0.2">
      <c r="A28">
        <v>0</v>
      </c>
      <c r="C28" t="e">
        <v>#VALUE!</v>
      </c>
      <c r="D28" t="e">
        <v>#VALUE!</v>
      </c>
      <c r="E28" t="e">
        <v>#VALUE!</v>
      </c>
      <c r="F28" t="e">
        <v>#VALUE!</v>
      </c>
      <c r="G28" t="e">
        <v>#VALUE!</v>
      </c>
      <c r="H28" t="e">
        <f>_xlfn.CONCAT(Averages!N28,"/",Averages!O28+Averages!N28)</f>
        <v>#VALUE!</v>
      </c>
    </row>
    <row r="29" spans="1:8" x14ac:dyDescent="0.2">
      <c r="A29">
        <v>0</v>
      </c>
      <c r="C29" t="e">
        <v>#VALUE!</v>
      </c>
      <c r="D29" t="e">
        <v>#VALUE!</v>
      </c>
      <c r="E29" t="e">
        <v>#VALUE!</v>
      </c>
      <c r="F29" t="e">
        <v>#VALUE!</v>
      </c>
      <c r="G29" t="e">
        <v>#VALUE!</v>
      </c>
      <c r="H29" t="e">
        <f>_xlfn.CONCAT(Averages!N29,"/",Averages!O29+Averages!N29)</f>
        <v>#VALUE!</v>
      </c>
    </row>
    <row r="30" spans="1:8" x14ac:dyDescent="0.2">
      <c r="A30">
        <v>0</v>
      </c>
      <c r="C30" t="e">
        <v>#VALUE!</v>
      </c>
      <c r="D30" t="e">
        <v>#VALUE!</v>
      </c>
      <c r="E30" t="e">
        <v>#VALUE!</v>
      </c>
      <c r="F30" t="e">
        <v>#VALUE!</v>
      </c>
      <c r="G30" t="e">
        <v>#VALUE!</v>
      </c>
      <c r="H30" t="e">
        <f>_xlfn.CONCAT(Averages!N30,"/",Averages!O30+Averages!N30)</f>
        <v>#VALUE!</v>
      </c>
    </row>
    <row r="31" spans="1:8" x14ac:dyDescent="0.2">
      <c r="A31">
        <v>0</v>
      </c>
      <c r="C31" t="e">
        <v>#VALUE!</v>
      </c>
      <c r="D31" t="e">
        <v>#VALUE!</v>
      </c>
      <c r="E31" t="e">
        <v>#VALUE!</v>
      </c>
      <c r="F31" t="e">
        <v>#VALUE!</v>
      </c>
      <c r="G31" t="e">
        <v>#VALUE!</v>
      </c>
      <c r="H31" t="e">
        <f>_xlfn.CONCAT(Averages!N31,"/",Averages!O31+Averages!N31)</f>
        <v>#VALUE!</v>
      </c>
    </row>
    <row r="32" spans="1:8" x14ac:dyDescent="0.2">
      <c r="A32">
        <v>0</v>
      </c>
      <c r="C32" t="e">
        <v>#VALUE!</v>
      </c>
      <c r="D32" t="e">
        <v>#VALUE!</v>
      </c>
      <c r="E32" t="e">
        <v>#VALUE!</v>
      </c>
      <c r="F32" t="e">
        <v>#VALUE!</v>
      </c>
      <c r="G32" t="e">
        <v>#VALUE!</v>
      </c>
      <c r="H32" t="e">
        <f>_xlfn.CONCAT(Averages!N32,"/",Averages!O32+Averages!N32)</f>
        <v>#VALUE!</v>
      </c>
    </row>
    <row r="33" spans="1:8" x14ac:dyDescent="0.2">
      <c r="A33">
        <v>0</v>
      </c>
      <c r="C33" t="e">
        <v>#VALUE!</v>
      </c>
      <c r="D33" t="e">
        <v>#VALUE!</v>
      </c>
      <c r="E33" t="e">
        <v>#VALUE!</v>
      </c>
      <c r="F33" t="e">
        <v>#VALUE!</v>
      </c>
      <c r="G33" t="e">
        <v>#VALUE!</v>
      </c>
      <c r="H33" t="e">
        <f>_xlfn.CONCAT(Averages!N33,"/",Averages!O33+Averages!N33)</f>
        <v>#VALUE!</v>
      </c>
    </row>
    <row r="34" spans="1:8" x14ac:dyDescent="0.2">
      <c r="A34">
        <v>0</v>
      </c>
      <c r="C34" t="e">
        <v>#VALUE!</v>
      </c>
      <c r="D34" t="e">
        <v>#VALUE!</v>
      </c>
      <c r="E34" t="e">
        <v>#VALUE!</v>
      </c>
      <c r="F34" t="e">
        <v>#VALUE!</v>
      </c>
      <c r="G34" t="e">
        <v>#VALUE!</v>
      </c>
      <c r="H34" t="e">
        <f>_xlfn.CONCAT(Averages!N34,"/",Averages!O34+Averages!N34)</f>
        <v>#VALUE!</v>
      </c>
    </row>
    <row r="35" spans="1:8" x14ac:dyDescent="0.2">
      <c r="A35">
        <v>0</v>
      </c>
      <c r="C35" t="e">
        <v>#VALUE!</v>
      </c>
      <c r="D35" t="e">
        <v>#VALUE!</v>
      </c>
      <c r="E35" t="e">
        <v>#VALUE!</v>
      </c>
      <c r="F35" t="e">
        <v>#VALUE!</v>
      </c>
      <c r="G35" t="e">
        <v>#VALUE!</v>
      </c>
      <c r="H35" t="e">
        <f>_xlfn.CONCAT(Averages!N35,"/",Averages!O35+Averages!N35)</f>
        <v>#VALUE!</v>
      </c>
    </row>
    <row r="36" spans="1:8" x14ac:dyDescent="0.2">
      <c r="A36">
        <v>0</v>
      </c>
      <c r="C36" t="e">
        <v>#VALUE!</v>
      </c>
      <c r="D36" t="e">
        <v>#VALUE!</v>
      </c>
      <c r="E36" t="e">
        <v>#VALUE!</v>
      </c>
      <c r="F36" t="e">
        <v>#VALUE!</v>
      </c>
      <c r="G36" t="e">
        <v>#VALUE!</v>
      </c>
      <c r="H36" t="e">
        <f>_xlfn.CONCAT(Averages!N36,"/",Averages!O36+Averages!N36)</f>
        <v>#VALUE!</v>
      </c>
    </row>
    <row r="37" spans="1:8" x14ac:dyDescent="0.2">
      <c r="A37">
        <v>0</v>
      </c>
      <c r="C37" t="e">
        <v>#VALUE!</v>
      </c>
      <c r="D37" t="e">
        <v>#VALUE!</v>
      </c>
      <c r="E37" t="e">
        <v>#VALUE!</v>
      </c>
      <c r="F37" t="e">
        <v>#VALUE!</v>
      </c>
      <c r="G37" t="e">
        <v>#VALUE!</v>
      </c>
      <c r="H37" t="e">
        <f>_xlfn.CONCAT(Averages!N37,"/",Averages!O37+Averages!N37)</f>
        <v>#VALUE!</v>
      </c>
    </row>
    <row r="38" spans="1:8" x14ac:dyDescent="0.2">
      <c r="A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t="str">
        <f>_xlfn.CONCAT(Averages!N38,"/",Averages!O38+Averages!N38)</f>
        <v>/0</v>
      </c>
    </row>
    <row r="39" spans="1:8" x14ac:dyDescent="0.2">
      <c r="A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t="str">
        <f>_xlfn.CONCAT(Averages!N39,"/",Averages!O39+Averages!N39)</f>
        <v>/0</v>
      </c>
    </row>
    <row r="40" spans="1:8" x14ac:dyDescent="0.2">
      <c r="A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t="str">
        <f>_xlfn.CONCAT(Averages!N40,"/",Averages!O40+Averages!N40)</f>
        <v>/0</v>
      </c>
    </row>
    <row r="41" spans="1:8" x14ac:dyDescent="0.2">
      <c r="A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t="str">
        <f>_xlfn.CONCAT(Averages!N41,"/",Averages!O41+Averages!N41)</f>
        <v>/0</v>
      </c>
    </row>
    <row r="42" spans="1:8" x14ac:dyDescent="0.2">
      <c r="A42">
        <v>0</v>
      </c>
      <c r="C42">
        <v>0</v>
      </c>
      <c r="D42">
        <v>0</v>
      </c>
      <c r="E42">
        <v>0</v>
      </c>
      <c r="F42">
        <v>0</v>
      </c>
      <c r="G42">
        <v>0</v>
      </c>
      <c r="H42" t="str">
        <f>_xlfn.CONCAT(Averages!N42,"/",Averages!O42+Averages!N42)</f>
        <v>/0</v>
      </c>
    </row>
    <row r="43" spans="1:8" x14ac:dyDescent="0.2">
      <c r="A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t="str">
        <f>_xlfn.CONCAT(Averages!N43,"/",Averages!O43+Averages!N43)</f>
        <v>/0</v>
      </c>
    </row>
    <row r="44" spans="1:8" x14ac:dyDescent="0.2">
      <c r="A44">
        <v>0</v>
      </c>
      <c r="C44">
        <v>0</v>
      </c>
      <c r="D44">
        <v>0</v>
      </c>
      <c r="E44">
        <v>0</v>
      </c>
      <c r="F44">
        <v>0</v>
      </c>
      <c r="G44">
        <v>0</v>
      </c>
      <c r="H44" t="str">
        <f>_xlfn.CONCAT(Averages!N44,"/",Averages!O44+Averages!N44)</f>
        <v>/0</v>
      </c>
    </row>
    <row r="45" spans="1:8" x14ac:dyDescent="0.2">
      <c r="A45">
        <v>0</v>
      </c>
      <c r="C45">
        <v>0</v>
      </c>
      <c r="D45">
        <v>0</v>
      </c>
      <c r="E45">
        <v>0</v>
      </c>
      <c r="F45">
        <v>0</v>
      </c>
      <c r="G45">
        <v>0</v>
      </c>
      <c r="H45" t="str">
        <f>_xlfn.CONCAT(Averages!N45,"/",Averages!O45+Averages!N45)</f>
        <v>/0</v>
      </c>
    </row>
    <row r="46" spans="1:8" x14ac:dyDescent="0.2">
      <c r="A46">
        <v>0</v>
      </c>
      <c r="C46">
        <v>0</v>
      </c>
      <c r="D46">
        <v>0</v>
      </c>
      <c r="E46">
        <v>0</v>
      </c>
      <c r="F46">
        <v>0</v>
      </c>
      <c r="G46">
        <v>0</v>
      </c>
      <c r="H46" t="str">
        <f>_xlfn.CONCAT(Averages!N46,"/",Averages!O46+Averages!N46)</f>
        <v>/0</v>
      </c>
    </row>
    <row r="47" spans="1:8" x14ac:dyDescent="0.2">
      <c r="A47">
        <v>0</v>
      </c>
      <c r="C47">
        <v>0</v>
      </c>
      <c r="D47">
        <v>0</v>
      </c>
      <c r="E47">
        <v>0</v>
      </c>
      <c r="F47">
        <v>0</v>
      </c>
      <c r="G47">
        <v>0</v>
      </c>
      <c r="H47" t="str">
        <f>_xlfn.CONCAT(Averages!N47,"/",Averages!O47+Averages!N47)</f>
        <v>/0</v>
      </c>
    </row>
    <row r="48" spans="1:8" x14ac:dyDescent="0.2">
      <c r="A48">
        <v>0</v>
      </c>
      <c r="C48">
        <v>0</v>
      </c>
      <c r="D48">
        <v>0</v>
      </c>
      <c r="E48">
        <v>0</v>
      </c>
      <c r="F48">
        <v>0</v>
      </c>
      <c r="G48">
        <v>0</v>
      </c>
      <c r="H48" t="str">
        <f>_xlfn.CONCAT(Averages!N48,"/",Averages!O48+Averages!N48)</f>
        <v>/0</v>
      </c>
    </row>
    <row r="49" spans="1:8" x14ac:dyDescent="0.2">
      <c r="A49">
        <v>0</v>
      </c>
      <c r="C49">
        <v>0</v>
      </c>
      <c r="D49">
        <v>0</v>
      </c>
      <c r="E49">
        <v>0</v>
      </c>
      <c r="F49">
        <v>0</v>
      </c>
      <c r="G49">
        <v>0</v>
      </c>
      <c r="H49" t="str">
        <f>_xlfn.CONCAT(Averages!N49,"/",Averages!O49+Averages!N49)</f>
        <v>/0</v>
      </c>
    </row>
    <row r="50" spans="1:8" x14ac:dyDescent="0.2">
      <c r="A50">
        <v>0</v>
      </c>
      <c r="C50">
        <v>0</v>
      </c>
      <c r="D50">
        <v>0</v>
      </c>
      <c r="E50">
        <v>0</v>
      </c>
      <c r="F50">
        <v>0</v>
      </c>
      <c r="G50">
        <v>0</v>
      </c>
      <c r="H50" t="str">
        <f>_xlfn.CONCAT(Averages!N50,"/",Averages!O50+Averages!N50)</f>
        <v>/0</v>
      </c>
    </row>
    <row r="51" spans="1:8" x14ac:dyDescent="0.2">
      <c r="A51">
        <v>0</v>
      </c>
      <c r="C51">
        <v>0</v>
      </c>
      <c r="D51">
        <v>0</v>
      </c>
      <c r="E51">
        <v>0</v>
      </c>
      <c r="F51">
        <v>0</v>
      </c>
      <c r="G51">
        <v>0</v>
      </c>
      <c r="H51" t="str">
        <f>_xlfn.CONCAT(Averages!N51,"/",Averages!O51+Averages!N51)</f>
        <v>/0</v>
      </c>
    </row>
    <row r="52" spans="1:8" x14ac:dyDescent="0.2">
      <c r="A52">
        <v>0</v>
      </c>
      <c r="C52">
        <v>0</v>
      </c>
      <c r="D52">
        <v>0</v>
      </c>
      <c r="E52">
        <v>0</v>
      </c>
      <c r="F52">
        <v>0</v>
      </c>
      <c r="G52">
        <v>0</v>
      </c>
      <c r="H52" t="str">
        <f>_xlfn.CONCAT(Averages!N52,"/",Averages!O52+Averages!N52)</f>
        <v>/0</v>
      </c>
    </row>
    <row r="53" spans="1:8" x14ac:dyDescent="0.2">
      <c r="A53">
        <v>0</v>
      </c>
      <c r="C53">
        <v>0</v>
      </c>
      <c r="D53">
        <v>0</v>
      </c>
      <c r="E53">
        <v>0</v>
      </c>
      <c r="F53">
        <v>0</v>
      </c>
      <c r="G53">
        <v>0</v>
      </c>
      <c r="H53" t="str">
        <f>_xlfn.CONCAT(Averages!N53,"/",Averages!O53+Averages!N53)</f>
        <v>/0</v>
      </c>
    </row>
    <row r="54" spans="1:8" x14ac:dyDescent="0.2">
      <c r="A54">
        <v>0</v>
      </c>
      <c r="C54">
        <v>0</v>
      </c>
      <c r="D54">
        <v>0</v>
      </c>
      <c r="E54">
        <v>0</v>
      </c>
      <c r="F54">
        <v>0</v>
      </c>
      <c r="G54">
        <v>0</v>
      </c>
      <c r="H54" t="str">
        <f>_xlfn.CONCAT(Averages!N54,"/",Averages!O54+Averages!N54)</f>
        <v>/0</v>
      </c>
    </row>
    <row r="55" spans="1:8" x14ac:dyDescent="0.2">
      <c r="A55">
        <v>0</v>
      </c>
      <c r="C55">
        <v>0</v>
      </c>
      <c r="D55">
        <v>0</v>
      </c>
      <c r="E55">
        <v>0</v>
      </c>
      <c r="F55">
        <v>0</v>
      </c>
      <c r="G55">
        <v>0</v>
      </c>
      <c r="H55" t="str">
        <f>_xlfn.CONCAT(Averages!N55,"/",Averages!O55+Averages!N55)</f>
        <v>/0</v>
      </c>
    </row>
    <row r="56" spans="1:8" x14ac:dyDescent="0.2">
      <c r="A56">
        <v>0</v>
      </c>
      <c r="C56">
        <v>0</v>
      </c>
      <c r="D56">
        <v>0</v>
      </c>
      <c r="E56">
        <v>0</v>
      </c>
      <c r="F56">
        <v>0</v>
      </c>
      <c r="G56">
        <v>0</v>
      </c>
      <c r="H56" t="str">
        <f>_xlfn.CONCAT(Averages!N56,"/",Averages!O56+Averages!N56)</f>
        <v>/0</v>
      </c>
    </row>
    <row r="57" spans="1:8" x14ac:dyDescent="0.2">
      <c r="A57">
        <v>0</v>
      </c>
      <c r="C57">
        <v>0</v>
      </c>
      <c r="D57">
        <v>0</v>
      </c>
      <c r="E57">
        <v>0</v>
      </c>
      <c r="F57">
        <v>0</v>
      </c>
      <c r="G57">
        <v>0</v>
      </c>
      <c r="H57" t="str">
        <f>_xlfn.CONCAT(Averages!N57,"/",Averages!O57+Averages!N57)</f>
        <v>/0</v>
      </c>
    </row>
    <row r="58" spans="1:8" x14ac:dyDescent="0.2">
      <c r="A58">
        <v>0</v>
      </c>
      <c r="C58">
        <v>0</v>
      </c>
      <c r="D58">
        <v>0</v>
      </c>
      <c r="E58">
        <v>0</v>
      </c>
      <c r="F58">
        <v>0</v>
      </c>
      <c r="G58">
        <v>0</v>
      </c>
      <c r="H58" t="str">
        <f>_xlfn.CONCAT(Averages!N58,"/",Averages!O58+Averages!N58)</f>
        <v>/0</v>
      </c>
    </row>
    <row r="59" spans="1:8" x14ac:dyDescent="0.2">
      <c r="A59">
        <v>0</v>
      </c>
      <c r="C59">
        <v>0</v>
      </c>
      <c r="D59">
        <v>0</v>
      </c>
      <c r="E59">
        <v>0</v>
      </c>
      <c r="F59">
        <v>0</v>
      </c>
      <c r="G59">
        <v>0</v>
      </c>
      <c r="H59" t="str">
        <f>_xlfn.CONCAT(Averages!N59,"/",Averages!O59+Averages!N59)</f>
        <v>/0</v>
      </c>
    </row>
    <row r="60" spans="1:8" x14ac:dyDescent="0.2">
      <c r="A60">
        <v>0</v>
      </c>
      <c r="C60">
        <v>0</v>
      </c>
      <c r="D60">
        <v>0</v>
      </c>
      <c r="E60">
        <v>0</v>
      </c>
      <c r="F60">
        <v>0</v>
      </c>
      <c r="G60">
        <v>0</v>
      </c>
      <c r="H60" t="str">
        <f>_xlfn.CONCAT(Averages!N60,"/",Averages!O60+Averages!N60)</f>
        <v>/0</v>
      </c>
    </row>
    <row r="61" spans="1:8" x14ac:dyDescent="0.2">
      <c r="A61">
        <v>0</v>
      </c>
      <c r="C61">
        <v>0</v>
      </c>
      <c r="D61">
        <v>0</v>
      </c>
      <c r="E61">
        <v>0</v>
      </c>
      <c r="F61">
        <v>0</v>
      </c>
      <c r="G61">
        <v>0</v>
      </c>
      <c r="H61" t="str">
        <f>_xlfn.CONCAT(Averages!N61,"/",Averages!O61+Averages!N61)</f>
        <v>/0</v>
      </c>
    </row>
    <row r="62" spans="1:8" x14ac:dyDescent="0.2">
      <c r="A62">
        <v>0</v>
      </c>
      <c r="C62">
        <v>0</v>
      </c>
      <c r="D62">
        <v>0</v>
      </c>
      <c r="E62">
        <v>0</v>
      </c>
      <c r="F62">
        <v>0</v>
      </c>
      <c r="G62">
        <v>0</v>
      </c>
      <c r="H62" t="str">
        <f>_xlfn.CONCAT(Averages!N62,"/",Averages!O62+Averages!N62)</f>
        <v>/0</v>
      </c>
    </row>
    <row r="63" spans="1:8" x14ac:dyDescent="0.2">
      <c r="A63">
        <v>0</v>
      </c>
      <c r="C63">
        <v>0</v>
      </c>
      <c r="D63">
        <v>0</v>
      </c>
      <c r="E63">
        <v>0</v>
      </c>
      <c r="F63">
        <v>0</v>
      </c>
      <c r="G63">
        <v>0</v>
      </c>
      <c r="H63" t="str">
        <f>_xlfn.CONCAT(Averages!N63,"/",Averages!O63+Averages!N63)</f>
        <v>/0</v>
      </c>
    </row>
    <row r="64" spans="1:8" x14ac:dyDescent="0.2">
      <c r="A64">
        <v>0</v>
      </c>
      <c r="C64">
        <v>0</v>
      </c>
      <c r="D64">
        <v>0</v>
      </c>
      <c r="E64">
        <v>0</v>
      </c>
      <c r="F64">
        <v>0</v>
      </c>
      <c r="G64">
        <v>0</v>
      </c>
      <c r="H64" t="str">
        <f>_xlfn.CONCAT(Averages!N64,"/",Averages!O64+Averages!N64)</f>
        <v>/0</v>
      </c>
    </row>
    <row r="65" spans="1:8" x14ac:dyDescent="0.2">
      <c r="A65">
        <v>0</v>
      </c>
      <c r="C65">
        <v>0</v>
      </c>
      <c r="D65">
        <v>0</v>
      </c>
      <c r="E65">
        <v>0</v>
      </c>
      <c r="F65">
        <v>0</v>
      </c>
      <c r="G65">
        <v>0</v>
      </c>
      <c r="H65" t="str">
        <f>_xlfn.CONCAT(Averages!N65,"/",Averages!O65+Averages!N65)</f>
        <v>/0</v>
      </c>
    </row>
    <row r="66" spans="1:8" x14ac:dyDescent="0.2">
      <c r="A66">
        <v>0</v>
      </c>
      <c r="C66">
        <v>0</v>
      </c>
      <c r="D66">
        <v>0</v>
      </c>
      <c r="E66">
        <v>0</v>
      </c>
      <c r="F66">
        <v>0</v>
      </c>
      <c r="G66">
        <v>0</v>
      </c>
      <c r="H66" t="str">
        <f>_xlfn.CONCAT(Averages!N66,"/",Averages!O66+Averages!N66)</f>
        <v>/0</v>
      </c>
    </row>
    <row r="67" spans="1:8" x14ac:dyDescent="0.2">
      <c r="A67">
        <v>0</v>
      </c>
      <c r="C67">
        <v>0</v>
      </c>
      <c r="D67">
        <v>0</v>
      </c>
      <c r="E67">
        <v>0</v>
      </c>
      <c r="F67">
        <v>0</v>
      </c>
      <c r="G67">
        <v>0</v>
      </c>
      <c r="H67" t="str">
        <f>_xlfn.CONCAT(Averages!N67,"/",Averages!O67+Averages!N67)</f>
        <v>/0</v>
      </c>
    </row>
    <row r="68" spans="1:8" x14ac:dyDescent="0.2">
      <c r="A68">
        <v>0</v>
      </c>
      <c r="C68">
        <v>0</v>
      </c>
      <c r="D68">
        <v>0</v>
      </c>
      <c r="E68">
        <v>0</v>
      </c>
      <c r="F68">
        <v>0</v>
      </c>
      <c r="G68">
        <v>0</v>
      </c>
      <c r="H68" t="str">
        <f>_xlfn.CONCAT(Averages!N68,"/",Averages!O68+Averages!N68)</f>
        <v>/0</v>
      </c>
    </row>
    <row r="69" spans="1:8" x14ac:dyDescent="0.2">
      <c r="A69">
        <v>0</v>
      </c>
      <c r="C69">
        <v>0</v>
      </c>
      <c r="D69">
        <v>0</v>
      </c>
      <c r="E69">
        <v>0</v>
      </c>
      <c r="F69">
        <v>0</v>
      </c>
      <c r="G69">
        <v>0</v>
      </c>
      <c r="H69" t="str">
        <f>_xlfn.CONCAT(Averages!N69,"/",Averages!O69+Averages!N69)</f>
        <v>/0</v>
      </c>
    </row>
    <row r="70" spans="1:8" x14ac:dyDescent="0.2">
      <c r="A70">
        <v>0</v>
      </c>
      <c r="C70">
        <v>0</v>
      </c>
      <c r="D70">
        <v>0</v>
      </c>
      <c r="E70">
        <v>0</v>
      </c>
      <c r="F70">
        <v>0</v>
      </c>
      <c r="G70">
        <v>0</v>
      </c>
      <c r="H70" t="str">
        <f>_xlfn.CONCAT(Averages!N70,"/",Averages!O70+Averages!N70)</f>
        <v>/0</v>
      </c>
    </row>
    <row r="71" spans="1:8" x14ac:dyDescent="0.2">
      <c r="A71">
        <v>0</v>
      </c>
      <c r="C71">
        <v>0</v>
      </c>
      <c r="D71">
        <v>0</v>
      </c>
      <c r="E71">
        <v>0</v>
      </c>
      <c r="F71">
        <v>0</v>
      </c>
      <c r="G71">
        <v>0</v>
      </c>
      <c r="H71" t="str">
        <f>_xlfn.CONCAT(Averages!N71,"/",Averages!O71+Averages!N71)</f>
        <v>/0</v>
      </c>
    </row>
    <row r="72" spans="1:8" x14ac:dyDescent="0.2">
      <c r="A72">
        <v>0</v>
      </c>
      <c r="C72">
        <v>0</v>
      </c>
      <c r="D72">
        <v>0</v>
      </c>
      <c r="E72">
        <v>0</v>
      </c>
      <c r="F72">
        <v>0</v>
      </c>
      <c r="G72">
        <v>0</v>
      </c>
      <c r="H72" t="str">
        <f>_xlfn.CONCAT(Averages!N72,"/",Averages!O72+Averages!N72)</f>
        <v>/0</v>
      </c>
    </row>
    <row r="73" spans="1:8" x14ac:dyDescent="0.2">
      <c r="A73">
        <v>0</v>
      </c>
      <c r="C73">
        <v>0</v>
      </c>
      <c r="D73">
        <v>0</v>
      </c>
      <c r="E73">
        <v>0</v>
      </c>
      <c r="F73">
        <v>0</v>
      </c>
      <c r="G73">
        <v>0</v>
      </c>
      <c r="H73" t="str">
        <f>_xlfn.CONCAT(Averages!N73,"/",Averages!O73+Averages!N73)</f>
        <v>/0</v>
      </c>
    </row>
    <row r="74" spans="1:8" x14ac:dyDescent="0.2">
      <c r="A74">
        <v>0</v>
      </c>
      <c r="C74">
        <v>0</v>
      </c>
      <c r="D74">
        <v>0</v>
      </c>
      <c r="E74">
        <v>0</v>
      </c>
      <c r="F74">
        <v>0</v>
      </c>
      <c r="G74">
        <v>0</v>
      </c>
      <c r="H74" t="str">
        <f>_xlfn.CONCAT(Averages!N74,"/",Averages!O74+Averages!N74)</f>
        <v>/0</v>
      </c>
    </row>
    <row r="75" spans="1:8" x14ac:dyDescent="0.2">
      <c r="A75">
        <v>0</v>
      </c>
      <c r="C75">
        <v>0</v>
      </c>
      <c r="D75">
        <v>0</v>
      </c>
      <c r="E75">
        <v>0</v>
      </c>
      <c r="F75">
        <v>0</v>
      </c>
      <c r="G75">
        <v>0</v>
      </c>
      <c r="H75" t="str">
        <f>_xlfn.CONCAT(Averages!N75,"/",Averages!O75+Averages!N75)</f>
        <v>/0</v>
      </c>
    </row>
    <row r="76" spans="1:8" x14ac:dyDescent="0.2">
      <c r="A76">
        <v>0</v>
      </c>
      <c r="C76">
        <v>0</v>
      </c>
      <c r="D76">
        <v>0</v>
      </c>
      <c r="E76">
        <v>0</v>
      </c>
      <c r="F76">
        <v>0</v>
      </c>
      <c r="G76">
        <v>0</v>
      </c>
      <c r="H76" t="str">
        <f>_xlfn.CONCAT(Averages!N76,"/",Averages!O76+Averages!N76)</f>
        <v>/0</v>
      </c>
    </row>
    <row r="77" spans="1:8" x14ac:dyDescent="0.2">
      <c r="A77">
        <v>0</v>
      </c>
      <c r="C77">
        <v>0</v>
      </c>
      <c r="D77">
        <v>0</v>
      </c>
      <c r="E77">
        <v>0</v>
      </c>
      <c r="F77">
        <v>0</v>
      </c>
      <c r="G77">
        <v>0</v>
      </c>
      <c r="H77" t="str">
        <f>_xlfn.CONCAT(Averages!N77,"/",Averages!O77+Averages!N77)</f>
        <v>/0</v>
      </c>
    </row>
    <row r="78" spans="1:8" x14ac:dyDescent="0.2">
      <c r="A78">
        <v>0</v>
      </c>
      <c r="C78">
        <v>0</v>
      </c>
      <c r="D78">
        <v>0</v>
      </c>
      <c r="E78">
        <v>0</v>
      </c>
      <c r="F78">
        <v>0</v>
      </c>
      <c r="G78">
        <v>0</v>
      </c>
      <c r="H78" t="str">
        <f>_xlfn.CONCAT(Averages!N78,"/",Averages!O78+Averages!N78)</f>
        <v>/0</v>
      </c>
    </row>
    <row r="79" spans="1:8" x14ac:dyDescent="0.2">
      <c r="A79">
        <v>0</v>
      </c>
      <c r="C79">
        <v>0</v>
      </c>
      <c r="D79">
        <v>0</v>
      </c>
      <c r="E79">
        <v>0</v>
      </c>
      <c r="F79">
        <v>0</v>
      </c>
      <c r="G79">
        <v>0</v>
      </c>
      <c r="H79" t="str">
        <f>_xlfn.CONCAT(Averages!N79,"/",Averages!O79+Averages!N79)</f>
        <v>/0</v>
      </c>
    </row>
    <row r="80" spans="1:8" x14ac:dyDescent="0.2">
      <c r="A80">
        <v>0</v>
      </c>
      <c r="C80">
        <v>0</v>
      </c>
      <c r="D80">
        <v>0</v>
      </c>
      <c r="E80">
        <v>0</v>
      </c>
      <c r="F80">
        <v>0</v>
      </c>
      <c r="G80">
        <v>0</v>
      </c>
      <c r="H80" t="str">
        <f>_xlfn.CONCAT(Averages!N80,"/",Averages!O80+Averages!N80)</f>
        <v>/0</v>
      </c>
    </row>
    <row r="81" spans="1:8" x14ac:dyDescent="0.2">
      <c r="A81">
        <v>0</v>
      </c>
      <c r="C81">
        <v>0</v>
      </c>
      <c r="D81">
        <v>0</v>
      </c>
      <c r="E81">
        <v>0</v>
      </c>
      <c r="F81">
        <v>0</v>
      </c>
      <c r="G81">
        <v>0</v>
      </c>
      <c r="H81" t="str">
        <f>_xlfn.CONCAT(Averages!N81,"/",Averages!O81+Averages!N81)</f>
        <v>/0</v>
      </c>
    </row>
    <row r="82" spans="1:8" x14ac:dyDescent="0.2">
      <c r="A82">
        <v>0</v>
      </c>
      <c r="C82">
        <v>0</v>
      </c>
      <c r="D82">
        <v>0</v>
      </c>
      <c r="E82">
        <v>0</v>
      </c>
      <c r="F82">
        <v>0</v>
      </c>
      <c r="G82">
        <v>0</v>
      </c>
      <c r="H82" t="str">
        <f>_xlfn.CONCAT(Averages!N82,"/",Averages!O82+Averages!N82)</f>
        <v>/0</v>
      </c>
    </row>
    <row r="83" spans="1:8" x14ac:dyDescent="0.2">
      <c r="A83">
        <v>0</v>
      </c>
      <c r="C83">
        <v>0</v>
      </c>
      <c r="D83">
        <v>0</v>
      </c>
      <c r="E83">
        <v>0</v>
      </c>
      <c r="F83">
        <v>0</v>
      </c>
      <c r="G83">
        <v>0</v>
      </c>
      <c r="H83" t="str">
        <f>_xlfn.CONCAT(Averages!N83,"/",Averages!O83+Averages!N83)</f>
        <v>/0</v>
      </c>
    </row>
    <row r="84" spans="1:8" x14ac:dyDescent="0.2">
      <c r="A84">
        <v>0</v>
      </c>
      <c r="C84">
        <v>0</v>
      </c>
      <c r="D84">
        <v>0</v>
      </c>
      <c r="E84">
        <v>0</v>
      </c>
      <c r="F84">
        <v>0</v>
      </c>
      <c r="G84">
        <v>0</v>
      </c>
      <c r="H84" t="str">
        <f>_xlfn.CONCAT(Averages!N84,"/",Averages!O84+Averages!N84)</f>
        <v>/0</v>
      </c>
    </row>
    <row r="85" spans="1:8" x14ac:dyDescent="0.2">
      <c r="A85">
        <v>0</v>
      </c>
      <c r="C85">
        <v>0</v>
      </c>
      <c r="D85">
        <v>0</v>
      </c>
      <c r="E85">
        <v>0</v>
      </c>
      <c r="F85">
        <v>0</v>
      </c>
      <c r="G85">
        <v>0</v>
      </c>
      <c r="H85" t="str">
        <f>_xlfn.CONCAT(Averages!N85,"/",Averages!O85+Averages!N85)</f>
        <v>/0</v>
      </c>
    </row>
    <row r="86" spans="1:8" x14ac:dyDescent="0.2">
      <c r="A86">
        <v>0</v>
      </c>
      <c r="C86">
        <v>0</v>
      </c>
      <c r="D86">
        <v>0</v>
      </c>
      <c r="E86">
        <v>0</v>
      </c>
      <c r="F86">
        <v>0</v>
      </c>
      <c r="G86">
        <v>0</v>
      </c>
      <c r="H86" t="str">
        <f>_xlfn.CONCAT(Averages!N86,"/",Averages!O86+Averages!N86)</f>
        <v>/0</v>
      </c>
    </row>
    <row r="87" spans="1:8" x14ac:dyDescent="0.2">
      <c r="A87">
        <v>0</v>
      </c>
      <c r="C87">
        <v>0</v>
      </c>
      <c r="D87">
        <v>0</v>
      </c>
      <c r="E87">
        <v>0</v>
      </c>
      <c r="F87">
        <v>0</v>
      </c>
      <c r="G87">
        <v>0</v>
      </c>
      <c r="H87" t="str">
        <f>_xlfn.CONCAT(Averages!N87,"/",Averages!O87+Averages!N87)</f>
        <v>/0</v>
      </c>
    </row>
    <row r="88" spans="1:8" x14ac:dyDescent="0.2">
      <c r="A88">
        <v>0</v>
      </c>
      <c r="C88">
        <v>0</v>
      </c>
      <c r="D88">
        <v>0</v>
      </c>
      <c r="E88">
        <v>0</v>
      </c>
      <c r="F88">
        <v>0</v>
      </c>
      <c r="G88">
        <v>0</v>
      </c>
      <c r="H88" t="str">
        <f>_xlfn.CONCAT(Averages!N88,"/",Averages!O88+Averages!N88)</f>
        <v>/0</v>
      </c>
    </row>
    <row r="89" spans="1:8" x14ac:dyDescent="0.2">
      <c r="A89">
        <v>0</v>
      </c>
      <c r="C89">
        <v>0</v>
      </c>
      <c r="D89">
        <v>0</v>
      </c>
      <c r="E89">
        <v>0</v>
      </c>
      <c r="F89">
        <v>0</v>
      </c>
      <c r="G89">
        <v>0</v>
      </c>
      <c r="H89" t="str">
        <f>_xlfn.CONCAT(Averages!N89,"/",Averages!O89+Averages!N89)</f>
        <v>/0</v>
      </c>
    </row>
    <row r="90" spans="1:8" x14ac:dyDescent="0.2">
      <c r="A90">
        <v>0</v>
      </c>
      <c r="C90">
        <v>0</v>
      </c>
      <c r="D90">
        <v>0</v>
      </c>
      <c r="E90">
        <v>0</v>
      </c>
      <c r="F90">
        <v>0</v>
      </c>
      <c r="G90">
        <v>0</v>
      </c>
      <c r="H90" t="str">
        <f>_xlfn.CONCAT(Averages!N90,"/",Averages!O90+Averages!N90)</f>
        <v>/0</v>
      </c>
    </row>
    <row r="91" spans="1:8" x14ac:dyDescent="0.2">
      <c r="A91">
        <v>0</v>
      </c>
      <c r="C91">
        <v>0</v>
      </c>
      <c r="D91">
        <v>0</v>
      </c>
      <c r="E91">
        <v>0</v>
      </c>
      <c r="F91">
        <v>0</v>
      </c>
      <c r="G91">
        <v>0</v>
      </c>
      <c r="H91" t="str">
        <f>_xlfn.CONCAT(Averages!N91,"/",Averages!O91+Averages!N91)</f>
        <v>/0</v>
      </c>
    </row>
    <row r="92" spans="1:8" x14ac:dyDescent="0.2">
      <c r="A92">
        <v>0</v>
      </c>
      <c r="C92">
        <v>0</v>
      </c>
      <c r="D92">
        <v>0</v>
      </c>
      <c r="E92">
        <v>0</v>
      </c>
      <c r="F92">
        <v>0</v>
      </c>
      <c r="G92">
        <v>0</v>
      </c>
      <c r="H92" t="str">
        <f>_xlfn.CONCAT(Averages!N92,"/",Averages!O92+Averages!N92)</f>
        <v>/0</v>
      </c>
    </row>
    <row r="93" spans="1:8" x14ac:dyDescent="0.2">
      <c r="A93">
        <v>0</v>
      </c>
      <c r="C93">
        <v>0</v>
      </c>
      <c r="D93">
        <v>0</v>
      </c>
      <c r="E93">
        <v>0</v>
      </c>
      <c r="F93">
        <v>0</v>
      </c>
      <c r="G93">
        <v>0</v>
      </c>
      <c r="H93" t="str">
        <f>_xlfn.CONCAT(Averages!N93,"/",Averages!O93+Averages!N93)</f>
        <v>/0</v>
      </c>
    </row>
    <row r="94" spans="1:8" x14ac:dyDescent="0.2">
      <c r="A94">
        <v>0</v>
      </c>
      <c r="C94">
        <v>0</v>
      </c>
      <c r="D94">
        <v>0</v>
      </c>
      <c r="E94">
        <v>0</v>
      </c>
      <c r="F94">
        <v>0</v>
      </c>
      <c r="G94">
        <v>0</v>
      </c>
      <c r="H94" t="str">
        <f>_xlfn.CONCAT(Averages!N94,"/",Averages!O94+Averages!N94)</f>
        <v>/0</v>
      </c>
    </row>
    <row r="95" spans="1:8" x14ac:dyDescent="0.2">
      <c r="A95">
        <v>0</v>
      </c>
      <c r="C95">
        <v>0</v>
      </c>
      <c r="D95">
        <v>0</v>
      </c>
      <c r="E95">
        <v>0</v>
      </c>
      <c r="F95">
        <v>0</v>
      </c>
      <c r="G95">
        <v>0</v>
      </c>
      <c r="H95" t="str">
        <f>_xlfn.CONCAT(Averages!N95,"/",Averages!O95+Averages!N95)</f>
        <v>/0</v>
      </c>
    </row>
    <row r="96" spans="1:8" x14ac:dyDescent="0.2">
      <c r="A96">
        <v>0</v>
      </c>
      <c r="C96">
        <v>0</v>
      </c>
      <c r="D96">
        <v>0</v>
      </c>
      <c r="E96">
        <v>0</v>
      </c>
      <c r="F96">
        <v>0</v>
      </c>
      <c r="G96">
        <v>0</v>
      </c>
      <c r="H96" t="str">
        <f>_xlfn.CONCAT(Averages!N96,"/",Averages!O96+Averages!N96)</f>
        <v>/0</v>
      </c>
    </row>
    <row r="97" spans="1:8" x14ac:dyDescent="0.2">
      <c r="A97">
        <v>0</v>
      </c>
      <c r="C97">
        <v>0</v>
      </c>
      <c r="D97">
        <v>0</v>
      </c>
      <c r="E97">
        <v>0</v>
      </c>
      <c r="F97">
        <v>0</v>
      </c>
      <c r="G97">
        <v>0</v>
      </c>
      <c r="H97" t="str">
        <f>_xlfn.CONCAT(Averages!N97,"/",Averages!O97+Averages!N97)</f>
        <v>/0</v>
      </c>
    </row>
    <row r="98" spans="1:8" x14ac:dyDescent="0.2">
      <c r="A98">
        <v>0</v>
      </c>
      <c r="C98">
        <v>0</v>
      </c>
      <c r="D98">
        <v>0</v>
      </c>
      <c r="E98">
        <v>0</v>
      </c>
      <c r="F98">
        <v>0</v>
      </c>
      <c r="G98">
        <v>0</v>
      </c>
      <c r="H98" t="str">
        <f>_xlfn.CONCAT(Averages!N98,"/",Averages!O98+Averages!N98)</f>
        <v>/0</v>
      </c>
    </row>
    <row r="99" spans="1:8" x14ac:dyDescent="0.2">
      <c r="A99">
        <v>0</v>
      </c>
      <c r="C99">
        <v>0</v>
      </c>
      <c r="D99">
        <v>0</v>
      </c>
      <c r="E99">
        <v>0</v>
      </c>
      <c r="F99">
        <v>0</v>
      </c>
      <c r="G99">
        <v>0</v>
      </c>
      <c r="H99" t="str">
        <f>_xlfn.CONCAT(Averages!N99,"/",Averages!O99+Averages!N99)</f>
        <v>/0</v>
      </c>
    </row>
    <row r="100" spans="1:8" x14ac:dyDescent="0.2">
      <c r="A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 t="str">
        <f>_xlfn.CONCAT(Averages!N100,"/",Averages!O100+Averages!N100)</f>
        <v>/0</v>
      </c>
    </row>
    <row r="101" spans="1:8" x14ac:dyDescent="0.2">
      <c r="A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 t="str">
        <f>_xlfn.CONCAT(Averages!N101,"/",Averages!O101+Averages!N101)</f>
        <v>/0</v>
      </c>
    </row>
    <row r="102" spans="1:8" x14ac:dyDescent="0.2">
      <c r="A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 t="str">
        <f>_xlfn.CONCAT(Averages!N102,"/",Averages!O102+Averages!N102)</f>
        <v>/0</v>
      </c>
    </row>
    <row r="103" spans="1:8" x14ac:dyDescent="0.2">
      <c r="A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 t="str">
        <f>_xlfn.CONCAT(Averages!N103,"/",Averages!O103+Averages!N103)</f>
        <v>/0</v>
      </c>
    </row>
    <row r="104" spans="1:8" x14ac:dyDescent="0.2">
      <c r="A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 t="str">
        <f>_xlfn.CONCAT(Averages!N104,"/",Averages!O104+Averages!N104)</f>
        <v>/0</v>
      </c>
    </row>
    <row r="105" spans="1:8" x14ac:dyDescent="0.2">
      <c r="A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 t="str">
        <f>_xlfn.CONCAT(Averages!N105,"/",Averages!O105+Averages!N105)</f>
        <v>/0</v>
      </c>
    </row>
    <row r="106" spans="1:8" x14ac:dyDescent="0.2">
      <c r="A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 t="str">
        <f>_xlfn.CONCAT(Averages!N106,"/",Averages!O106+Averages!N106)</f>
        <v>/0</v>
      </c>
    </row>
    <row r="107" spans="1:8" x14ac:dyDescent="0.2">
      <c r="A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 t="str">
        <f>_xlfn.CONCAT(Averages!N107,"/",Averages!O107+Averages!N107)</f>
        <v>/0</v>
      </c>
    </row>
    <row r="108" spans="1:8" x14ac:dyDescent="0.2">
      <c r="A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 t="str">
        <f>_xlfn.CONCAT(Averages!N108,"/",Averages!O108+Averages!N108)</f>
        <v>/0</v>
      </c>
    </row>
    <row r="109" spans="1:8" x14ac:dyDescent="0.2">
      <c r="A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 t="str">
        <f>_xlfn.CONCAT(Averages!N109,"/",Averages!O109+Averages!N109)</f>
        <v>/0</v>
      </c>
    </row>
    <row r="110" spans="1:8" x14ac:dyDescent="0.2">
      <c r="A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 t="str">
        <f>_xlfn.CONCAT(Averages!N110,"/",Averages!O110+Averages!N110)</f>
        <v>/0</v>
      </c>
    </row>
    <row r="111" spans="1:8" x14ac:dyDescent="0.2">
      <c r="A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 t="str">
        <f>_xlfn.CONCAT(Averages!N111,"/",Averages!O111+Averages!N111)</f>
        <v>/0</v>
      </c>
    </row>
    <row r="112" spans="1:8" x14ac:dyDescent="0.2">
      <c r="A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 t="str">
        <f>_xlfn.CONCAT(Averages!N112,"/",Averages!O112+Averages!N112)</f>
        <v>/0</v>
      </c>
    </row>
    <row r="113" spans="1:8" x14ac:dyDescent="0.2">
      <c r="A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 t="str">
        <f>_xlfn.CONCAT(Averages!N113,"/",Averages!O113+Averages!N113)</f>
        <v>/0</v>
      </c>
    </row>
    <row r="114" spans="1:8" x14ac:dyDescent="0.2">
      <c r="A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 t="str">
        <f>_xlfn.CONCAT(Averages!N114,"/",Averages!O114+Averages!N114)</f>
        <v>/0</v>
      </c>
    </row>
    <row r="115" spans="1:8" x14ac:dyDescent="0.2">
      <c r="A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 t="str">
        <f>_xlfn.CONCAT(Averages!N115,"/",Averages!O115+Averages!N115)</f>
        <v>/0</v>
      </c>
    </row>
    <row r="116" spans="1:8" x14ac:dyDescent="0.2">
      <c r="A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 t="str">
        <f>_xlfn.CONCAT(Averages!N116,"/",Averages!O116+Averages!N116)</f>
        <v>/0</v>
      </c>
    </row>
    <row r="117" spans="1:8" x14ac:dyDescent="0.2">
      <c r="A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 t="str">
        <f>_xlfn.CONCAT(Averages!N117,"/",Averages!O117+Averages!N117)</f>
        <v>/0</v>
      </c>
    </row>
    <row r="118" spans="1:8" x14ac:dyDescent="0.2">
      <c r="A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 t="str">
        <f>_xlfn.CONCAT(Averages!N118,"/",Averages!O118+Averages!N118)</f>
        <v>/0</v>
      </c>
    </row>
    <row r="119" spans="1:8" x14ac:dyDescent="0.2">
      <c r="A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 t="str">
        <f>_xlfn.CONCAT(Averages!N119,"/",Averages!O119+Averages!N119)</f>
        <v>/0</v>
      </c>
    </row>
    <row r="120" spans="1:8" x14ac:dyDescent="0.2">
      <c r="A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 t="str">
        <f>_xlfn.CONCAT(Averages!N120,"/",Averages!O120+Averages!N120)</f>
        <v>/0</v>
      </c>
    </row>
    <row r="121" spans="1:8" x14ac:dyDescent="0.2">
      <c r="A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 t="str">
        <f>_xlfn.CONCAT(Averages!N121,"/",Averages!O121+Averages!N121)</f>
        <v>/0</v>
      </c>
    </row>
    <row r="122" spans="1:8" x14ac:dyDescent="0.2">
      <c r="A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 t="str">
        <f>_xlfn.CONCAT(Averages!N122,"/",Averages!O122+Averages!N122)</f>
        <v>/0</v>
      </c>
    </row>
    <row r="123" spans="1:8" x14ac:dyDescent="0.2">
      <c r="A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 t="str">
        <f>_xlfn.CONCAT(Averages!N123,"/",Averages!O123+Averages!N123)</f>
        <v>/0</v>
      </c>
    </row>
    <row r="124" spans="1:8" x14ac:dyDescent="0.2">
      <c r="A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 t="str">
        <f>_xlfn.CONCAT(Averages!N124,"/",Averages!O124+Averages!N124)</f>
        <v>/0</v>
      </c>
    </row>
    <row r="125" spans="1:8" x14ac:dyDescent="0.2">
      <c r="A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 t="str">
        <f>_xlfn.CONCAT(Averages!N125,"/",Averages!O125+Averages!N125)</f>
        <v>/0</v>
      </c>
    </row>
    <row r="126" spans="1:8" x14ac:dyDescent="0.2">
      <c r="A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 t="str">
        <f>_xlfn.CONCAT(Averages!N126,"/",Averages!O126+Averages!N126)</f>
        <v>/0</v>
      </c>
    </row>
    <row r="127" spans="1:8" x14ac:dyDescent="0.2">
      <c r="A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 t="str">
        <f>_xlfn.CONCAT(Averages!N127,"/",Averages!O127+Averages!N127)</f>
        <v>/0</v>
      </c>
    </row>
    <row r="128" spans="1:8" x14ac:dyDescent="0.2">
      <c r="A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 t="str">
        <f>_xlfn.CONCAT(Averages!N128,"/",Averages!O128+Averages!N128)</f>
        <v>/0</v>
      </c>
    </row>
    <row r="129" spans="1:8" x14ac:dyDescent="0.2">
      <c r="A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 t="str">
        <f>_xlfn.CONCAT(Averages!N129,"/",Averages!O129+Averages!N129)</f>
        <v>/0</v>
      </c>
    </row>
    <row r="130" spans="1:8" x14ac:dyDescent="0.2">
      <c r="A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 t="str">
        <f>_xlfn.CONCAT(Averages!N130,"/",Averages!O130+Averages!N130)</f>
        <v>/0</v>
      </c>
    </row>
    <row r="131" spans="1:8" x14ac:dyDescent="0.2">
      <c r="A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 t="str">
        <f>_xlfn.CONCAT(Averages!N131,"/",Averages!O131+Averages!N131)</f>
        <v>/0</v>
      </c>
    </row>
    <row r="132" spans="1:8" x14ac:dyDescent="0.2">
      <c r="A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 t="str">
        <f>_xlfn.CONCAT(Averages!N132,"/",Averages!O132+Averages!N132)</f>
        <v>/0</v>
      </c>
    </row>
    <row r="133" spans="1:8" x14ac:dyDescent="0.2">
      <c r="A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 t="str">
        <f>_xlfn.CONCAT(Averages!N133,"/",Averages!O133+Averages!N133)</f>
        <v>/0</v>
      </c>
    </row>
    <row r="134" spans="1:8" x14ac:dyDescent="0.2">
      <c r="A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 t="str">
        <f>_xlfn.CONCAT(Averages!N134,"/",Averages!O134+Averages!N134)</f>
        <v>/0</v>
      </c>
    </row>
    <row r="135" spans="1:8" x14ac:dyDescent="0.2">
      <c r="A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 t="str">
        <f>_xlfn.CONCAT(Averages!N135,"/",Averages!O135+Averages!N135)</f>
        <v>/0</v>
      </c>
    </row>
    <row r="136" spans="1:8" x14ac:dyDescent="0.2">
      <c r="A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 t="str">
        <f>_xlfn.CONCAT(Averages!N136,"/",Averages!O136+Averages!N136)</f>
        <v>/0</v>
      </c>
    </row>
    <row r="137" spans="1:8" x14ac:dyDescent="0.2">
      <c r="A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 t="str">
        <f>_xlfn.CONCAT(Averages!N137,"/",Averages!O137+Averages!N137)</f>
        <v>/0</v>
      </c>
    </row>
    <row r="138" spans="1:8" x14ac:dyDescent="0.2">
      <c r="A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 t="str">
        <f>_xlfn.CONCAT(Averages!N138,"/",Averages!O138+Averages!N138)</f>
        <v>/0</v>
      </c>
    </row>
    <row r="139" spans="1:8" x14ac:dyDescent="0.2">
      <c r="A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 t="str">
        <f>_xlfn.CONCAT(Averages!N139,"/",Averages!O139+Averages!N139)</f>
        <v>/0</v>
      </c>
    </row>
    <row r="140" spans="1:8" x14ac:dyDescent="0.2">
      <c r="A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 t="str">
        <f>_xlfn.CONCAT(Averages!N140,"/",Averages!O140+Averages!N140)</f>
        <v>/0</v>
      </c>
    </row>
    <row r="141" spans="1:8" x14ac:dyDescent="0.2">
      <c r="A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 t="str">
        <f>_xlfn.CONCAT(Averages!N141,"/",Averages!O141+Averages!N141)</f>
        <v>/0</v>
      </c>
    </row>
    <row r="142" spans="1:8" x14ac:dyDescent="0.2">
      <c r="A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 t="str">
        <f>_xlfn.CONCAT(Averages!N142,"/",Averages!O142+Averages!N142)</f>
        <v>/0</v>
      </c>
    </row>
    <row r="143" spans="1:8" x14ac:dyDescent="0.2">
      <c r="A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 t="str">
        <f>_xlfn.CONCAT(Averages!N143,"/",Averages!O143+Averages!N143)</f>
        <v>/0</v>
      </c>
    </row>
    <row r="144" spans="1:8" x14ac:dyDescent="0.2">
      <c r="A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 t="str">
        <f>_xlfn.CONCAT(Averages!N144,"/",Averages!O144+Averages!N144)</f>
        <v>/0</v>
      </c>
    </row>
    <row r="145" spans="1:8" x14ac:dyDescent="0.2">
      <c r="A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 t="str">
        <f>_xlfn.CONCAT(Averages!N145,"/",Averages!O145+Averages!N145)</f>
        <v>/0</v>
      </c>
    </row>
    <row r="146" spans="1:8" x14ac:dyDescent="0.2">
      <c r="A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 t="str">
        <f>_xlfn.CONCAT(Averages!N146,"/",Averages!O146+Averages!N146)</f>
        <v>/0</v>
      </c>
    </row>
    <row r="147" spans="1:8" x14ac:dyDescent="0.2">
      <c r="A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 t="str">
        <f>_xlfn.CONCAT(Averages!N147,"/",Averages!O147+Averages!N147)</f>
        <v>/0</v>
      </c>
    </row>
    <row r="148" spans="1:8" x14ac:dyDescent="0.2">
      <c r="A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 t="str">
        <f>_xlfn.CONCAT(Averages!N148,"/",Averages!O148+Averages!N148)</f>
        <v>/0</v>
      </c>
    </row>
    <row r="149" spans="1:8" x14ac:dyDescent="0.2">
      <c r="A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 t="str">
        <f>_xlfn.CONCAT(Averages!N149,"/",Averages!O149+Averages!N149)</f>
        <v>/0</v>
      </c>
    </row>
    <row r="150" spans="1:8" x14ac:dyDescent="0.2">
      <c r="A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 t="str">
        <f>_xlfn.CONCAT(Averages!N150,"/",Averages!O150+Averages!N150)</f>
        <v>/0</v>
      </c>
    </row>
    <row r="151" spans="1:8" x14ac:dyDescent="0.2">
      <c r="A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 t="str">
        <f>_xlfn.CONCAT(Averages!N151,"/",Averages!O151+Averages!N151)</f>
        <v>/0</v>
      </c>
    </row>
    <row r="152" spans="1:8" x14ac:dyDescent="0.2">
      <c r="A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 t="str">
        <f>_xlfn.CONCAT(Averages!N152,"/",Averages!O152+Averages!N152)</f>
        <v>/0</v>
      </c>
    </row>
    <row r="153" spans="1:8" x14ac:dyDescent="0.2">
      <c r="A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 t="str">
        <f>_xlfn.CONCAT(Averages!N153,"/",Averages!O153+Averages!N153)</f>
        <v>/0</v>
      </c>
    </row>
    <row r="154" spans="1:8" x14ac:dyDescent="0.2">
      <c r="A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 t="str">
        <f>_xlfn.CONCAT(Averages!N154,"/",Averages!O154+Averages!N154)</f>
        <v>/0</v>
      </c>
    </row>
    <row r="155" spans="1:8" x14ac:dyDescent="0.2">
      <c r="A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 t="str">
        <f>_xlfn.CONCAT(Averages!N155,"/",Averages!O155+Averages!N155)</f>
        <v>/0</v>
      </c>
    </row>
    <row r="156" spans="1:8" x14ac:dyDescent="0.2">
      <c r="A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 t="str">
        <f>_xlfn.CONCAT(Averages!N156,"/",Averages!O156+Averages!N156)</f>
        <v>/0</v>
      </c>
    </row>
    <row r="157" spans="1:8" x14ac:dyDescent="0.2">
      <c r="A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 t="str">
        <f>_xlfn.CONCAT(Averages!N157,"/",Averages!O157+Averages!N157)</f>
        <v>/0</v>
      </c>
    </row>
    <row r="158" spans="1:8" x14ac:dyDescent="0.2">
      <c r="A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 t="str">
        <f>_xlfn.CONCAT(Averages!N158,"/",Averages!O158+Averages!N158)</f>
        <v>/0</v>
      </c>
    </row>
    <row r="159" spans="1:8" x14ac:dyDescent="0.2">
      <c r="A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 t="str">
        <f>_xlfn.CONCAT(Averages!N159,"/",Averages!O159+Averages!N159)</f>
        <v>/0</v>
      </c>
    </row>
    <row r="160" spans="1:8" x14ac:dyDescent="0.2">
      <c r="A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 t="str">
        <f>_xlfn.CONCAT(Averages!N160,"/",Averages!O160+Averages!N160)</f>
        <v>/0</v>
      </c>
    </row>
    <row r="161" spans="1:8" x14ac:dyDescent="0.2">
      <c r="A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 t="str">
        <f>_xlfn.CONCAT(Averages!N161,"/",Averages!O161+Averages!N161)</f>
        <v>/0</v>
      </c>
    </row>
    <row r="162" spans="1:8" x14ac:dyDescent="0.2">
      <c r="A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 t="str">
        <f>_xlfn.CONCAT(Averages!N162,"/",Averages!O162+Averages!N162)</f>
        <v>/0</v>
      </c>
    </row>
    <row r="163" spans="1:8" x14ac:dyDescent="0.2">
      <c r="A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 t="str">
        <f>_xlfn.CONCAT(Averages!N163,"/",Averages!O163+Averages!N163)</f>
        <v>/0</v>
      </c>
    </row>
    <row r="164" spans="1:8" x14ac:dyDescent="0.2">
      <c r="A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 t="str">
        <f>_xlfn.CONCAT(Averages!N164,"/",Averages!O164+Averages!N164)</f>
        <v>/0</v>
      </c>
    </row>
    <row r="165" spans="1:8" x14ac:dyDescent="0.2">
      <c r="A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 t="str">
        <f>_xlfn.CONCAT(Averages!N165,"/",Averages!O165+Averages!N165)</f>
        <v>/0</v>
      </c>
    </row>
    <row r="166" spans="1:8" x14ac:dyDescent="0.2">
      <c r="A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 t="str">
        <f>_xlfn.CONCAT(Averages!N166,"/",Averages!O166+Averages!N166)</f>
        <v>/0</v>
      </c>
    </row>
    <row r="167" spans="1:8" x14ac:dyDescent="0.2">
      <c r="A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 t="str">
        <f>_xlfn.CONCAT(Averages!N167,"/",Averages!O167+Averages!N167)</f>
        <v>/0</v>
      </c>
    </row>
    <row r="168" spans="1:8" x14ac:dyDescent="0.2">
      <c r="A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 t="str">
        <f>_xlfn.CONCAT(Averages!N168,"/",Averages!O168+Averages!N168)</f>
        <v>/0</v>
      </c>
    </row>
    <row r="169" spans="1:8" x14ac:dyDescent="0.2">
      <c r="A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 t="str">
        <f>_xlfn.CONCAT(Averages!N169,"/",Averages!O169+Averages!N169)</f>
        <v>/0</v>
      </c>
    </row>
    <row r="170" spans="1:8" x14ac:dyDescent="0.2">
      <c r="A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 t="str">
        <f>_xlfn.CONCAT(Averages!N170,"/",Averages!O170+Averages!N170)</f>
        <v>/0</v>
      </c>
    </row>
    <row r="171" spans="1:8" x14ac:dyDescent="0.2">
      <c r="A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 t="str">
        <f>_xlfn.CONCAT(Averages!N171,"/",Averages!O171+Averages!N171)</f>
        <v>/0</v>
      </c>
    </row>
    <row r="172" spans="1:8" x14ac:dyDescent="0.2">
      <c r="A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 t="str">
        <f>_xlfn.CONCAT(Averages!N172,"/",Averages!O172+Averages!N172)</f>
        <v>/0</v>
      </c>
    </row>
    <row r="173" spans="1:8" x14ac:dyDescent="0.2">
      <c r="A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 t="str">
        <f>_xlfn.CONCAT(Averages!N173,"/",Averages!O173+Averages!N173)</f>
        <v>/0</v>
      </c>
    </row>
    <row r="174" spans="1:8" x14ac:dyDescent="0.2">
      <c r="A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 t="str">
        <f>_xlfn.CONCAT(Averages!N174,"/",Averages!O174+Averages!N174)</f>
        <v>/0</v>
      </c>
    </row>
    <row r="175" spans="1:8" x14ac:dyDescent="0.2">
      <c r="A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 t="str">
        <f>_xlfn.CONCAT(Averages!N175,"/",Averages!O175+Averages!N175)</f>
        <v>/0</v>
      </c>
    </row>
    <row r="176" spans="1:8" x14ac:dyDescent="0.2">
      <c r="A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 t="str">
        <f>_xlfn.CONCAT(Averages!N176,"/",Averages!O176+Averages!N176)</f>
        <v>/0</v>
      </c>
    </row>
    <row r="177" spans="1:8" x14ac:dyDescent="0.2">
      <c r="A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 t="str">
        <f>_xlfn.CONCAT(Averages!N177,"/",Averages!O177+Averages!N177)</f>
        <v>/0</v>
      </c>
    </row>
    <row r="178" spans="1:8" x14ac:dyDescent="0.2">
      <c r="A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 t="str">
        <f>_xlfn.CONCAT(Averages!N178,"/",Averages!O178+Averages!N178)</f>
        <v>/0</v>
      </c>
    </row>
    <row r="179" spans="1:8" x14ac:dyDescent="0.2">
      <c r="A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 t="str">
        <f>_xlfn.CONCAT(Averages!N179,"/",Averages!O179+Averages!N179)</f>
        <v>/0</v>
      </c>
    </row>
    <row r="180" spans="1:8" x14ac:dyDescent="0.2">
      <c r="A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 t="str">
        <f>_xlfn.CONCAT(Averages!N180,"/",Averages!O180+Averages!N180)</f>
        <v>/0</v>
      </c>
    </row>
    <row r="181" spans="1:8" x14ac:dyDescent="0.2">
      <c r="A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 t="str">
        <f>_xlfn.CONCAT(Averages!N181,"/",Averages!O181+Averages!N181)</f>
        <v>/0</v>
      </c>
    </row>
    <row r="182" spans="1:8" x14ac:dyDescent="0.2">
      <c r="A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 t="str">
        <f>_xlfn.CONCAT(Averages!N182,"/",Averages!O182+Averages!N182)</f>
        <v>/0</v>
      </c>
    </row>
    <row r="183" spans="1:8" x14ac:dyDescent="0.2">
      <c r="A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 t="str">
        <f>_xlfn.CONCAT(Averages!N183,"/",Averages!O183+Averages!N183)</f>
        <v>/0</v>
      </c>
    </row>
    <row r="184" spans="1:8" x14ac:dyDescent="0.2">
      <c r="A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 t="str">
        <f>_xlfn.CONCAT(Averages!N184,"/",Averages!O184+Averages!N184)</f>
        <v>/0</v>
      </c>
    </row>
    <row r="185" spans="1:8" x14ac:dyDescent="0.2">
      <c r="A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 t="str">
        <f>_xlfn.CONCAT(Averages!N185,"/",Averages!O185+Averages!N185)</f>
        <v>/0</v>
      </c>
    </row>
    <row r="186" spans="1:8" x14ac:dyDescent="0.2">
      <c r="A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 t="str">
        <f>_xlfn.CONCAT(Averages!N186,"/",Averages!O186+Averages!N186)</f>
        <v>/0</v>
      </c>
    </row>
    <row r="187" spans="1:8" x14ac:dyDescent="0.2">
      <c r="A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 t="str">
        <f>_xlfn.CONCAT(Averages!N187,"/",Averages!O187+Averages!N187)</f>
        <v>/0</v>
      </c>
    </row>
    <row r="188" spans="1:8" x14ac:dyDescent="0.2">
      <c r="A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 t="str">
        <f>_xlfn.CONCAT(Averages!N188,"/",Averages!O188+Averages!N188)</f>
        <v>/0</v>
      </c>
    </row>
    <row r="189" spans="1:8" x14ac:dyDescent="0.2">
      <c r="A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 t="str">
        <f>_xlfn.CONCAT(Averages!N189,"/",Averages!O189+Averages!N189)</f>
        <v>/0</v>
      </c>
    </row>
    <row r="190" spans="1:8" x14ac:dyDescent="0.2">
      <c r="A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 t="str">
        <f>_xlfn.CONCAT(Averages!N190,"/",Averages!O190+Averages!N190)</f>
        <v>/0</v>
      </c>
    </row>
    <row r="191" spans="1:8" x14ac:dyDescent="0.2">
      <c r="A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 t="str">
        <f>_xlfn.CONCAT(Averages!N191,"/",Averages!O191+Averages!N191)</f>
        <v>/0</v>
      </c>
    </row>
    <row r="192" spans="1:8" x14ac:dyDescent="0.2">
      <c r="A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 t="str">
        <f>_xlfn.CONCAT(Averages!N192,"/",Averages!O192+Averages!N192)</f>
        <v>/0</v>
      </c>
    </row>
    <row r="193" spans="1:8" x14ac:dyDescent="0.2">
      <c r="A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 t="str">
        <f>_xlfn.CONCAT(Averages!N193,"/",Averages!O193+Averages!N193)</f>
        <v>/0</v>
      </c>
    </row>
    <row r="194" spans="1:8" x14ac:dyDescent="0.2">
      <c r="A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 t="str">
        <f>_xlfn.CONCAT(Averages!N194,"/",Averages!O194+Averages!N194)</f>
        <v>/0</v>
      </c>
    </row>
    <row r="195" spans="1:8" x14ac:dyDescent="0.2">
      <c r="A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 t="str">
        <f>_xlfn.CONCAT(Averages!N195,"/",Averages!O195+Averages!N195)</f>
        <v>/0</v>
      </c>
    </row>
    <row r="196" spans="1:8" x14ac:dyDescent="0.2">
      <c r="A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 t="str">
        <f>_xlfn.CONCAT(Averages!N196,"/",Averages!O196+Averages!N196)</f>
        <v>/0</v>
      </c>
    </row>
    <row r="197" spans="1:8" x14ac:dyDescent="0.2">
      <c r="A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 t="str">
        <f>_xlfn.CONCAT(Averages!N197,"/",Averages!O197+Averages!N197)</f>
        <v>/0</v>
      </c>
    </row>
    <row r="198" spans="1:8" x14ac:dyDescent="0.2">
      <c r="A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 t="str">
        <f>_xlfn.CONCAT(Averages!N198,"/",Averages!O198+Averages!N198)</f>
        <v>/0</v>
      </c>
    </row>
    <row r="199" spans="1:8" x14ac:dyDescent="0.2">
      <c r="A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 t="str">
        <f>_xlfn.CONCAT(Averages!N199,"/",Averages!O199+Averages!N199)</f>
        <v>/0</v>
      </c>
    </row>
    <row r="200" spans="1:8" x14ac:dyDescent="0.2">
      <c r="A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 t="str">
        <f>_xlfn.CONCAT(Averages!N200,"/",Averages!O200+Averages!N200)</f>
        <v>/0</v>
      </c>
    </row>
    <row r="201" spans="1:8" x14ac:dyDescent="0.2">
      <c r="A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 t="str">
        <f>_xlfn.CONCAT(Averages!N201,"/",Averages!O201+Averages!N201)</f>
        <v>/0</v>
      </c>
    </row>
    <row r="202" spans="1:8" x14ac:dyDescent="0.2">
      <c r="A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 t="str">
        <f>_xlfn.CONCAT(Averages!N202,"/",Averages!O202+Averages!N202)</f>
        <v>/0</v>
      </c>
    </row>
    <row r="203" spans="1:8" x14ac:dyDescent="0.2">
      <c r="A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 t="str">
        <f>_xlfn.CONCAT(Averages!N203,"/",Averages!O203+Averages!N203)</f>
        <v>/0</v>
      </c>
    </row>
    <row r="204" spans="1:8" x14ac:dyDescent="0.2">
      <c r="A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 t="str">
        <f>_xlfn.CONCAT(Averages!N204,"/",Averages!O204+Averages!N204)</f>
        <v>/0</v>
      </c>
    </row>
    <row r="205" spans="1:8" x14ac:dyDescent="0.2">
      <c r="A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 t="str">
        <f>_xlfn.CONCAT(Averages!N205,"/",Averages!O205+Averages!N205)</f>
        <v>/0</v>
      </c>
    </row>
    <row r="206" spans="1:8" x14ac:dyDescent="0.2">
      <c r="A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 t="str">
        <f>_xlfn.CONCAT(Averages!N206,"/",Averages!O206+Averages!N206)</f>
        <v>/0</v>
      </c>
    </row>
    <row r="207" spans="1:8" x14ac:dyDescent="0.2">
      <c r="A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 t="str">
        <f>_xlfn.CONCAT(Averages!N207,"/",Averages!O207+Averages!N207)</f>
        <v>/0</v>
      </c>
    </row>
    <row r="208" spans="1:8" x14ac:dyDescent="0.2">
      <c r="A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 t="str">
        <f>_xlfn.CONCAT(Averages!N208,"/",Averages!O208+Averages!N208)</f>
        <v>/0</v>
      </c>
    </row>
    <row r="209" spans="1:8" x14ac:dyDescent="0.2">
      <c r="A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 t="str">
        <f>_xlfn.CONCAT(Averages!N209,"/",Averages!O209+Averages!N209)</f>
        <v>/0</v>
      </c>
    </row>
    <row r="210" spans="1:8" x14ac:dyDescent="0.2">
      <c r="A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 t="str">
        <f>_xlfn.CONCAT(Averages!N210,"/",Averages!O210+Averages!N210)</f>
        <v>/0</v>
      </c>
    </row>
    <row r="211" spans="1:8" x14ac:dyDescent="0.2">
      <c r="A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 t="str">
        <f>_xlfn.CONCAT(Averages!N211,"/",Averages!O211+Averages!N211)</f>
        <v>/0</v>
      </c>
    </row>
    <row r="212" spans="1:8" x14ac:dyDescent="0.2">
      <c r="A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 t="str">
        <f>_xlfn.CONCAT(Averages!N212,"/",Averages!O212+Averages!N212)</f>
        <v>/0</v>
      </c>
    </row>
    <row r="213" spans="1:8" x14ac:dyDescent="0.2">
      <c r="A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 t="str">
        <f>_xlfn.CONCAT(Averages!N213,"/",Averages!O213+Averages!N213)</f>
        <v>/0</v>
      </c>
    </row>
    <row r="214" spans="1:8" x14ac:dyDescent="0.2">
      <c r="A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 t="str">
        <f>_xlfn.CONCAT(Averages!N214,"/",Averages!O214+Averages!N214)</f>
        <v>/0</v>
      </c>
    </row>
    <row r="215" spans="1:8" x14ac:dyDescent="0.2">
      <c r="A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 t="str">
        <f>_xlfn.CONCAT(Averages!N215,"/",Averages!O215+Averages!N215)</f>
        <v>/0</v>
      </c>
    </row>
    <row r="216" spans="1:8" x14ac:dyDescent="0.2">
      <c r="A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 t="str">
        <f>_xlfn.CONCAT(Averages!N216,"/",Averages!O216+Averages!N216)</f>
        <v>/0</v>
      </c>
    </row>
    <row r="217" spans="1:8" x14ac:dyDescent="0.2">
      <c r="A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 t="str">
        <f>_xlfn.CONCAT(Averages!N217,"/",Averages!O217+Averages!N217)</f>
        <v>/0</v>
      </c>
    </row>
    <row r="218" spans="1:8" x14ac:dyDescent="0.2">
      <c r="A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 t="str">
        <f>_xlfn.CONCAT(Averages!N218,"/",Averages!O218+Averages!N218)</f>
        <v>/0</v>
      </c>
    </row>
    <row r="219" spans="1:8" x14ac:dyDescent="0.2">
      <c r="A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 t="str">
        <f>_xlfn.CONCAT(Averages!N219,"/",Averages!O219+Averages!N219)</f>
        <v>/0</v>
      </c>
    </row>
    <row r="220" spans="1:8" x14ac:dyDescent="0.2">
      <c r="A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 t="str">
        <f>_xlfn.CONCAT(Averages!N220,"/",Averages!O220+Averages!N220)</f>
        <v>/0</v>
      </c>
    </row>
    <row r="221" spans="1:8" x14ac:dyDescent="0.2">
      <c r="A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 t="str">
        <f>_xlfn.CONCAT(Averages!N221,"/",Averages!O221+Averages!N221)</f>
        <v>/0</v>
      </c>
    </row>
    <row r="222" spans="1:8" x14ac:dyDescent="0.2">
      <c r="A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 t="str">
        <f>_xlfn.CONCAT(Averages!N222,"/",Averages!O222+Averages!N222)</f>
        <v>/0</v>
      </c>
    </row>
    <row r="223" spans="1:8" x14ac:dyDescent="0.2">
      <c r="A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 t="str">
        <f>_xlfn.CONCAT(Averages!N223,"/",Averages!O223+Averages!N223)</f>
        <v>/0</v>
      </c>
    </row>
    <row r="224" spans="1:8" x14ac:dyDescent="0.2">
      <c r="A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 t="str">
        <f>_xlfn.CONCAT(Averages!N224,"/",Averages!O224+Averages!N224)</f>
        <v>/0</v>
      </c>
    </row>
    <row r="225" spans="1:8" x14ac:dyDescent="0.2">
      <c r="A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 t="str">
        <f>_xlfn.CONCAT(Averages!N225,"/",Averages!O225+Averages!N225)</f>
        <v>/0</v>
      </c>
    </row>
    <row r="226" spans="1:8" x14ac:dyDescent="0.2">
      <c r="A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 t="str">
        <f>_xlfn.CONCAT(Averages!N226,"/",Averages!O226+Averages!N226)</f>
        <v>/0</v>
      </c>
    </row>
    <row r="227" spans="1:8" x14ac:dyDescent="0.2">
      <c r="A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 t="str">
        <f>_xlfn.CONCAT(Averages!N227,"/",Averages!O227+Averages!N227)</f>
        <v>/0</v>
      </c>
    </row>
    <row r="228" spans="1:8" x14ac:dyDescent="0.2">
      <c r="A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 t="str">
        <f>_xlfn.CONCAT(Averages!N228,"/",Averages!O228+Averages!N228)</f>
        <v>/0</v>
      </c>
    </row>
    <row r="229" spans="1:8" x14ac:dyDescent="0.2">
      <c r="A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 t="str">
        <f>_xlfn.CONCAT(Averages!N229,"/",Averages!O229+Averages!N229)</f>
        <v>/0</v>
      </c>
    </row>
    <row r="230" spans="1:8" x14ac:dyDescent="0.2">
      <c r="A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 t="str">
        <f>_xlfn.CONCAT(Averages!N230,"/",Averages!O230+Averages!N230)</f>
        <v>/0</v>
      </c>
    </row>
    <row r="231" spans="1:8" x14ac:dyDescent="0.2">
      <c r="A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 t="str">
        <f>_xlfn.CONCAT(Averages!N231,"/",Averages!O231+Averages!N231)</f>
        <v>/0</v>
      </c>
    </row>
    <row r="232" spans="1:8" x14ac:dyDescent="0.2">
      <c r="A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 t="str">
        <f>_xlfn.CONCAT(Averages!N232,"/",Averages!O232+Averages!N232)</f>
        <v>/0</v>
      </c>
    </row>
    <row r="233" spans="1:8" x14ac:dyDescent="0.2">
      <c r="A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 t="str">
        <f>_xlfn.CONCAT(Averages!N233,"/",Averages!O233+Averages!N233)</f>
        <v>/0</v>
      </c>
    </row>
    <row r="234" spans="1:8" x14ac:dyDescent="0.2">
      <c r="A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 t="str">
        <f>_xlfn.CONCAT(Averages!N234,"/",Averages!O234+Averages!N234)</f>
        <v>/0</v>
      </c>
    </row>
    <row r="235" spans="1:8" x14ac:dyDescent="0.2">
      <c r="A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 t="str">
        <f>_xlfn.CONCAT(Averages!N235,"/",Averages!O235+Averages!N235)</f>
        <v>/0</v>
      </c>
    </row>
    <row r="236" spans="1:8" x14ac:dyDescent="0.2">
      <c r="A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 t="str">
        <f>_xlfn.CONCAT(Averages!N236,"/",Averages!O236+Averages!N236)</f>
        <v>/0</v>
      </c>
    </row>
    <row r="237" spans="1:8" x14ac:dyDescent="0.2">
      <c r="A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 t="str">
        <f>_xlfn.CONCAT(Averages!N237,"/",Averages!O237+Averages!N237)</f>
        <v>/0</v>
      </c>
    </row>
    <row r="238" spans="1:8" x14ac:dyDescent="0.2">
      <c r="A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 t="str">
        <f>_xlfn.CONCAT(Averages!N238,"/",Averages!O238+Averages!N238)</f>
        <v>/0</v>
      </c>
    </row>
    <row r="239" spans="1:8" x14ac:dyDescent="0.2">
      <c r="A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 t="str">
        <f>_xlfn.CONCAT(Averages!N239,"/",Averages!O239+Averages!N239)</f>
        <v>/0</v>
      </c>
    </row>
    <row r="240" spans="1:8" x14ac:dyDescent="0.2">
      <c r="A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 t="str">
        <f>_xlfn.CONCAT(Averages!N240,"/",Averages!O240+Averages!N240)</f>
        <v>/0</v>
      </c>
    </row>
    <row r="241" spans="1:8" x14ac:dyDescent="0.2">
      <c r="A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 t="str">
        <f>_xlfn.CONCAT(Averages!N241,"/",Averages!O241+Averages!N241)</f>
        <v>/0</v>
      </c>
    </row>
    <row r="242" spans="1:8" x14ac:dyDescent="0.2">
      <c r="A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 t="str">
        <f>_xlfn.CONCAT(Averages!N242,"/",Averages!O242+Averages!N242)</f>
        <v>/0</v>
      </c>
    </row>
    <row r="243" spans="1:8" x14ac:dyDescent="0.2">
      <c r="A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 t="str">
        <f>_xlfn.CONCAT(Averages!N243,"/",Averages!O243+Averages!N243)</f>
        <v>/0</v>
      </c>
    </row>
    <row r="244" spans="1:8" x14ac:dyDescent="0.2">
      <c r="A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 t="str">
        <f>_xlfn.CONCAT(Averages!N244,"/",Averages!O244+Averages!N244)</f>
        <v>/0</v>
      </c>
    </row>
    <row r="245" spans="1:8" x14ac:dyDescent="0.2">
      <c r="A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 t="str">
        <f>_xlfn.CONCAT(Averages!N245,"/",Averages!O245+Averages!N245)</f>
        <v>/0</v>
      </c>
    </row>
    <row r="246" spans="1:8" x14ac:dyDescent="0.2">
      <c r="A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 t="str">
        <f>_xlfn.CONCAT(Averages!N246,"/",Averages!O246+Averages!N246)</f>
        <v>/0</v>
      </c>
    </row>
    <row r="247" spans="1:8" x14ac:dyDescent="0.2">
      <c r="A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 t="str">
        <f>_xlfn.CONCAT(Averages!N247,"/",Averages!O247+Averages!N247)</f>
        <v>/0</v>
      </c>
    </row>
    <row r="248" spans="1:8" x14ac:dyDescent="0.2">
      <c r="A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 t="str">
        <f>_xlfn.CONCAT(Averages!N248,"/",Averages!O248+Averages!N248)</f>
        <v>/0</v>
      </c>
    </row>
    <row r="249" spans="1:8" x14ac:dyDescent="0.2">
      <c r="A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 t="str">
        <f>_xlfn.CONCAT(Averages!N249,"/",Averages!O249+Averages!N249)</f>
        <v>/0</v>
      </c>
    </row>
    <row r="250" spans="1:8" x14ac:dyDescent="0.2">
      <c r="A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 t="str">
        <f>_xlfn.CONCAT(Averages!N250,"/",Averages!O250+Averages!N250)</f>
        <v>/0</v>
      </c>
    </row>
    <row r="251" spans="1:8" x14ac:dyDescent="0.2">
      <c r="A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 t="str">
        <f>_xlfn.CONCAT(Averages!N251,"/",Averages!O251+Averages!N251)</f>
        <v>/0</v>
      </c>
    </row>
    <row r="252" spans="1:8" x14ac:dyDescent="0.2">
      <c r="A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 t="str">
        <f>_xlfn.CONCAT(Averages!N252,"/",Averages!O252+Averages!N252)</f>
        <v>/0</v>
      </c>
    </row>
    <row r="253" spans="1:8" x14ac:dyDescent="0.2">
      <c r="A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 t="str">
        <f>_xlfn.CONCAT(Averages!N253,"/",Averages!O253+Averages!N253)</f>
        <v>/0</v>
      </c>
    </row>
    <row r="254" spans="1:8" x14ac:dyDescent="0.2">
      <c r="A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 t="str">
        <f>_xlfn.CONCAT(Averages!N254,"/",Averages!O254+Averages!N254)</f>
        <v>/0</v>
      </c>
    </row>
    <row r="255" spans="1:8" x14ac:dyDescent="0.2">
      <c r="A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 t="str">
        <f>_xlfn.CONCAT(Averages!N255,"/",Averages!O255+Averages!N255)</f>
        <v>/0</v>
      </c>
    </row>
    <row r="256" spans="1:8" x14ac:dyDescent="0.2">
      <c r="A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 t="str">
        <f>_xlfn.CONCAT(Averages!N256,"/",Averages!O256+Averages!N256)</f>
        <v>/0</v>
      </c>
    </row>
    <row r="257" spans="1:8" x14ac:dyDescent="0.2">
      <c r="A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 t="str">
        <f>_xlfn.CONCAT(Averages!N257,"/",Averages!O257+Averages!N257)</f>
        <v>/0</v>
      </c>
    </row>
    <row r="258" spans="1:8" x14ac:dyDescent="0.2">
      <c r="A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 t="str">
        <f>_xlfn.CONCAT(Averages!N258,"/",Averages!O258+Averages!N258)</f>
        <v>/0</v>
      </c>
    </row>
    <row r="259" spans="1:8" x14ac:dyDescent="0.2">
      <c r="A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 t="str">
        <f>_xlfn.CONCAT(Averages!N259,"/",Averages!O259+Averages!N259)</f>
        <v>/0</v>
      </c>
    </row>
    <row r="260" spans="1:8" x14ac:dyDescent="0.2">
      <c r="A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 t="str">
        <f>_xlfn.CONCAT(Averages!N260,"/",Averages!O260+Averages!N260)</f>
        <v>/0</v>
      </c>
    </row>
    <row r="261" spans="1:8" x14ac:dyDescent="0.2">
      <c r="A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 t="str">
        <f>_xlfn.CONCAT(Averages!N261,"/",Averages!O261+Averages!N261)</f>
        <v>/0</v>
      </c>
    </row>
    <row r="262" spans="1:8" x14ac:dyDescent="0.2">
      <c r="A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 t="str">
        <f>_xlfn.CONCAT(Averages!N262,"/",Averages!O262+Averages!N262)</f>
        <v>/0</v>
      </c>
    </row>
    <row r="263" spans="1:8" x14ac:dyDescent="0.2">
      <c r="A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 t="str">
        <f>_xlfn.CONCAT(Averages!N263,"/",Averages!O263+Averages!N263)</f>
        <v>/0</v>
      </c>
    </row>
    <row r="264" spans="1:8" x14ac:dyDescent="0.2">
      <c r="A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 t="str">
        <f>_xlfn.CONCAT(Averages!N264,"/",Averages!O264+Averages!N264)</f>
        <v>/0</v>
      </c>
    </row>
    <row r="265" spans="1:8" x14ac:dyDescent="0.2">
      <c r="A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 t="str">
        <f>_xlfn.CONCAT(Averages!N265,"/",Averages!O265+Averages!N265)</f>
        <v>/0</v>
      </c>
    </row>
    <row r="266" spans="1:8" x14ac:dyDescent="0.2">
      <c r="A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 t="str">
        <f>_xlfn.CONCAT(Averages!N266,"/",Averages!O266+Averages!N266)</f>
        <v>/0</v>
      </c>
    </row>
    <row r="267" spans="1:8" x14ac:dyDescent="0.2">
      <c r="A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 t="str">
        <f>_xlfn.CONCAT(Averages!N267,"/",Averages!O267+Averages!N267)</f>
        <v>/0</v>
      </c>
    </row>
    <row r="268" spans="1:8" x14ac:dyDescent="0.2">
      <c r="A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 t="str">
        <f>_xlfn.CONCAT(Averages!N268,"/",Averages!O268+Averages!N268)</f>
        <v>/0</v>
      </c>
    </row>
    <row r="269" spans="1:8" x14ac:dyDescent="0.2">
      <c r="A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 t="str">
        <f>_xlfn.CONCAT(Averages!N269,"/",Averages!O269+Averages!N269)</f>
        <v>/0</v>
      </c>
    </row>
    <row r="270" spans="1:8" x14ac:dyDescent="0.2">
      <c r="A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 t="str">
        <f>_xlfn.CONCAT(Averages!N270,"/",Averages!O270+Averages!N270)</f>
        <v>/0</v>
      </c>
    </row>
    <row r="271" spans="1:8" x14ac:dyDescent="0.2">
      <c r="A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 t="str">
        <f>_xlfn.CONCAT(Averages!N271,"/",Averages!O271+Averages!N271)</f>
        <v>/0</v>
      </c>
    </row>
    <row r="272" spans="1:8" x14ac:dyDescent="0.2">
      <c r="A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 t="str">
        <f>_xlfn.CONCAT(Averages!N272,"/",Averages!O272+Averages!N272)</f>
        <v>/0</v>
      </c>
    </row>
    <row r="273" spans="1:8" x14ac:dyDescent="0.2">
      <c r="A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 t="str">
        <f>_xlfn.CONCAT(Averages!N273,"/",Averages!O273+Averages!N273)</f>
        <v>/0</v>
      </c>
    </row>
    <row r="274" spans="1:8" x14ac:dyDescent="0.2">
      <c r="A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 t="str">
        <f>_xlfn.CONCAT(Averages!N274,"/",Averages!O274+Averages!N274)</f>
        <v>/0</v>
      </c>
    </row>
    <row r="275" spans="1:8" x14ac:dyDescent="0.2">
      <c r="A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 t="str">
        <f>_xlfn.CONCAT(Averages!N275,"/",Averages!O275+Averages!N275)</f>
        <v>/0</v>
      </c>
    </row>
    <row r="276" spans="1:8" x14ac:dyDescent="0.2">
      <c r="A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 t="str">
        <f>_xlfn.CONCAT(Averages!N276,"/",Averages!O276+Averages!N276)</f>
        <v>/0</v>
      </c>
    </row>
    <row r="277" spans="1:8" x14ac:dyDescent="0.2">
      <c r="A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 t="str">
        <f>_xlfn.CONCAT(Averages!N277,"/",Averages!O277+Averages!N277)</f>
        <v>/0</v>
      </c>
    </row>
    <row r="278" spans="1:8" x14ac:dyDescent="0.2">
      <c r="A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 t="str">
        <f>_xlfn.CONCAT(Averages!N278,"/",Averages!O278+Averages!N278)</f>
        <v>/0</v>
      </c>
    </row>
    <row r="279" spans="1:8" x14ac:dyDescent="0.2">
      <c r="A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 t="str">
        <f>_xlfn.CONCAT(Averages!N279,"/",Averages!O279+Averages!N279)</f>
        <v>/0</v>
      </c>
    </row>
    <row r="280" spans="1:8" x14ac:dyDescent="0.2">
      <c r="A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 t="str">
        <f>_xlfn.CONCAT(Averages!N280,"/",Averages!O280+Averages!N280)</f>
        <v>/0</v>
      </c>
    </row>
    <row r="281" spans="1:8" x14ac:dyDescent="0.2">
      <c r="A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 t="str">
        <f>_xlfn.CONCAT(Averages!N281,"/",Averages!O281+Averages!N281)</f>
        <v>/0</v>
      </c>
    </row>
    <row r="282" spans="1:8" x14ac:dyDescent="0.2">
      <c r="A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 t="str">
        <f>_xlfn.CONCAT(Averages!N282,"/",Averages!O282+Averages!N282)</f>
        <v>/0</v>
      </c>
    </row>
    <row r="283" spans="1:8" x14ac:dyDescent="0.2">
      <c r="A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 t="str">
        <f>_xlfn.CONCAT(Averages!N283,"/",Averages!O283+Averages!N283)</f>
        <v>/0</v>
      </c>
    </row>
    <row r="284" spans="1:8" x14ac:dyDescent="0.2">
      <c r="A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 t="str">
        <f>_xlfn.CONCAT(Averages!N284,"/",Averages!O284+Averages!N284)</f>
        <v>/0</v>
      </c>
    </row>
    <row r="285" spans="1:8" x14ac:dyDescent="0.2">
      <c r="A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 t="str">
        <f>_xlfn.CONCAT(Averages!N285,"/",Averages!O285+Averages!N285)</f>
        <v>/0</v>
      </c>
    </row>
    <row r="286" spans="1:8" x14ac:dyDescent="0.2">
      <c r="A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 t="str">
        <f>_xlfn.CONCAT(Averages!N286,"/",Averages!O286+Averages!N286)</f>
        <v>/0</v>
      </c>
    </row>
    <row r="287" spans="1:8" x14ac:dyDescent="0.2">
      <c r="A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 t="str">
        <f>_xlfn.CONCAT(Averages!N287,"/",Averages!O287+Averages!N287)</f>
        <v>/0</v>
      </c>
    </row>
    <row r="288" spans="1:8" x14ac:dyDescent="0.2">
      <c r="A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 t="str">
        <f>_xlfn.CONCAT(Averages!N288,"/",Averages!O288+Averages!N288)</f>
        <v>/0</v>
      </c>
    </row>
    <row r="289" spans="1:8" x14ac:dyDescent="0.2">
      <c r="A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 t="str">
        <f>_xlfn.CONCAT(Averages!N289,"/",Averages!O289+Averages!N289)</f>
        <v>/0</v>
      </c>
    </row>
    <row r="290" spans="1:8" x14ac:dyDescent="0.2">
      <c r="A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 t="str">
        <f>_xlfn.CONCAT(Averages!N290,"/",Averages!O290+Averages!N290)</f>
        <v>/0</v>
      </c>
    </row>
    <row r="291" spans="1:8" x14ac:dyDescent="0.2">
      <c r="A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 t="str">
        <f>_xlfn.CONCAT(Averages!N291,"/",Averages!O291+Averages!N291)</f>
        <v>/0</v>
      </c>
    </row>
    <row r="292" spans="1:8" x14ac:dyDescent="0.2">
      <c r="A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 t="str">
        <f>_xlfn.CONCAT(Averages!N292,"/",Averages!O292+Averages!N292)</f>
        <v>/0</v>
      </c>
    </row>
    <row r="293" spans="1:8" x14ac:dyDescent="0.2">
      <c r="A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 t="str">
        <f>_xlfn.CONCAT(Averages!N293,"/",Averages!O293+Averages!N293)</f>
        <v>/0</v>
      </c>
    </row>
    <row r="294" spans="1:8" x14ac:dyDescent="0.2">
      <c r="A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 t="str">
        <f>_xlfn.CONCAT(Averages!N294,"/",Averages!O294+Averages!N294)</f>
        <v>/0</v>
      </c>
    </row>
    <row r="295" spans="1:8" x14ac:dyDescent="0.2">
      <c r="A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 t="str">
        <f>_xlfn.CONCAT(Averages!N295,"/",Averages!O295+Averages!N295)</f>
        <v>/0</v>
      </c>
    </row>
    <row r="296" spans="1:8" x14ac:dyDescent="0.2">
      <c r="A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 t="str">
        <f>_xlfn.CONCAT(Averages!N296,"/",Averages!O296+Averages!N296)</f>
        <v>/0</v>
      </c>
    </row>
    <row r="297" spans="1:8" x14ac:dyDescent="0.2">
      <c r="A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 t="str">
        <f>_xlfn.CONCAT(Averages!N297,"/",Averages!O297+Averages!N297)</f>
        <v>/0</v>
      </c>
    </row>
    <row r="298" spans="1:8" x14ac:dyDescent="0.2">
      <c r="A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 t="str">
        <f>_xlfn.CONCAT(Averages!N298,"/",Averages!O298+Averages!N298)</f>
        <v>/0</v>
      </c>
    </row>
    <row r="299" spans="1:8" x14ac:dyDescent="0.2">
      <c r="A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 t="str">
        <f>_xlfn.CONCAT(Averages!N299,"/",Averages!O299+Averages!N299)</f>
        <v>/0</v>
      </c>
    </row>
    <row r="300" spans="1:8" x14ac:dyDescent="0.2">
      <c r="A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 t="str">
        <f>_xlfn.CONCAT(Averages!N300,"/",Averages!O300+Averages!N300)</f>
        <v>/0</v>
      </c>
    </row>
    <row r="301" spans="1:8" x14ac:dyDescent="0.2">
      <c r="A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 t="str">
        <f>_xlfn.CONCAT(Averages!N301,"/",Averages!O301+Averages!N301)</f>
        <v>/0</v>
      </c>
    </row>
    <row r="302" spans="1:8" x14ac:dyDescent="0.2">
      <c r="A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 t="str">
        <f>_xlfn.CONCAT(Averages!N302,"/",Averages!O302+Averages!N302)</f>
        <v>/0</v>
      </c>
    </row>
    <row r="303" spans="1:8" x14ac:dyDescent="0.2">
      <c r="A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 t="str">
        <f>_xlfn.CONCAT(Averages!N303,"/",Averages!O303+Averages!N303)</f>
        <v>/0</v>
      </c>
    </row>
    <row r="304" spans="1:8" x14ac:dyDescent="0.2">
      <c r="A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 t="str">
        <f>_xlfn.CONCAT(Averages!N304,"/",Averages!O304+Averages!N304)</f>
        <v>/0</v>
      </c>
    </row>
    <row r="305" spans="1:8" x14ac:dyDescent="0.2">
      <c r="A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 t="str">
        <f>_xlfn.CONCAT(Averages!N305,"/",Averages!O305+Averages!N305)</f>
        <v>/0</v>
      </c>
    </row>
    <row r="306" spans="1:8" x14ac:dyDescent="0.2">
      <c r="A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 t="str">
        <f>_xlfn.CONCAT(Averages!N306,"/",Averages!O306+Averages!N306)</f>
        <v>/0</v>
      </c>
    </row>
    <row r="307" spans="1:8" x14ac:dyDescent="0.2">
      <c r="A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 t="str">
        <f>_xlfn.CONCAT(Averages!N307,"/",Averages!O307+Averages!N307)</f>
        <v>/0</v>
      </c>
    </row>
    <row r="308" spans="1:8" x14ac:dyDescent="0.2">
      <c r="A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 t="str">
        <f>_xlfn.CONCAT(Averages!N308,"/",Averages!O308+Averages!N308)</f>
        <v>/0</v>
      </c>
    </row>
    <row r="309" spans="1:8" x14ac:dyDescent="0.2">
      <c r="A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 t="str">
        <f>_xlfn.CONCAT(Averages!N309,"/",Averages!O309+Averages!N309)</f>
        <v>/0</v>
      </c>
    </row>
    <row r="310" spans="1:8" x14ac:dyDescent="0.2">
      <c r="A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 t="str">
        <f>_xlfn.CONCAT(Averages!N310,"/",Averages!O310+Averages!N310)</f>
        <v>/0</v>
      </c>
    </row>
    <row r="311" spans="1:8" x14ac:dyDescent="0.2">
      <c r="A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 t="str">
        <f>_xlfn.CONCAT(Averages!N311,"/",Averages!O311+Averages!N311)</f>
        <v>/0</v>
      </c>
    </row>
    <row r="312" spans="1:8" x14ac:dyDescent="0.2">
      <c r="A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 t="str">
        <f>_xlfn.CONCAT(Averages!N312,"/",Averages!O312+Averages!N312)</f>
        <v>/0</v>
      </c>
    </row>
    <row r="313" spans="1:8" x14ac:dyDescent="0.2">
      <c r="A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 t="str">
        <f>_xlfn.CONCAT(Averages!N313,"/",Averages!O313+Averages!N313)</f>
        <v>/0</v>
      </c>
    </row>
    <row r="314" spans="1:8" x14ac:dyDescent="0.2">
      <c r="A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 t="str">
        <f>_xlfn.CONCAT(Averages!N314,"/",Averages!O314+Averages!N314)</f>
        <v>/0</v>
      </c>
    </row>
    <row r="315" spans="1:8" x14ac:dyDescent="0.2">
      <c r="A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 t="str">
        <f>_xlfn.CONCAT(Averages!N315,"/",Averages!O315+Averages!N315)</f>
        <v>/0</v>
      </c>
    </row>
    <row r="316" spans="1:8" x14ac:dyDescent="0.2">
      <c r="A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 t="str">
        <f>_xlfn.CONCAT(Averages!N316,"/",Averages!O316+Averages!N316)</f>
        <v>/0</v>
      </c>
    </row>
    <row r="317" spans="1:8" x14ac:dyDescent="0.2">
      <c r="A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 t="str">
        <f>_xlfn.CONCAT(Averages!N317,"/",Averages!O317+Averages!N317)</f>
        <v>/0</v>
      </c>
    </row>
    <row r="318" spans="1:8" x14ac:dyDescent="0.2">
      <c r="A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 t="str">
        <f>_xlfn.CONCAT(Averages!N318,"/",Averages!O318+Averages!N318)</f>
        <v>/0</v>
      </c>
    </row>
    <row r="319" spans="1:8" x14ac:dyDescent="0.2">
      <c r="A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 t="str">
        <f>_xlfn.CONCAT(Averages!N319,"/",Averages!O319+Averages!N319)</f>
        <v>/0</v>
      </c>
    </row>
    <row r="320" spans="1:8" x14ac:dyDescent="0.2">
      <c r="A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 t="str">
        <f>_xlfn.CONCAT(Averages!N320,"/",Averages!O320+Averages!N320)</f>
        <v>/0</v>
      </c>
    </row>
    <row r="321" spans="1:8" x14ac:dyDescent="0.2">
      <c r="A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 t="str">
        <f>_xlfn.CONCAT(Averages!N321,"/",Averages!O321+Averages!N321)</f>
        <v>/0</v>
      </c>
    </row>
    <row r="322" spans="1:8" x14ac:dyDescent="0.2">
      <c r="A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 t="str">
        <f>_xlfn.CONCAT(Averages!N322,"/",Averages!O322+Averages!N322)</f>
        <v>/0</v>
      </c>
    </row>
    <row r="323" spans="1:8" x14ac:dyDescent="0.2">
      <c r="A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 t="str">
        <f>_xlfn.CONCAT(Averages!N323,"/",Averages!O323+Averages!N323)</f>
        <v>/0</v>
      </c>
    </row>
    <row r="324" spans="1:8" x14ac:dyDescent="0.2">
      <c r="A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 t="str">
        <f>_xlfn.CONCAT(Averages!N324,"/",Averages!O324+Averages!N324)</f>
        <v>/0</v>
      </c>
    </row>
    <row r="325" spans="1:8" x14ac:dyDescent="0.2">
      <c r="A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 t="str">
        <f>_xlfn.CONCAT(Averages!N325,"/",Averages!O325+Averages!N325)</f>
        <v>/0</v>
      </c>
    </row>
    <row r="326" spans="1:8" x14ac:dyDescent="0.2">
      <c r="A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 t="str">
        <f>_xlfn.CONCAT(Averages!N326,"/",Averages!O326+Averages!N326)</f>
        <v>/0</v>
      </c>
    </row>
    <row r="327" spans="1:8" x14ac:dyDescent="0.2">
      <c r="A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 t="str">
        <f>_xlfn.CONCAT(Averages!N327,"/",Averages!O327+Averages!N327)</f>
        <v>/0</v>
      </c>
    </row>
    <row r="328" spans="1:8" x14ac:dyDescent="0.2">
      <c r="A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 t="str">
        <f>_xlfn.CONCAT(Averages!N328,"/",Averages!O328+Averages!N328)</f>
        <v>/0</v>
      </c>
    </row>
    <row r="329" spans="1:8" x14ac:dyDescent="0.2">
      <c r="A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 t="str">
        <f>_xlfn.CONCAT(Averages!N329,"/",Averages!O329+Averages!N329)</f>
        <v>/0</v>
      </c>
    </row>
    <row r="330" spans="1:8" x14ac:dyDescent="0.2">
      <c r="A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 t="str">
        <f>_xlfn.CONCAT(Averages!N330,"/",Averages!O330+Averages!N330)</f>
        <v>/0</v>
      </c>
    </row>
    <row r="331" spans="1:8" x14ac:dyDescent="0.2">
      <c r="A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 t="str">
        <f>_xlfn.CONCAT(Averages!N331,"/",Averages!O331+Averages!N331)</f>
        <v>/0</v>
      </c>
    </row>
    <row r="332" spans="1:8" x14ac:dyDescent="0.2">
      <c r="A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 t="str">
        <f>_xlfn.CONCAT(Averages!N332,"/",Averages!O332+Averages!N332)</f>
        <v>/0</v>
      </c>
    </row>
    <row r="333" spans="1:8" x14ac:dyDescent="0.2">
      <c r="A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 t="str">
        <f>_xlfn.CONCAT(Averages!N333,"/",Averages!O333+Averages!N333)</f>
        <v>/0</v>
      </c>
    </row>
    <row r="334" spans="1:8" x14ac:dyDescent="0.2">
      <c r="A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 t="str">
        <f>_xlfn.CONCAT(Averages!N334,"/",Averages!O334+Averages!N334)</f>
        <v>/0</v>
      </c>
    </row>
    <row r="335" spans="1:8" x14ac:dyDescent="0.2">
      <c r="A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 t="str">
        <f>_xlfn.CONCAT(Averages!N335,"/",Averages!O335+Averages!N335)</f>
        <v>/0</v>
      </c>
    </row>
    <row r="336" spans="1:8" x14ac:dyDescent="0.2">
      <c r="A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 t="str">
        <f>_xlfn.CONCAT(Averages!N336,"/",Averages!O336+Averages!N336)</f>
        <v>/0</v>
      </c>
    </row>
    <row r="337" spans="1:8" x14ac:dyDescent="0.2">
      <c r="A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 t="str">
        <f>_xlfn.CONCAT(Averages!N337,"/",Averages!O337+Averages!N337)</f>
        <v>/0</v>
      </c>
    </row>
    <row r="338" spans="1:8" x14ac:dyDescent="0.2">
      <c r="A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 t="str">
        <f>_xlfn.CONCAT(Averages!N338,"/",Averages!O338+Averages!N338)</f>
        <v>/0</v>
      </c>
    </row>
    <row r="339" spans="1:8" x14ac:dyDescent="0.2">
      <c r="A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 t="str">
        <f>_xlfn.CONCAT(Averages!N339,"/",Averages!O339+Averages!N339)</f>
        <v>/0</v>
      </c>
    </row>
    <row r="340" spans="1:8" x14ac:dyDescent="0.2">
      <c r="A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 t="str">
        <f>_xlfn.CONCAT(Averages!N340,"/",Averages!O340+Averages!N340)</f>
        <v>/0</v>
      </c>
    </row>
    <row r="341" spans="1:8" x14ac:dyDescent="0.2">
      <c r="A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 t="str">
        <f>_xlfn.CONCAT(Averages!N341,"/",Averages!O341+Averages!N341)</f>
        <v>/0</v>
      </c>
    </row>
    <row r="342" spans="1:8" x14ac:dyDescent="0.2">
      <c r="A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 t="str">
        <f>_xlfn.CONCAT(Averages!N342,"/",Averages!O342+Averages!N342)</f>
        <v>/0</v>
      </c>
    </row>
    <row r="343" spans="1:8" x14ac:dyDescent="0.2">
      <c r="A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 t="str">
        <f>_xlfn.CONCAT(Averages!N343,"/",Averages!O343+Averages!N343)</f>
        <v>/0</v>
      </c>
    </row>
    <row r="344" spans="1:8" x14ac:dyDescent="0.2">
      <c r="A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 t="str">
        <f>_xlfn.CONCAT(Averages!N344,"/",Averages!O344+Averages!N344)</f>
        <v>/0</v>
      </c>
    </row>
    <row r="345" spans="1:8" x14ac:dyDescent="0.2">
      <c r="A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 t="str">
        <f>_xlfn.CONCAT(Averages!N345,"/",Averages!O345+Averages!N345)</f>
        <v>/0</v>
      </c>
    </row>
    <row r="346" spans="1:8" x14ac:dyDescent="0.2">
      <c r="A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 t="str">
        <f>_xlfn.CONCAT(Averages!N346,"/",Averages!O346+Averages!N346)</f>
        <v>/0</v>
      </c>
    </row>
    <row r="347" spans="1:8" x14ac:dyDescent="0.2">
      <c r="A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 t="str">
        <f>_xlfn.CONCAT(Averages!N347,"/",Averages!O347+Averages!N347)</f>
        <v>/0</v>
      </c>
    </row>
    <row r="348" spans="1:8" x14ac:dyDescent="0.2">
      <c r="A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 t="str">
        <f>_xlfn.CONCAT(Averages!N348,"/",Averages!O348+Averages!N348)</f>
        <v>/0</v>
      </c>
    </row>
    <row r="349" spans="1:8" x14ac:dyDescent="0.2">
      <c r="A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 t="str">
        <f>_xlfn.CONCAT(Averages!N349,"/",Averages!O349+Averages!N349)</f>
        <v>/0</v>
      </c>
    </row>
    <row r="350" spans="1:8" x14ac:dyDescent="0.2">
      <c r="A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 t="str">
        <f>_xlfn.CONCAT(Averages!N350,"/",Averages!O350+Averages!N350)</f>
        <v>/0</v>
      </c>
    </row>
    <row r="351" spans="1:8" x14ac:dyDescent="0.2">
      <c r="A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 t="str">
        <f>_xlfn.CONCAT(Averages!N351,"/",Averages!O351+Averages!N351)</f>
        <v>/0</v>
      </c>
    </row>
    <row r="352" spans="1:8" x14ac:dyDescent="0.2">
      <c r="A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 t="str">
        <f>_xlfn.CONCAT(Averages!N352,"/",Averages!O352+Averages!N352)</f>
        <v>/0</v>
      </c>
    </row>
    <row r="353" spans="1:8" x14ac:dyDescent="0.2">
      <c r="A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 t="str">
        <f>_xlfn.CONCAT(Averages!N353,"/",Averages!O353+Averages!N353)</f>
        <v>/0</v>
      </c>
    </row>
    <row r="354" spans="1:8" x14ac:dyDescent="0.2">
      <c r="A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 t="str">
        <f>_xlfn.CONCAT(Averages!N354,"/",Averages!O354+Averages!N354)</f>
        <v>/0</v>
      </c>
    </row>
    <row r="355" spans="1:8" x14ac:dyDescent="0.2">
      <c r="A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 t="str">
        <f>_xlfn.CONCAT(Averages!N355,"/",Averages!O355+Averages!N355)</f>
        <v>/0</v>
      </c>
    </row>
    <row r="356" spans="1:8" x14ac:dyDescent="0.2">
      <c r="A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 t="str">
        <f>_xlfn.CONCAT(Averages!N356,"/",Averages!O356+Averages!N356)</f>
        <v>/0</v>
      </c>
    </row>
    <row r="357" spans="1:8" x14ac:dyDescent="0.2">
      <c r="A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 t="str">
        <f>_xlfn.CONCAT(Averages!N357,"/",Averages!O357+Averages!N357)</f>
        <v>/0</v>
      </c>
    </row>
    <row r="358" spans="1:8" x14ac:dyDescent="0.2">
      <c r="A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 t="str">
        <f>_xlfn.CONCAT(Averages!N358,"/",Averages!O358+Averages!N358)</f>
        <v>/0</v>
      </c>
    </row>
    <row r="359" spans="1:8" x14ac:dyDescent="0.2">
      <c r="A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 t="str">
        <f>_xlfn.CONCAT(Averages!N359,"/",Averages!O359+Averages!N359)</f>
        <v>/0</v>
      </c>
    </row>
    <row r="360" spans="1:8" x14ac:dyDescent="0.2">
      <c r="A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 t="str">
        <f>_xlfn.CONCAT(Averages!N360,"/",Averages!O360+Averages!N360)</f>
        <v>/0</v>
      </c>
    </row>
    <row r="361" spans="1:8" x14ac:dyDescent="0.2">
      <c r="A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 t="str">
        <f>_xlfn.CONCAT(Averages!N361,"/",Averages!O361+Averages!N361)</f>
        <v>/0</v>
      </c>
    </row>
    <row r="362" spans="1:8" x14ac:dyDescent="0.2">
      <c r="A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 t="str">
        <f>_xlfn.CONCAT(Averages!N362,"/",Averages!O362+Averages!N362)</f>
        <v>/0</v>
      </c>
    </row>
    <row r="363" spans="1:8" x14ac:dyDescent="0.2">
      <c r="A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 t="str">
        <f>_xlfn.CONCAT(Averages!N363,"/",Averages!O363+Averages!N363)</f>
        <v>/0</v>
      </c>
    </row>
    <row r="364" spans="1:8" x14ac:dyDescent="0.2">
      <c r="A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 t="str">
        <f>_xlfn.CONCAT(Averages!N364,"/",Averages!O364+Averages!N364)</f>
        <v>/0</v>
      </c>
    </row>
    <row r="365" spans="1:8" x14ac:dyDescent="0.2">
      <c r="A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 t="str">
        <f>_xlfn.CONCAT(Averages!N365,"/",Averages!O365+Averages!N365)</f>
        <v>/0</v>
      </c>
    </row>
    <row r="366" spans="1:8" x14ac:dyDescent="0.2">
      <c r="A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 t="str">
        <f>_xlfn.CONCAT(Averages!N366,"/",Averages!O366+Averages!N366)</f>
        <v>/0</v>
      </c>
    </row>
    <row r="367" spans="1:8" x14ac:dyDescent="0.2">
      <c r="A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 t="str">
        <f>_xlfn.CONCAT(Averages!N367,"/",Averages!O367+Averages!N367)</f>
        <v>/0</v>
      </c>
    </row>
    <row r="368" spans="1:8" x14ac:dyDescent="0.2">
      <c r="A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 t="str">
        <f>_xlfn.CONCAT(Averages!N368,"/",Averages!O368+Averages!N368)</f>
        <v>/0</v>
      </c>
    </row>
    <row r="369" spans="1:8" x14ac:dyDescent="0.2">
      <c r="A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 t="str">
        <f>_xlfn.CONCAT(Averages!N369,"/",Averages!O369+Averages!N369)</f>
        <v>/0</v>
      </c>
    </row>
    <row r="370" spans="1:8" x14ac:dyDescent="0.2">
      <c r="A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 t="str">
        <f>_xlfn.CONCAT(Averages!N370,"/",Averages!O370+Averages!N370)</f>
        <v>/0</v>
      </c>
    </row>
    <row r="371" spans="1:8" x14ac:dyDescent="0.2">
      <c r="A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 t="str">
        <f>_xlfn.CONCAT(Averages!N371,"/",Averages!O371+Averages!N371)</f>
        <v>/0</v>
      </c>
    </row>
    <row r="372" spans="1:8" x14ac:dyDescent="0.2">
      <c r="A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 t="str">
        <f>_xlfn.CONCAT(Averages!N372,"/",Averages!O372+Averages!N372)</f>
        <v>/0</v>
      </c>
    </row>
    <row r="373" spans="1:8" x14ac:dyDescent="0.2">
      <c r="A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 t="str">
        <f>_xlfn.CONCAT(Averages!N373,"/",Averages!O373+Averages!N373)</f>
        <v>/0</v>
      </c>
    </row>
    <row r="374" spans="1:8" x14ac:dyDescent="0.2">
      <c r="A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 t="str">
        <f>_xlfn.CONCAT(Averages!N374,"/",Averages!O374+Averages!N374)</f>
        <v>/0</v>
      </c>
    </row>
    <row r="375" spans="1:8" x14ac:dyDescent="0.2">
      <c r="A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 t="str">
        <f>_xlfn.CONCAT(Averages!N375,"/",Averages!O375+Averages!N375)</f>
        <v>/0</v>
      </c>
    </row>
    <row r="376" spans="1:8" x14ac:dyDescent="0.2">
      <c r="A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 t="str">
        <f>_xlfn.CONCAT(Averages!N376,"/",Averages!O376+Averages!N376)</f>
        <v>/0</v>
      </c>
    </row>
    <row r="377" spans="1:8" x14ac:dyDescent="0.2">
      <c r="A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 t="str">
        <f>_xlfn.CONCAT(Averages!N377,"/",Averages!O377+Averages!N377)</f>
        <v>/0</v>
      </c>
    </row>
    <row r="378" spans="1:8" x14ac:dyDescent="0.2">
      <c r="A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 t="str">
        <f>_xlfn.CONCAT(Averages!N378,"/",Averages!O378+Averages!N378)</f>
        <v>/0</v>
      </c>
    </row>
    <row r="379" spans="1:8" x14ac:dyDescent="0.2">
      <c r="A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 t="str">
        <f>_xlfn.CONCAT(Averages!N379,"/",Averages!O379+Averages!N379)</f>
        <v>/0</v>
      </c>
    </row>
    <row r="380" spans="1:8" x14ac:dyDescent="0.2">
      <c r="A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 t="str">
        <f>_xlfn.CONCAT(Averages!N380,"/",Averages!O380+Averages!N380)</f>
        <v>/0</v>
      </c>
    </row>
    <row r="381" spans="1:8" x14ac:dyDescent="0.2">
      <c r="A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 t="str">
        <f>_xlfn.CONCAT(Averages!N381,"/",Averages!O381+Averages!N381)</f>
        <v>/0</v>
      </c>
    </row>
    <row r="382" spans="1:8" x14ac:dyDescent="0.2">
      <c r="A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 t="str">
        <f>_xlfn.CONCAT(Averages!N382,"/",Averages!O382+Averages!N382)</f>
        <v>/0</v>
      </c>
    </row>
    <row r="383" spans="1:8" x14ac:dyDescent="0.2">
      <c r="A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 t="str">
        <f>_xlfn.CONCAT(Averages!N383,"/",Averages!O383+Averages!N383)</f>
        <v>/0</v>
      </c>
    </row>
    <row r="384" spans="1:8" x14ac:dyDescent="0.2">
      <c r="A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 t="str">
        <f>_xlfn.CONCAT(Averages!N384,"/",Averages!O384+Averages!N384)</f>
        <v>/0</v>
      </c>
    </row>
    <row r="385" spans="1:8" x14ac:dyDescent="0.2">
      <c r="A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 t="str">
        <f>_xlfn.CONCAT(Averages!N385,"/",Averages!O385+Averages!N385)</f>
        <v>/0</v>
      </c>
    </row>
    <row r="386" spans="1:8" x14ac:dyDescent="0.2">
      <c r="A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 t="str">
        <f>_xlfn.CONCAT(Averages!N386,"/",Averages!O386+Averages!N386)</f>
        <v>/0</v>
      </c>
    </row>
    <row r="387" spans="1:8" x14ac:dyDescent="0.2">
      <c r="A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 t="str">
        <f>_xlfn.CONCAT(Averages!N387,"/",Averages!O387+Averages!N387)</f>
        <v>/0</v>
      </c>
    </row>
    <row r="388" spans="1:8" x14ac:dyDescent="0.2">
      <c r="A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 t="str">
        <f>_xlfn.CONCAT(Averages!N388,"/",Averages!O388+Averages!N388)</f>
        <v>/0</v>
      </c>
    </row>
    <row r="389" spans="1:8" x14ac:dyDescent="0.2">
      <c r="A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 t="str">
        <f>_xlfn.CONCAT(Averages!N389,"/",Averages!O389+Averages!N389)</f>
        <v>/0</v>
      </c>
    </row>
    <row r="390" spans="1:8" x14ac:dyDescent="0.2">
      <c r="A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 t="str">
        <f>_xlfn.CONCAT(Averages!N390,"/",Averages!O390+Averages!N390)</f>
        <v>/0</v>
      </c>
    </row>
    <row r="391" spans="1:8" x14ac:dyDescent="0.2">
      <c r="A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 t="str">
        <f>_xlfn.CONCAT(Averages!N391,"/",Averages!O391+Averages!N391)</f>
        <v>/0</v>
      </c>
    </row>
    <row r="392" spans="1:8" x14ac:dyDescent="0.2">
      <c r="A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 t="str">
        <f>_xlfn.CONCAT(Averages!N392,"/",Averages!O392+Averages!N392)</f>
        <v>/0</v>
      </c>
    </row>
    <row r="393" spans="1:8" x14ac:dyDescent="0.2">
      <c r="A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 t="str">
        <f>_xlfn.CONCAT(Averages!N393,"/",Averages!O393+Averages!N393)</f>
        <v>/0</v>
      </c>
    </row>
    <row r="394" spans="1:8" x14ac:dyDescent="0.2">
      <c r="A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 t="str">
        <f>_xlfn.CONCAT(Averages!N394,"/",Averages!O394+Averages!N394)</f>
        <v>/0</v>
      </c>
    </row>
    <row r="395" spans="1:8" x14ac:dyDescent="0.2">
      <c r="A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 t="str">
        <f>_xlfn.CONCAT(Averages!N395,"/",Averages!O395+Averages!N395)</f>
        <v>/0</v>
      </c>
    </row>
    <row r="396" spans="1:8" x14ac:dyDescent="0.2">
      <c r="A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 t="str">
        <f>_xlfn.CONCAT(Averages!N396,"/",Averages!O396+Averages!N396)</f>
        <v>/0</v>
      </c>
    </row>
    <row r="397" spans="1:8" x14ac:dyDescent="0.2">
      <c r="A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 t="str">
        <f>_xlfn.CONCAT(Averages!N397,"/",Averages!O397+Averages!N397)</f>
        <v>/0</v>
      </c>
    </row>
    <row r="398" spans="1:8" x14ac:dyDescent="0.2">
      <c r="A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 t="str">
        <f>_xlfn.CONCAT(Averages!N398,"/",Averages!O398+Averages!N398)</f>
        <v>/0</v>
      </c>
    </row>
    <row r="399" spans="1:8" x14ac:dyDescent="0.2">
      <c r="A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 t="str">
        <f>_xlfn.CONCAT(Averages!N399,"/",Averages!O399+Averages!N399)</f>
        <v>/0</v>
      </c>
    </row>
    <row r="400" spans="1:8" x14ac:dyDescent="0.2">
      <c r="A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 t="str">
        <f>_xlfn.CONCAT(Averages!N400,"/",Averages!O400+Averages!N400)</f>
        <v>/0</v>
      </c>
    </row>
    <row r="401" spans="1:8" x14ac:dyDescent="0.2">
      <c r="A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 t="str">
        <f>_xlfn.CONCAT(Averages!N401,"/",Averages!O401+Averages!N401)</f>
        <v>/0</v>
      </c>
    </row>
    <row r="402" spans="1:8" x14ac:dyDescent="0.2">
      <c r="A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 t="str">
        <f>_xlfn.CONCAT(Averages!N402,"/",Averages!O402+Averages!N402)</f>
        <v>/0</v>
      </c>
    </row>
    <row r="403" spans="1:8" x14ac:dyDescent="0.2">
      <c r="A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 t="str">
        <f>_xlfn.CONCAT(Averages!N403,"/",Averages!O403+Averages!N403)</f>
        <v>/0</v>
      </c>
    </row>
    <row r="404" spans="1:8" x14ac:dyDescent="0.2">
      <c r="A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 t="str">
        <f>_xlfn.CONCAT(Averages!N404,"/",Averages!O404+Averages!N404)</f>
        <v>/0</v>
      </c>
    </row>
    <row r="405" spans="1:8" x14ac:dyDescent="0.2">
      <c r="A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 t="str">
        <f>_xlfn.CONCAT(Averages!N405,"/",Averages!O405+Averages!N405)</f>
        <v>/0</v>
      </c>
    </row>
    <row r="406" spans="1:8" x14ac:dyDescent="0.2">
      <c r="A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 t="str">
        <f>_xlfn.CONCAT(Averages!N406,"/",Averages!O406+Averages!N406)</f>
        <v>/0</v>
      </c>
    </row>
    <row r="407" spans="1:8" x14ac:dyDescent="0.2">
      <c r="A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 t="str">
        <f>_xlfn.CONCAT(Averages!N407,"/",Averages!O407+Averages!N407)</f>
        <v>/0</v>
      </c>
    </row>
    <row r="408" spans="1:8" x14ac:dyDescent="0.2">
      <c r="A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 t="str">
        <f>_xlfn.CONCAT(Averages!N408,"/",Averages!O408+Averages!N408)</f>
        <v>/0</v>
      </c>
    </row>
    <row r="409" spans="1:8" x14ac:dyDescent="0.2">
      <c r="A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 t="str">
        <f>_xlfn.CONCAT(Averages!N409,"/",Averages!O409+Averages!N409)</f>
        <v>/0</v>
      </c>
    </row>
    <row r="410" spans="1:8" x14ac:dyDescent="0.2">
      <c r="A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 t="str">
        <f>_xlfn.CONCAT(Averages!N410,"/",Averages!O410+Averages!N410)</f>
        <v>/0</v>
      </c>
    </row>
    <row r="411" spans="1:8" x14ac:dyDescent="0.2">
      <c r="A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 t="str">
        <f>_xlfn.CONCAT(Averages!N411,"/",Averages!O411+Averages!N411)</f>
        <v>/0</v>
      </c>
    </row>
    <row r="412" spans="1:8" x14ac:dyDescent="0.2">
      <c r="A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 t="str">
        <f>_xlfn.CONCAT(Averages!N412,"/",Averages!O412+Averages!N412)</f>
        <v>/0</v>
      </c>
    </row>
    <row r="413" spans="1:8" x14ac:dyDescent="0.2">
      <c r="A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 t="str">
        <f>_xlfn.CONCAT(Averages!N413,"/",Averages!O413+Averages!N413)</f>
        <v>/0</v>
      </c>
    </row>
    <row r="414" spans="1:8" x14ac:dyDescent="0.2">
      <c r="A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 t="str">
        <f>_xlfn.CONCAT(Averages!N414,"/",Averages!O414+Averages!N414)</f>
        <v>/0</v>
      </c>
    </row>
    <row r="415" spans="1:8" x14ac:dyDescent="0.2">
      <c r="A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 t="str">
        <f>_xlfn.CONCAT(Averages!N415,"/",Averages!O415+Averages!N415)</f>
        <v>/0</v>
      </c>
    </row>
    <row r="416" spans="1:8" x14ac:dyDescent="0.2">
      <c r="A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 t="str">
        <f>_xlfn.CONCAT(Averages!N416,"/",Averages!O416+Averages!N416)</f>
        <v>/0</v>
      </c>
    </row>
    <row r="417" spans="1:8" x14ac:dyDescent="0.2">
      <c r="A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 t="str">
        <f>_xlfn.CONCAT(Averages!N417,"/",Averages!O417+Averages!N417)</f>
        <v>/0</v>
      </c>
    </row>
    <row r="418" spans="1:8" x14ac:dyDescent="0.2">
      <c r="A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 t="str">
        <f>_xlfn.CONCAT(Averages!N418,"/",Averages!O418+Averages!N418)</f>
        <v>/0</v>
      </c>
    </row>
    <row r="419" spans="1:8" x14ac:dyDescent="0.2">
      <c r="A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 t="str">
        <f>_xlfn.CONCAT(Averages!N419,"/",Averages!O419+Averages!N419)</f>
        <v>/0</v>
      </c>
    </row>
    <row r="420" spans="1:8" x14ac:dyDescent="0.2">
      <c r="A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 t="str">
        <f>_xlfn.CONCAT(Averages!N420,"/",Averages!O420+Averages!N420)</f>
        <v>/0</v>
      </c>
    </row>
    <row r="421" spans="1:8" x14ac:dyDescent="0.2">
      <c r="A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 t="str">
        <f>_xlfn.CONCAT(Averages!N421,"/",Averages!O421+Averages!N421)</f>
        <v>/0</v>
      </c>
    </row>
    <row r="422" spans="1:8" x14ac:dyDescent="0.2">
      <c r="A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 t="str">
        <f>_xlfn.CONCAT(Averages!N422,"/",Averages!O422+Averages!N422)</f>
        <v>/0</v>
      </c>
    </row>
    <row r="423" spans="1:8" x14ac:dyDescent="0.2">
      <c r="A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 t="str">
        <f>_xlfn.CONCAT(Averages!N423,"/",Averages!O423+Averages!N423)</f>
        <v>/0</v>
      </c>
    </row>
    <row r="424" spans="1:8" x14ac:dyDescent="0.2">
      <c r="A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 t="str">
        <f>_xlfn.CONCAT(Averages!N424,"/",Averages!O424+Averages!N424)</f>
        <v>/0</v>
      </c>
    </row>
    <row r="425" spans="1:8" x14ac:dyDescent="0.2">
      <c r="A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 t="str">
        <f>_xlfn.CONCAT(Averages!N425,"/",Averages!O425+Averages!N425)</f>
        <v>/0</v>
      </c>
    </row>
    <row r="426" spans="1:8" x14ac:dyDescent="0.2">
      <c r="A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 t="str">
        <f>_xlfn.CONCAT(Averages!N426,"/",Averages!O426+Averages!N426)</f>
        <v>/0</v>
      </c>
    </row>
    <row r="427" spans="1:8" x14ac:dyDescent="0.2">
      <c r="A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 t="str">
        <f>_xlfn.CONCAT(Averages!N427,"/",Averages!O427+Averages!N427)</f>
        <v>/0</v>
      </c>
    </row>
    <row r="428" spans="1:8" x14ac:dyDescent="0.2">
      <c r="A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 t="str">
        <f>_xlfn.CONCAT(Averages!N428,"/",Averages!O428+Averages!N428)</f>
        <v>/0</v>
      </c>
    </row>
    <row r="429" spans="1:8" x14ac:dyDescent="0.2">
      <c r="A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 t="str">
        <f>_xlfn.CONCAT(Averages!N429,"/",Averages!O429+Averages!N429)</f>
        <v>/0</v>
      </c>
    </row>
    <row r="430" spans="1:8" x14ac:dyDescent="0.2">
      <c r="A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 t="str">
        <f>_xlfn.CONCAT(Averages!N430,"/",Averages!O430+Averages!N430)</f>
        <v>/0</v>
      </c>
    </row>
    <row r="431" spans="1:8" x14ac:dyDescent="0.2">
      <c r="A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 t="str">
        <f>_xlfn.CONCAT(Averages!N431,"/",Averages!O431+Averages!N431)</f>
        <v>/0</v>
      </c>
    </row>
    <row r="432" spans="1:8" x14ac:dyDescent="0.2">
      <c r="A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 t="str">
        <f>_xlfn.CONCAT(Averages!N432,"/",Averages!O432+Averages!N432)</f>
        <v>/0</v>
      </c>
    </row>
    <row r="433" spans="1:8" x14ac:dyDescent="0.2">
      <c r="A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 t="str">
        <f>_xlfn.CONCAT(Averages!N433,"/",Averages!O433+Averages!N433)</f>
        <v>/0</v>
      </c>
    </row>
    <row r="434" spans="1:8" x14ac:dyDescent="0.2">
      <c r="A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 t="str">
        <f>_xlfn.CONCAT(Averages!N434,"/",Averages!O434+Averages!N434)</f>
        <v>/0</v>
      </c>
    </row>
    <row r="435" spans="1:8" x14ac:dyDescent="0.2">
      <c r="A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 t="str">
        <f>_xlfn.CONCAT(Averages!N435,"/",Averages!O435+Averages!N435)</f>
        <v>/0</v>
      </c>
    </row>
    <row r="436" spans="1:8" x14ac:dyDescent="0.2">
      <c r="A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 t="str">
        <f>_xlfn.CONCAT(Averages!N436,"/",Averages!O436+Averages!N436)</f>
        <v>/0</v>
      </c>
    </row>
    <row r="437" spans="1:8" x14ac:dyDescent="0.2">
      <c r="A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 t="str">
        <f>_xlfn.CONCAT(Averages!N437,"/",Averages!O437+Averages!N437)</f>
        <v>/0</v>
      </c>
    </row>
    <row r="438" spans="1:8" x14ac:dyDescent="0.2">
      <c r="A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 t="str">
        <f>_xlfn.CONCAT(Averages!N438,"/",Averages!O438+Averages!N438)</f>
        <v>/0</v>
      </c>
    </row>
    <row r="439" spans="1:8" x14ac:dyDescent="0.2">
      <c r="A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 t="str">
        <f>_xlfn.CONCAT(Averages!N439,"/",Averages!O439+Averages!N439)</f>
        <v>/0</v>
      </c>
    </row>
    <row r="440" spans="1:8" x14ac:dyDescent="0.2">
      <c r="A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 t="str">
        <f>_xlfn.CONCAT(Averages!N440,"/",Averages!O440+Averages!N440)</f>
        <v>/0</v>
      </c>
    </row>
    <row r="441" spans="1:8" x14ac:dyDescent="0.2">
      <c r="A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 t="str">
        <f>_xlfn.CONCAT(Averages!N441,"/",Averages!O441+Averages!N441)</f>
        <v>/0</v>
      </c>
    </row>
    <row r="442" spans="1:8" x14ac:dyDescent="0.2">
      <c r="A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 t="str">
        <f>_xlfn.CONCAT(Averages!N442,"/",Averages!O442+Averages!N442)</f>
        <v>/0</v>
      </c>
    </row>
    <row r="443" spans="1:8" x14ac:dyDescent="0.2">
      <c r="A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 t="str">
        <f>_xlfn.CONCAT(Averages!N443,"/",Averages!O443+Averages!N443)</f>
        <v>/0</v>
      </c>
    </row>
    <row r="444" spans="1:8" x14ac:dyDescent="0.2">
      <c r="A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 t="str">
        <f>_xlfn.CONCAT(Averages!N444,"/",Averages!O444+Averages!N444)</f>
        <v>/0</v>
      </c>
    </row>
    <row r="445" spans="1:8" x14ac:dyDescent="0.2">
      <c r="A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 t="str">
        <f>_xlfn.CONCAT(Averages!N445,"/",Averages!O445+Averages!N445)</f>
        <v>/0</v>
      </c>
    </row>
    <row r="446" spans="1:8" x14ac:dyDescent="0.2">
      <c r="A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 t="str">
        <f>_xlfn.CONCAT(Averages!N446,"/",Averages!O446+Averages!N446)</f>
        <v>/0</v>
      </c>
    </row>
    <row r="447" spans="1:8" x14ac:dyDescent="0.2">
      <c r="A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 t="str">
        <f>_xlfn.CONCAT(Averages!N447,"/",Averages!O447+Averages!N447)</f>
        <v>/0</v>
      </c>
    </row>
    <row r="448" spans="1:8" x14ac:dyDescent="0.2">
      <c r="A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 t="str">
        <f>_xlfn.CONCAT(Averages!N448,"/",Averages!O448+Averages!N448)</f>
        <v>/0</v>
      </c>
    </row>
    <row r="449" spans="1:8" x14ac:dyDescent="0.2">
      <c r="A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 t="str">
        <f>_xlfn.CONCAT(Averages!N449,"/",Averages!O449+Averages!N449)</f>
        <v>/0</v>
      </c>
    </row>
    <row r="450" spans="1:8" x14ac:dyDescent="0.2">
      <c r="A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 t="str">
        <f>_xlfn.CONCAT(Averages!N450,"/",Averages!O450+Averages!N450)</f>
        <v>/0</v>
      </c>
    </row>
    <row r="451" spans="1:8" x14ac:dyDescent="0.2">
      <c r="A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 t="str">
        <f>_xlfn.CONCAT(Averages!N451,"/",Averages!O451+Averages!N451)</f>
        <v>/0</v>
      </c>
    </row>
    <row r="452" spans="1:8" x14ac:dyDescent="0.2">
      <c r="A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 t="str">
        <f>_xlfn.CONCAT(Averages!N452,"/",Averages!O452+Averages!N452)</f>
        <v>/0</v>
      </c>
    </row>
    <row r="453" spans="1:8" x14ac:dyDescent="0.2">
      <c r="A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 t="str">
        <f>_xlfn.CONCAT(Averages!N453,"/",Averages!O453+Averages!N453)</f>
        <v>/0</v>
      </c>
    </row>
    <row r="454" spans="1:8" x14ac:dyDescent="0.2">
      <c r="A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 t="str">
        <f>_xlfn.CONCAT(Averages!N454,"/",Averages!O454+Averages!N454)</f>
        <v>/0</v>
      </c>
    </row>
    <row r="455" spans="1:8" x14ac:dyDescent="0.2">
      <c r="A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 t="str">
        <f>_xlfn.CONCAT(Averages!N455,"/",Averages!O455+Averages!N455)</f>
        <v>/0</v>
      </c>
    </row>
    <row r="456" spans="1:8" x14ac:dyDescent="0.2">
      <c r="A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 t="str">
        <f>_xlfn.CONCAT(Averages!N456,"/",Averages!O456+Averages!N456)</f>
        <v>/0</v>
      </c>
    </row>
    <row r="457" spans="1:8" x14ac:dyDescent="0.2">
      <c r="A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 t="str">
        <f>_xlfn.CONCAT(Averages!N457,"/",Averages!O457+Averages!N457)</f>
        <v>/0</v>
      </c>
    </row>
    <row r="458" spans="1:8" x14ac:dyDescent="0.2">
      <c r="A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 t="str">
        <f>_xlfn.CONCAT(Averages!N458,"/",Averages!O458+Averages!N458)</f>
        <v>/0</v>
      </c>
    </row>
    <row r="459" spans="1:8" x14ac:dyDescent="0.2">
      <c r="A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 t="str">
        <f>_xlfn.CONCAT(Averages!N459,"/",Averages!O459+Averages!N459)</f>
        <v>/0</v>
      </c>
    </row>
    <row r="460" spans="1:8" x14ac:dyDescent="0.2">
      <c r="A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 t="str">
        <f>_xlfn.CONCAT(Averages!N460,"/",Averages!O460+Averages!N460)</f>
        <v>/0</v>
      </c>
    </row>
    <row r="461" spans="1:8" x14ac:dyDescent="0.2">
      <c r="A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 t="str">
        <f>_xlfn.CONCAT(Averages!N461,"/",Averages!O461+Averages!N461)</f>
        <v>/0</v>
      </c>
    </row>
    <row r="462" spans="1:8" x14ac:dyDescent="0.2">
      <c r="A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 t="str">
        <f>_xlfn.CONCAT(Averages!N462,"/",Averages!O462+Averages!N462)</f>
        <v>/0</v>
      </c>
    </row>
    <row r="463" spans="1:8" x14ac:dyDescent="0.2">
      <c r="A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 t="str">
        <f>_xlfn.CONCAT(Averages!N463,"/",Averages!O463+Averages!N463)</f>
        <v>/0</v>
      </c>
    </row>
    <row r="464" spans="1:8" x14ac:dyDescent="0.2">
      <c r="A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 t="str">
        <f>_xlfn.CONCAT(Averages!N464,"/",Averages!O464+Averages!N464)</f>
        <v>/0</v>
      </c>
    </row>
    <row r="465" spans="1:8" x14ac:dyDescent="0.2">
      <c r="A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 t="str">
        <f>_xlfn.CONCAT(Averages!N465,"/",Averages!O465+Averages!N465)</f>
        <v>/0</v>
      </c>
    </row>
    <row r="466" spans="1:8" x14ac:dyDescent="0.2">
      <c r="A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 t="str">
        <f>_xlfn.CONCAT(Averages!N466,"/",Averages!O466+Averages!N466)</f>
        <v>/0</v>
      </c>
    </row>
    <row r="467" spans="1:8" x14ac:dyDescent="0.2">
      <c r="A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 t="str">
        <f>_xlfn.CONCAT(Averages!N467,"/",Averages!O467+Averages!N467)</f>
        <v>/0</v>
      </c>
    </row>
    <row r="468" spans="1:8" x14ac:dyDescent="0.2">
      <c r="A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 t="str">
        <f>_xlfn.CONCAT(Averages!N468,"/",Averages!O468+Averages!N468)</f>
        <v>/0</v>
      </c>
    </row>
    <row r="469" spans="1:8" x14ac:dyDescent="0.2">
      <c r="A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 t="str">
        <f>_xlfn.CONCAT(Averages!N469,"/",Averages!O469+Averages!N469)</f>
        <v>/0</v>
      </c>
    </row>
    <row r="470" spans="1:8" x14ac:dyDescent="0.2">
      <c r="A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 t="str">
        <f>_xlfn.CONCAT(Averages!N470,"/",Averages!O470+Averages!N470)</f>
        <v>/0</v>
      </c>
    </row>
    <row r="471" spans="1:8" x14ac:dyDescent="0.2">
      <c r="A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 t="str">
        <f>_xlfn.CONCAT(Averages!N471,"/",Averages!O471+Averages!N471)</f>
        <v>/0</v>
      </c>
    </row>
    <row r="472" spans="1:8" x14ac:dyDescent="0.2">
      <c r="A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 t="str">
        <f>_xlfn.CONCAT(Averages!N472,"/",Averages!O472+Averages!N472)</f>
        <v>/0</v>
      </c>
    </row>
    <row r="473" spans="1:8" x14ac:dyDescent="0.2">
      <c r="A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 t="str">
        <f>_xlfn.CONCAT(Averages!N473,"/",Averages!O473+Averages!N473)</f>
        <v>/0</v>
      </c>
    </row>
    <row r="474" spans="1:8" x14ac:dyDescent="0.2">
      <c r="A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 t="str">
        <f>_xlfn.CONCAT(Averages!N474,"/",Averages!O474+Averages!N474)</f>
        <v>/0</v>
      </c>
    </row>
    <row r="475" spans="1:8" x14ac:dyDescent="0.2">
      <c r="A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 t="str">
        <f>_xlfn.CONCAT(Averages!N475,"/",Averages!O475+Averages!N475)</f>
        <v>/0</v>
      </c>
    </row>
    <row r="476" spans="1:8" x14ac:dyDescent="0.2">
      <c r="A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 t="str">
        <f>_xlfn.CONCAT(Averages!N476,"/",Averages!O476+Averages!N476)</f>
        <v>/0</v>
      </c>
    </row>
    <row r="477" spans="1:8" x14ac:dyDescent="0.2">
      <c r="A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 t="str">
        <f>_xlfn.CONCAT(Averages!N477,"/",Averages!O477+Averages!N477)</f>
        <v>/0</v>
      </c>
    </row>
    <row r="478" spans="1:8" x14ac:dyDescent="0.2">
      <c r="A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 t="str">
        <f>_xlfn.CONCAT(Averages!N478,"/",Averages!O478+Averages!N478)</f>
        <v>/0</v>
      </c>
    </row>
    <row r="479" spans="1:8" x14ac:dyDescent="0.2">
      <c r="A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 t="str">
        <f>_xlfn.CONCAT(Averages!N479,"/",Averages!O479+Averages!N479)</f>
        <v>/0</v>
      </c>
    </row>
    <row r="480" spans="1:8" x14ac:dyDescent="0.2">
      <c r="A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 t="str">
        <f>_xlfn.CONCAT(Averages!N480,"/",Averages!O480+Averages!N480)</f>
        <v>/0</v>
      </c>
    </row>
    <row r="481" spans="1:8" x14ac:dyDescent="0.2">
      <c r="A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 t="str">
        <f>_xlfn.CONCAT(Averages!N481,"/",Averages!O481+Averages!N481)</f>
        <v>/0</v>
      </c>
    </row>
    <row r="482" spans="1:8" x14ac:dyDescent="0.2">
      <c r="A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 t="str">
        <f>_xlfn.CONCAT(Averages!N482,"/",Averages!O482+Averages!N482)</f>
        <v>/0</v>
      </c>
    </row>
    <row r="483" spans="1:8" x14ac:dyDescent="0.2">
      <c r="A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 t="str">
        <f>_xlfn.CONCAT(Averages!N483,"/",Averages!O483+Averages!N483)</f>
        <v>/0</v>
      </c>
    </row>
    <row r="484" spans="1:8" x14ac:dyDescent="0.2">
      <c r="A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 t="str">
        <f>_xlfn.CONCAT(Averages!N484,"/",Averages!O484+Averages!N484)</f>
        <v>/0</v>
      </c>
    </row>
    <row r="485" spans="1:8" x14ac:dyDescent="0.2">
      <c r="A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 t="str">
        <f>_xlfn.CONCAT(Averages!N485,"/",Averages!O485+Averages!N485)</f>
        <v>/0</v>
      </c>
    </row>
    <row r="486" spans="1:8" x14ac:dyDescent="0.2">
      <c r="A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 t="str">
        <f>_xlfn.CONCAT(Averages!N486,"/",Averages!O486+Averages!N486)</f>
        <v>/0</v>
      </c>
    </row>
    <row r="487" spans="1:8" x14ac:dyDescent="0.2">
      <c r="A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 t="str">
        <f>_xlfn.CONCAT(Averages!N487,"/",Averages!O487+Averages!N487)</f>
        <v>/0</v>
      </c>
    </row>
    <row r="488" spans="1:8" x14ac:dyDescent="0.2">
      <c r="A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 t="str">
        <f>_xlfn.CONCAT(Averages!N488,"/",Averages!O488+Averages!N488)</f>
        <v>/0</v>
      </c>
    </row>
    <row r="489" spans="1:8" x14ac:dyDescent="0.2">
      <c r="A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 t="str">
        <f>_xlfn.CONCAT(Averages!N489,"/",Averages!O489+Averages!N489)</f>
        <v>/0</v>
      </c>
    </row>
    <row r="490" spans="1:8" x14ac:dyDescent="0.2">
      <c r="A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 t="str">
        <f>_xlfn.CONCAT(Averages!N490,"/",Averages!O490+Averages!N490)</f>
        <v>/0</v>
      </c>
    </row>
    <row r="491" spans="1:8" x14ac:dyDescent="0.2">
      <c r="A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 t="str">
        <f>_xlfn.CONCAT(Averages!N491,"/",Averages!O491+Averages!N491)</f>
        <v>/0</v>
      </c>
    </row>
    <row r="492" spans="1:8" x14ac:dyDescent="0.2">
      <c r="A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 t="str">
        <f>_xlfn.CONCAT(Averages!N492,"/",Averages!O492+Averages!N492)</f>
        <v>/0</v>
      </c>
    </row>
    <row r="493" spans="1:8" x14ac:dyDescent="0.2">
      <c r="A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 t="str">
        <f>_xlfn.CONCAT(Averages!N493,"/",Averages!O493+Averages!N493)</f>
        <v>/0</v>
      </c>
    </row>
    <row r="494" spans="1:8" x14ac:dyDescent="0.2">
      <c r="A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 t="str">
        <f>_xlfn.CONCAT(Averages!N494,"/",Averages!O494+Averages!N494)</f>
        <v>/0</v>
      </c>
    </row>
    <row r="495" spans="1:8" x14ac:dyDescent="0.2">
      <c r="A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 t="str">
        <f>_xlfn.CONCAT(Averages!N495,"/",Averages!O495+Averages!N495)</f>
        <v>/0</v>
      </c>
    </row>
    <row r="496" spans="1:8" x14ac:dyDescent="0.2">
      <c r="A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 t="str">
        <f>_xlfn.CONCAT(Averages!N496,"/",Averages!O496+Averages!N496)</f>
        <v>/0</v>
      </c>
    </row>
    <row r="497" spans="1:8" x14ac:dyDescent="0.2">
      <c r="A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 t="str">
        <f>_xlfn.CONCAT(Averages!N497,"/",Averages!O497+Averages!N497)</f>
        <v>/0</v>
      </c>
    </row>
    <row r="498" spans="1:8" x14ac:dyDescent="0.2">
      <c r="A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 t="str">
        <f>_xlfn.CONCAT(Averages!N498,"/",Averages!O498+Averages!N498)</f>
        <v>/0</v>
      </c>
    </row>
    <row r="499" spans="1:8" x14ac:dyDescent="0.2">
      <c r="A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 t="str">
        <f>_xlfn.CONCAT(Averages!N499,"/",Averages!O499+Averages!N499)</f>
        <v>/0</v>
      </c>
    </row>
    <row r="500" spans="1:8" x14ac:dyDescent="0.2">
      <c r="A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 t="str">
        <f>_xlfn.CONCAT(Averages!N500,"/",Averages!O500+Averages!N500)</f>
        <v>/0</v>
      </c>
    </row>
    <row r="501" spans="1:8" x14ac:dyDescent="0.2">
      <c r="A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 t="str">
        <f>_xlfn.CONCAT(Averages!N501,"/",Averages!O501+Averages!N501)</f>
        <v>/0</v>
      </c>
    </row>
    <row r="502" spans="1:8" x14ac:dyDescent="0.2">
      <c r="A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 t="str">
        <f>_xlfn.CONCAT(Averages!N502,"/",Averages!O502+Averages!N502)</f>
        <v>/0</v>
      </c>
    </row>
    <row r="503" spans="1:8" x14ac:dyDescent="0.2">
      <c r="A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 t="str">
        <f>_xlfn.CONCAT(Averages!N503,"/",Averages!O503+Averages!N503)</f>
        <v>/0</v>
      </c>
    </row>
    <row r="504" spans="1:8" x14ac:dyDescent="0.2">
      <c r="A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 t="str">
        <f>_xlfn.CONCAT(Averages!N504,"/",Averages!O504+Averages!N504)</f>
        <v>/0</v>
      </c>
    </row>
    <row r="505" spans="1:8" x14ac:dyDescent="0.2">
      <c r="A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 t="str">
        <f>_xlfn.CONCAT(Averages!N505,"/",Averages!O505+Averages!N505)</f>
        <v>/0</v>
      </c>
    </row>
    <row r="506" spans="1:8" x14ac:dyDescent="0.2">
      <c r="A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 t="str">
        <f>_xlfn.CONCAT(Averages!N506,"/",Averages!O506+Averages!N506)</f>
        <v>/0</v>
      </c>
    </row>
    <row r="507" spans="1:8" x14ac:dyDescent="0.2">
      <c r="A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 t="str">
        <f>_xlfn.CONCAT(Averages!N507,"/",Averages!O507+Averages!N507)</f>
        <v>/0</v>
      </c>
    </row>
    <row r="508" spans="1:8" x14ac:dyDescent="0.2">
      <c r="A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 t="str">
        <f>_xlfn.CONCAT(Averages!N508,"/",Averages!O508+Averages!N508)</f>
        <v>/0</v>
      </c>
    </row>
    <row r="509" spans="1:8" x14ac:dyDescent="0.2">
      <c r="A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 t="str">
        <f>_xlfn.CONCAT(Averages!N509,"/",Averages!O509+Averages!N509)</f>
        <v>/0</v>
      </c>
    </row>
    <row r="510" spans="1:8" x14ac:dyDescent="0.2">
      <c r="A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 t="str">
        <f>_xlfn.CONCAT(Averages!N510,"/",Averages!O510+Averages!N510)</f>
        <v>/0</v>
      </c>
    </row>
    <row r="511" spans="1:8" x14ac:dyDescent="0.2">
      <c r="A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 t="str">
        <f>_xlfn.CONCAT(Averages!N511,"/",Averages!O511+Averages!N511)</f>
        <v>/0</v>
      </c>
    </row>
    <row r="512" spans="1:8" x14ac:dyDescent="0.2">
      <c r="A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 t="str">
        <f>_xlfn.CONCAT(Averages!N512,"/",Averages!O512+Averages!N512)</f>
        <v>/0</v>
      </c>
    </row>
    <row r="513" spans="1:8" x14ac:dyDescent="0.2">
      <c r="A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 t="str">
        <f>_xlfn.CONCAT(Averages!N513,"/",Averages!O513+Averages!N513)</f>
        <v>/0</v>
      </c>
    </row>
    <row r="514" spans="1:8" x14ac:dyDescent="0.2">
      <c r="A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 t="str">
        <f>_xlfn.CONCAT(Averages!N514,"/",Averages!O514+Averages!N514)</f>
        <v>/0</v>
      </c>
    </row>
    <row r="515" spans="1:8" x14ac:dyDescent="0.2">
      <c r="A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 t="str">
        <f>_xlfn.CONCAT(Averages!N515,"/",Averages!O515+Averages!N515)</f>
        <v>/0</v>
      </c>
    </row>
    <row r="516" spans="1:8" x14ac:dyDescent="0.2">
      <c r="A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 t="str">
        <f>_xlfn.CONCAT(Averages!N516,"/",Averages!O516+Averages!N516)</f>
        <v>/0</v>
      </c>
    </row>
    <row r="517" spans="1:8" x14ac:dyDescent="0.2">
      <c r="A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 t="str">
        <f>_xlfn.CONCAT(Averages!N517,"/",Averages!O517+Averages!N517)</f>
        <v>/0</v>
      </c>
    </row>
    <row r="518" spans="1:8" x14ac:dyDescent="0.2">
      <c r="A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 t="str">
        <f>_xlfn.CONCAT(Averages!N518,"/",Averages!O518+Averages!N518)</f>
        <v>/0</v>
      </c>
    </row>
    <row r="519" spans="1:8" x14ac:dyDescent="0.2">
      <c r="A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 t="str">
        <f>_xlfn.CONCAT(Averages!N519,"/",Averages!O519+Averages!N519)</f>
        <v>/0</v>
      </c>
    </row>
    <row r="520" spans="1:8" x14ac:dyDescent="0.2">
      <c r="A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 t="str">
        <f>_xlfn.CONCAT(Averages!N520,"/",Averages!O520+Averages!N520)</f>
        <v>/0</v>
      </c>
    </row>
    <row r="521" spans="1:8" x14ac:dyDescent="0.2">
      <c r="A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 t="str">
        <f>_xlfn.CONCAT(Averages!N521,"/",Averages!O521+Averages!N521)</f>
        <v>/0</v>
      </c>
    </row>
    <row r="522" spans="1:8" x14ac:dyDescent="0.2">
      <c r="A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 t="str">
        <f>_xlfn.CONCAT(Averages!N522,"/",Averages!O522+Averages!N522)</f>
        <v>/0</v>
      </c>
    </row>
    <row r="523" spans="1:8" x14ac:dyDescent="0.2">
      <c r="A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 t="str">
        <f>_xlfn.CONCAT(Averages!N523,"/",Averages!O523+Averages!N523)</f>
        <v>/0</v>
      </c>
    </row>
    <row r="524" spans="1:8" x14ac:dyDescent="0.2">
      <c r="A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 t="str">
        <f>_xlfn.CONCAT(Averages!N524,"/",Averages!O524+Averages!N524)</f>
        <v>/0</v>
      </c>
    </row>
    <row r="525" spans="1:8" x14ac:dyDescent="0.2">
      <c r="A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 t="str">
        <f>_xlfn.CONCAT(Averages!N525,"/",Averages!O525+Averages!N525)</f>
        <v>/0</v>
      </c>
    </row>
    <row r="526" spans="1:8" x14ac:dyDescent="0.2">
      <c r="A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 t="str">
        <f>_xlfn.CONCAT(Averages!N526,"/",Averages!O526+Averages!N526)</f>
        <v>/0</v>
      </c>
    </row>
    <row r="527" spans="1:8" x14ac:dyDescent="0.2">
      <c r="A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 t="str">
        <f>_xlfn.CONCAT(Averages!N527,"/",Averages!O527+Averages!N527)</f>
        <v>/0</v>
      </c>
    </row>
    <row r="528" spans="1:8" x14ac:dyDescent="0.2">
      <c r="A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 t="str">
        <f>_xlfn.CONCAT(Averages!N528,"/",Averages!O528+Averages!N528)</f>
        <v>/0</v>
      </c>
    </row>
    <row r="529" spans="1:8" x14ac:dyDescent="0.2">
      <c r="A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 t="str">
        <f>_xlfn.CONCAT(Averages!N529,"/",Averages!O529+Averages!N529)</f>
        <v>/0</v>
      </c>
    </row>
    <row r="530" spans="1:8" x14ac:dyDescent="0.2">
      <c r="A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 t="str">
        <f>_xlfn.CONCAT(Averages!N530,"/",Averages!O530+Averages!N530)</f>
        <v>/0</v>
      </c>
    </row>
    <row r="531" spans="1:8" x14ac:dyDescent="0.2">
      <c r="A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 t="str">
        <f>_xlfn.CONCAT(Averages!N531,"/",Averages!O531+Averages!N531)</f>
        <v>/0</v>
      </c>
    </row>
    <row r="532" spans="1:8" x14ac:dyDescent="0.2">
      <c r="A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 t="str">
        <f>_xlfn.CONCAT(Averages!N532,"/",Averages!O532+Averages!N532)</f>
        <v>/0</v>
      </c>
    </row>
    <row r="533" spans="1:8" x14ac:dyDescent="0.2">
      <c r="A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 t="str">
        <f>_xlfn.CONCAT(Averages!N533,"/",Averages!O533+Averages!N533)</f>
        <v>/0</v>
      </c>
    </row>
    <row r="534" spans="1:8" x14ac:dyDescent="0.2">
      <c r="A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 t="str">
        <f>_xlfn.CONCAT(Averages!N534,"/",Averages!O534+Averages!N534)</f>
        <v>/0</v>
      </c>
    </row>
    <row r="535" spans="1:8" x14ac:dyDescent="0.2">
      <c r="A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 t="str">
        <f>_xlfn.CONCAT(Averages!N535,"/",Averages!O535+Averages!N535)</f>
        <v>/0</v>
      </c>
    </row>
    <row r="536" spans="1:8" x14ac:dyDescent="0.2">
      <c r="A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 t="str">
        <f>_xlfn.CONCAT(Averages!N536,"/",Averages!O536+Averages!N536)</f>
        <v>/0</v>
      </c>
    </row>
    <row r="537" spans="1:8" x14ac:dyDescent="0.2">
      <c r="A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 t="str">
        <f>_xlfn.CONCAT(Averages!N537,"/",Averages!O537+Averages!N537)</f>
        <v>/0</v>
      </c>
    </row>
    <row r="538" spans="1:8" x14ac:dyDescent="0.2">
      <c r="A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 t="str">
        <f>_xlfn.CONCAT(Averages!N538,"/",Averages!O538+Averages!N538)</f>
        <v>/0</v>
      </c>
    </row>
    <row r="539" spans="1:8" x14ac:dyDescent="0.2">
      <c r="A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 t="str">
        <f>_xlfn.CONCAT(Averages!N539,"/",Averages!O539+Averages!N539)</f>
        <v>/0</v>
      </c>
    </row>
    <row r="540" spans="1:8" x14ac:dyDescent="0.2">
      <c r="A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 t="str">
        <f>_xlfn.CONCAT(Averages!N540,"/",Averages!O540+Averages!N540)</f>
        <v>/0</v>
      </c>
    </row>
    <row r="541" spans="1:8" x14ac:dyDescent="0.2">
      <c r="A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 t="str">
        <f>_xlfn.CONCAT(Averages!N541,"/",Averages!O541+Averages!N541)</f>
        <v>/0</v>
      </c>
    </row>
    <row r="542" spans="1:8" x14ac:dyDescent="0.2">
      <c r="A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 t="str">
        <f>_xlfn.CONCAT(Averages!N542,"/",Averages!O542+Averages!N542)</f>
        <v>/0</v>
      </c>
    </row>
    <row r="543" spans="1:8" x14ac:dyDescent="0.2">
      <c r="A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 t="str">
        <f>_xlfn.CONCAT(Averages!N543,"/",Averages!O543+Averages!N543)</f>
        <v>/0</v>
      </c>
    </row>
    <row r="544" spans="1:8" x14ac:dyDescent="0.2">
      <c r="A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 t="str">
        <f>_xlfn.CONCAT(Averages!N544,"/",Averages!O544+Averages!N544)</f>
        <v>/0</v>
      </c>
    </row>
    <row r="545" spans="1:8" x14ac:dyDescent="0.2">
      <c r="A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 t="str">
        <f>_xlfn.CONCAT(Averages!N545,"/",Averages!O545+Averages!N545)</f>
        <v>/0</v>
      </c>
    </row>
    <row r="546" spans="1:8" x14ac:dyDescent="0.2">
      <c r="A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 t="str">
        <f>_xlfn.CONCAT(Averages!N546,"/",Averages!O546+Averages!N546)</f>
        <v>/0</v>
      </c>
    </row>
    <row r="547" spans="1:8" x14ac:dyDescent="0.2">
      <c r="A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 t="str">
        <f>_xlfn.CONCAT(Averages!N547,"/",Averages!O547+Averages!N547)</f>
        <v>/0</v>
      </c>
    </row>
    <row r="548" spans="1:8" x14ac:dyDescent="0.2">
      <c r="A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 t="str">
        <f>_xlfn.CONCAT(Averages!N548,"/",Averages!O548+Averages!N548)</f>
        <v>/0</v>
      </c>
    </row>
    <row r="549" spans="1:8" x14ac:dyDescent="0.2">
      <c r="A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 t="str">
        <f>_xlfn.CONCAT(Averages!N549,"/",Averages!O549+Averages!N549)</f>
        <v>/0</v>
      </c>
    </row>
    <row r="550" spans="1:8" x14ac:dyDescent="0.2">
      <c r="A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 t="str">
        <f>_xlfn.CONCAT(Averages!N550,"/",Averages!O550+Averages!N550)</f>
        <v>/0</v>
      </c>
    </row>
    <row r="551" spans="1:8" x14ac:dyDescent="0.2">
      <c r="A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 t="str">
        <f>_xlfn.CONCAT(Averages!N551,"/",Averages!O551+Averages!N551)</f>
        <v>/0</v>
      </c>
    </row>
    <row r="552" spans="1:8" x14ac:dyDescent="0.2">
      <c r="A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 t="str">
        <f>_xlfn.CONCAT(Averages!N552,"/",Averages!O552+Averages!N552)</f>
        <v>/0</v>
      </c>
    </row>
    <row r="553" spans="1:8" x14ac:dyDescent="0.2">
      <c r="A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 t="str">
        <f>_xlfn.CONCAT(Averages!N553,"/",Averages!O553+Averages!N553)</f>
        <v>/0</v>
      </c>
    </row>
    <row r="554" spans="1:8" x14ac:dyDescent="0.2">
      <c r="A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 t="str">
        <f>_xlfn.CONCAT(Averages!N554,"/",Averages!O554+Averages!N554)</f>
        <v>/0</v>
      </c>
    </row>
    <row r="555" spans="1:8" x14ac:dyDescent="0.2">
      <c r="A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 t="str">
        <f>_xlfn.CONCAT(Averages!N555,"/",Averages!O555+Averages!N555)</f>
        <v>/0</v>
      </c>
    </row>
    <row r="556" spans="1:8" x14ac:dyDescent="0.2">
      <c r="A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 t="str">
        <f>_xlfn.CONCAT(Averages!N556,"/",Averages!O556+Averages!N556)</f>
        <v>/0</v>
      </c>
    </row>
    <row r="557" spans="1:8" x14ac:dyDescent="0.2">
      <c r="A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 t="str">
        <f>_xlfn.CONCAT(Averages!N557,"/",Averages!O557+Averages!N557)</f>
        <v>/0</v>
      </c>
    </row>
    <row r="558" spans="1:8" x14ac:dyDescent="0.2">
      <c r="A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 t="str">
        <f>_xlfn.CONCAT(Averages!N558,"/",Averages!O558+Averages!N558)</f>
        <v>/0</v>
      </c>
    </row>
    <row r="559" spans="1:8" x14ac:dyDescent="0.2">
      <c r="A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 t="str">
        <f>_xlfn.CONCAT(Averages!N559,"/",Averages!O559+Averages!N559)</f>
        <v>/0</v>
      </c>
    </row>
    <row r="560" spans="1:8" x14ac:dyDescent="0.2">
      <c r="A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 t="str">
        <f>_xlfn.CONCAT(Averages!N560,"/",Averages!O560+Averages!N560)</f>
        <v>/0</v>
      </c>
    </row>
    <row r="561" spans="1:8" x14ac:dyDescent="0.2">
      <c r="A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 t="str">
        <f>_xlfn.CONCAT(Averages!N561,"/",Averages!O561+Averages!N561)</f>
        <v>/0</v>
      </c>
    </row>
    <row r="562" spans="1:8" x14ac:dyDescent="0.2">
      <c r="A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 t="str">
        <f>_xlfn.CONCAT(Averages!N562,"/",Averages!O562+Averages!N562)</f>
        <v>/0</v>
      </c>
    </row>
    <row r="563" spans="1:8" x14ac:dyDescent="0.2">
      <c r="A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 t="str">
        <f>_xlfn.CONCAT(Averages!N563,"/",Averages!O563+Averages!N563)</f>
        <v>/0</v>
      </c>
    </row>
    <row r="564" spans="1:8" x14ac:dyDescent="0.2">
      <c r="A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 t="str">
        <f>_xlfn.CONCAT(Averages!N564,"/",Averages!O564+Averages!N564)</f>
        <v>/0</v>
      </c>
    </row>
    <row r="565" spans="1:8" x14ac:dyDescent="0.2">
      <c r="A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 t="str">
        <f>_xlfn.CONCAT(Averages!N565,"/",Averages!O565+Averages!N565)</f>
        <v>/0</v>
      </c>
    </row>
    <row r="566" spans="1:8" x14ac:dyDescent="0.2">
      <c r="A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 t="str">
        <f>_xlfn.CONCAT(Averages!N566,"/",Averages!O566+Averages!N566)</f>
        <v>/0</v>
      </c>
    </row>
    <row r="567" spans="1:8" x14ac:dyDescent="0.2">
      <c r="A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 t="str">
        <f>_xlfn.CONCAT(Averages!N567,"/",Averages!O567+Averages!N567)</f>
        <v>/0</v>
      </c>
    </row>
    <row r="568" spans="1:8" x14ac:dyDescent="0.2">
      <c r="A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 t="str">
        <f>_xlfn.CONCAT(Averages!N568,"/",Averages!O568+Averages!N568)</f>
        <v>/0</v>
      </c>
    </row>
    <row r="569" spans="1:8" x14ac:dyDescent="0.2">
      <c r="A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 t="str">
        <f>_xlfn.CONCAT(Averages!N569,"/",Averages!O569+Averages!N569)</f>
        <v>/0</v>
      </c>
    </row>
    <row r="570" spans="1:8" x14ac:dyDescent="0.2">
      <c r="A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 t="str">
        <f>_xlfn.CONCAT(Averages!N570,"/",Averages!O570+Averages!N570)</f>
        <v>/0</v>
      </c>
    </row>
    <row r="571" spans="1:8" x14ac:dyDescent="0.2">
      <c r="A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 t="str">
        <f>_xlfn.CONCAT(Averages!N571,"/",Averages!O571+Averages!N571)</f>
        <v>/0</v>
      </c>
    </row>
    <row r="572" spans="1:8" x14ac:dyDescent="0.2">
      <c r="A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 t="str">
        <f>_xlfn.CONCAT(Averages!N572,"/",Averages!O572+Averages!N572)</f>
        <v>/0</v>
      </c>
    </row>
    <row r="573" spans="1:8" x14ac:dyDescent="0.2">
      <c r="A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 t="str">
        <f>_xlfn.CONCAT(Averages!N573,"/",Averages!O573+Averages!N573)</f>
        <v>/0</v>
      </c>
    </row>
    <row r="574" spans="1:8" x14ac:dyDescent="0.2">
      <c r="A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 t="str">
        <f>_xlfn.CONCAT(Averages!N574,"/",Averages!O574+Averages!N574)</f>
        <v>/0</v>
      </c>
    </row>
    <row r="575" spans="1:8" x14ac:dyDescent="0.2">
      <c r="A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 t="str">
        <f>_xlfn.CONCAT(Averages!N575,"/",Averages!O575+Averages!N575)</f>
        <v>/0</v>
      </c>
    </row>
    <row r="576" spans="1:8" x14ac:dyDescent="0.2">
      <c r="A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 t="str">
        <f>_xlfn.CONCAT(Averages!N576,"/",Averages!O576+Averages!N576)</f>
        <v>/0</v>
      </c>
    </row>
    <row r="577" spans="1:8" x14ac:dyDescent="0.2">
      <c r="A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 t="str">
        <f>_xlfn.CONCAT(Averages!N577,"/",Averages!O577+Averages!N577)</f>
        <v>/0</v>
      </c>
    </row>
    <row r="578" spans="1:8" x14ac:dyDescent="0.2">
      <c r="A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 t="str">
        <f>_xlfn.CONCAT(Averages!N578,"/",Averages!O578+Averages!N578)</f>
        <v>/0</v>
      </c>
    </row>
    <row r="579" spans="1:8" x14ac:dyDescent="0.2">
      <c r="A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 t="str">
        <f>_xlfn.CONCAT(Averages!N579,"/",Averages!O579+Averages!N579)</f>
        <v>/0</v>
      </c>
    </row>
    <row r="580" spans="1:8" x14ac:dyDescent="0.2">
      <c r="A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 t="str">
        <f>_xlfn.CONCAT(Averages!N580,"/",Averages!O580+Averages!N580)</f>
        <v>/0</v>
      </c>
    </row>
    <row r="581" spans="1:8" x14ac:dyDescent="0.2">
      <c r="A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 t="str">
        <f>_xlfn.CONCAT(Averages!N581,"/",Averages!O581+Averages!N581)</f>
        <v>/0</v>
      </c>
    </row>
    <row r="582" spans="1:8" x14ac:dyDescent="0.2">
      <c r="A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 t="str">
        <f>_xlfn.CONCAT(Averages!N582,"/",Averages!O582+Averages!N582)</f>
        <v>/0</v>
      </c>
    </row>
    <row r="583" spans="1:8" x14ac:dyDescent="0.2">
      <c r="A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 t="str">
        <f>_xlfn.CONCAT(Averages!N583,"/",Averages!O583+Averages!N583)</f>
        <v>/0</v>
      </c>
    </row>
    <row r="584" spans="1:8" x14ac:dyDescent="0.2">
      <c r="A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 t="str">
        <f>_xlfn.CONCAT(Averages!N584,"/",Averages!O584+Averages!N584)</f>
        <v>/0</v>
      </c>
    </row>
    <row r="585" spans="1:8" x14ac:dyDescent="0.2">
      <c r="A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 t="str">
        <f>_xlfn.CONCAT(Averages!N585,"/",Averages!O585+Averages!N585)</f>
        <v>/0</v>
      </c>
    </row>
    <row r="586" spans="1:8" x14ac:dyDescent="0.2">
      <c r="A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 t="str">
        <f>_xlfn.CONCAT(Averages!N586,"/",Averages!O586+Averages!N586)</f>
        <v>/0</v>
      </c>
    </row>
    <row r="587" spans="1:8" x14ac:dyDescent="0.2">
      <c r="A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 t="str">
        <f>_xlfn.CONCAT(Averages!N587,"/",Averages!O587+Averages!N587)</f>
        <v>/0</v>
      </c>
    </row>
    <row r="588" spans="1:8" x14ac:dyDescent="0.2">
      <c r="A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 t="str">
        <f>_xlfn.CONCAT(Averages!N588,"/",Averages!O588+Averages!N588)</f>
        <v>/0</v>
      </c>
    </row>
    <row r="589" spans="1:8" x14ac:dyDescent="0.2">
      <c r="A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 t="str">
        <f>_xlfn.CONCAT(Averages!N589,"/",Averages!O589+Averages!N589)</f>
        <v>/0</v>
      </c>
    </row>
    <row r="590" spans="1:8" x14ac:dyDescent="0.2">
      <c r="A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 t="str">
        <f>_xlfn.CONCAT(Averages!N590,"/",Averages!O590+Averages!N590)</f>
        <v>/0</v>
      </c>
    </row>
    <row r="591" spans="1:8" x14ac:dyDescent="0.2">
      <c r="A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 t="str">
        <f>_xlfn.CONCAT(Averages!N591,"/",Averages!O591+Averages!N591)</f>
        <v>/0</v>
      </c>
    </row>
    <row r="592" spans="1:8" x14ac:dyDescent="0.2">
      <c r="A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 t="str">
        <f>_xlfn.CONCAT(Averages!N592,"/",Averages!O592+Averages!N592)</f>
        <v>/0</v>
      </c>
    </row>
    <row r="593" spans="1:8" x14ac:dyDescent="0.2">
      <c r="A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 t="str">
        <f>_xlfn.CONCAT(Averages!N593,"/",Averages!O593+Averages!N593)</f>
        <v>/0</v>
      </c>
    </row>
    <row r="594" spans="1:8" x14ac:dyDescent="0.2">
      <c r="A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 t="str">
        <f>_xlfn.CONCAT(Averages!N594,"/",Averages!O594+Averages!N594)</f>
        <v>/0</v>
      </c>
    </row>
    <row r="595" spans="1:8" x14ac:dyDescent="0.2">
      <c r="A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 t="str">
        <f>_xlfn.CONCAT(Averages!N595,"/",Averages!O595+Averages!N595)</f>
        <v>/0</v>
      </c>
    </row>
    <row r="596" spans="1:8" x14ac:dyDescent="0.2">
      <c r="A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 t="str">
        <f>_xlfn.CONCAT(Averages!N596,"/",Averages!O596+Averages!N596)</f>
        <v>/0</v>
      </c>
    </row>
    <row r="597" spans="1:8" x14ac:dyDescent="0.2">
      <c r="A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 t="str">
        <f>_xlfn.CONCAT(Averages!N597,"/",Averages!O597+Averages!N597)</f>
        <v>/0</v>
      </c>
    </row>
    <row r="598" spans="1:8" x14ac:dyDescent="0.2">
      <c r="A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 t="str">
        <f>_xlfn.CONCAT(Averages!N598,"/",Averages!O598+Averages!N598)</f>
        <v>/0</v>
      </c>
    </row>
    <row r="599" spans="1:8" x14ac:dyDescent="0.2">
      <c r="A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 t="str">
        <f>_xlfn.CONCAT(Averages!N599,"/",Averages!O599+Averages!N599)</f>
        <v>/0</v>
      </c>
    </row>
    <row r="600" spans="1:8" x14ac:dyDescent="0.2">
      <c r="A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 t="str">
        <f>_xlfn.CONCAT(Averages!N600,"/",Averages!O600+Averages!N600)</f>
        <v>/0</v>
      </c>
    </row>
    <row r="601" spans="1:8" x14ac:dyDescent="0.2">
      <c r="A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 t="str">
        <f>_xlfn.CONCAT(Averages!N601,"/",Averages!O601+Averages!N601)</f>
        <v>/0</v>
      </c>
    </row>
    <row r="602" spans="1:8" x14ac:dyDescent="0.2">
      <c r="A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 t="str">
        <f>_xlfn.CONCAT(Averages!N602,"/",Averages!O602+Averages!N602)</f>
        <v>/0</v>
      </c>
    </row>
    <row r="603" spans="1:8" x14ac:dyDescent="0.2">
      <c r="A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 t="str">
        <f>_xlfn.CONCAT(Averages!N603,"/",Averages!O603+Averages!N603)</f>
        <v>/0</v>
      </c>
    </row>
    <row r="604" spans="1:8" x14ac:dyDescent="0.2">
      <c r="A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 t="str">
        <f>_xlfn.CONCAT(Averages!N604,"/",Averages!O604+Averages!N604)</f>
        <v>/0</v>
      </c>
    </row>
    <row r="605" spans="1:8" x14ac:dyDescent="0.2">
      <c r="A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 t="str">
        <f>_xlfn.CONCAT(Averages!N605,"/",Averages!O605+Averages!N605)</f>
        <v>/0</v>
      </c>
    </row>
    <row r="606" spans="1:8" x14ac:dyDescent="0.2">
      <c r="A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 t="str">
        <f>_xlfn.CONCAT(Averages!N606,"/",Averages!O606+Averages!N606)</f>
        <v>/0</v>
      </c>
    </row>
    <row r="607" spans="1:8" x14ac:dyDescent="0.2">
      <c r="A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 t="str">
        <f>_xlfn.CONCAT(Averages!N607,"/",Averages!O607+Averages!N607)</f>
        <v>/0</v>
      </c>
    </row>
    <row r="608" spans="1:8" x14ac:dyDescent="0.2">
      <c r="A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 t="str">
        <f>_xlfn.CONCAT(Averages!N608,"/",Averages!O608+Averages!N608)</f>
        <v>/0</v>
      </c>
    </row>
    <row r="609" spans="1:8" x14ac:dyDescent="0.2">
      <c r="A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 t="str">
        <f>_xlfn.CONCAT(Averages!N609,"/",Averages!O609+Averages!N609)</f>
        <v>/0</v>
      </c>
    </row>
    <row r="610" spans="1:8" x14ac:dyDescent="0.2">
      <c r="A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 t="str">
        <f>_xlfn.CONCAT(Averages!N610,"/",Averages!O610+Averages!N610)</f>
        <v>/0</v>
      </c>
    </row>
    <row r="611" spans="1:8" x14ac:dyDescent="0.2">
      <c r="A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 t="str">
        <f>_xlfn.CONCAT(Averages!N611,"/",Averages!O611+Averages!N611)</f>
        <v>/0</v>
      </c>
    </row>
    <row r="612" spans="1:8" x14ac:dyDescent="0.2">
      <c r="A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 t="str">
        <f>_xlfn.CONCAT(Averages!N612,"/",Averages!O612+Averages!N612)</f>
        <v>/0</v>
      </c>
    </row>
    <row r="613" spans="1:8" x14ac:dyDescent="0.2">
      <c r="A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 t="str">
        <f>_xlfn.CONCAT(Averages!N613,"/",Averages!O613+Averages!N613)</f>
        <v>/0</v>
      </c>
    </row>
    <row r="614" spans="1:8" x14ac:dyDescent="0.2">
      <c r="A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 t="str">
        <f>_xlfn.CONCAT(Averages!N614,"/",Averages!O614+Averages!N614)</f>
        <v>/0</v>
      </c>
    </row>
    <row r="615" spans="1:8" x14ac:dyDescent="0.2">
      <c r="A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 t="str">
        <f>_xlfn.CONCAT(Averages!N615,"/",Averages!O615+Averages!N615)</f>
        <v>/0</v>
      </c>
    </row>
    <row r="616" spans="1:8" x14ac:dyDescent="0.2">
      <c r="A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 t="str">
        <f>_xlfn.CONCAT(Averages!N616,"/",Averages!O616+Averages!N616)</f>
        <v>/0</v>
      </c>
    </row>
    <row r="617" spans="1:8" x14ac:dyDescent="0.2">
      <c r="A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 t="str">
        <f>_xlfn.CONCAT(Averages!N617,"/",Averages!O617+Averages!N617)</f>
        <v>/0</v>
      </c>
    </row>
    <row r="618" spans="1:8" x14ac:dyDescent="0.2">
      <c r="A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 t="str">
        <f>_xlfn.CONCAT(Averages!N618,"/",Averages!O618+Averages!N618)</f>
        <v>/0</v>
      </c>
    </row>
    <row r="619" spans="1:8" x14ac:dyDescent="0.2">
      <c r="A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 t="str">
        <f>_xlfn.CONCAT(Averages!N619,"/",Averages!O619+Averages!N619)</f>
        <v>/0</v>
      </c>
    </row>
    <row r="620" spans="1:8" x14ac:dyDescent="0.2">
      <c r="A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 t="str">
        <f>_xlfn.CONCAT(Averages!N620,"/",Averages!O620+Averages!N620)</f>
        <v>/0</v>
      </c>
    </row>
    <row r="621" spans="1:8" x14ac:dyDescent="0.2">
      <c r="A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 t="str">
        <f>_xlfn.CONCAT(Averages!N621,"/",Averages!O621+Averages!N621)</f>
        <v>/0</v>
      </c>
    </row>
    <row r="622" spans="1:8" x14ac:dyDescent="0.2">
      <c r="A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 t="str">
        <f>_xlfn.CONCAT(Averages!N622,"/",Averages!O622+Averages!N622)</f>
        <v>/0</v>
      </c>
    </row>
    <row r="623" spans="1:8" x14ac:dyDescent="0.2">
      <c r="A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 t="str">
        <f>_xlfn.CONCAT(Averages!N623,"/",Averages!O623+Averages!N623)</f>
        <v>/0</v>
      </c>
    </row>
    <row r="624" spans="1:8" x14ac:dyDescent="0.2">
      <c r="A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 t="str">
        <f>_xlfn.CONCAT(Averages!N624,"/",Averages!O624+Averages!N624)</f>
        <v>/0</v>
      </c>
    </row>
    <row r="625" spans="1:8" x14ac:dyDescent="0.2">
      <c r="A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 t="str">
        <f>_xlfn.CONCAT(Averages!N625,"/",Averages!O625+Averages!N625)</f>
        <v>/0</v>
      </c>
    </row>
    <row r="626" spans="1:8" x14ac:dyDescent="0.2">
      <c r="A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 t="str">
        <f>_xlfn.CONCAT(Averages!N626,"/",Averages!O626+Averages!N626)</f>
        <v>/0</v>
      </c>
    </row>
    <row r="627" spans="1:8" x14ac:dyDescent="0.2">
      <c r="A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 t="str">
        <f>_xlfn.CONCAT(Averages!N627,"/",Averages!O627+Averages!N627)</f>
        <v>/0</v>
      </c>
    </row>
    <row r="628" spans="1:8" x14ac:dyDescent="0.2">
      <c r="A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 t="str">
        <f>_xlfn.CONCAT(Averages!N628,"/",Averages!O628+Averages!N628)</f>
        <v>/0</v>
      </c>
    </row>
    <row r="629" spans="1:8" x14ac:dyDescent="0.2">
      <c r="A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 t="str">
        <f>_xlfn.CONCAT(Averages!N629,"/",Averages!O629+Averages!N629)</f>
        <v>/0</v>
      </c>
    </row>
    <row r="630" spans="1:8" x14ac:dyDescent="0.2">
      <c r="A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 t="str">
        <f>_xlfn.CONCAT(Averages!N630,"/",Averages!O630+Averages!N630)</f>
        <v>/0</v>
      </c>
    </row>
    <row r="631" spans="1:8" x14ac:dyDescent="0.2">
      <c r="A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 t="str">
        <f>_xlfn.CONCAT(Averages!N631,"/",Averages!O631+Averages!N631)</f>
        <v>/0</v>
      </c>
    </row>
    <row r="632" spans="1:8" x14ac:dyDescent="0.2">
      <c r="A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 t="str">
        <f>_xlfn.CONCAT(Averages!N632,"/",Averages!O632+Averages!N632)</f>
        <v>/0</v>
      </c>
    </row>
    <row r="633" spans="1:8" x14ac:dyDescent="0.2">
      <c r="A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 t="str">
        <f>_xlfn.CONCAT(Averages!N633,"/",Averages!O633+Averages!N633)</f>
        <v>/0</v>
      </c>
    </row>
    <row r="634" spans="1:8" x14ac:dyDescent="0.2">
      <c r="A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 t="str">
        <f>_xlfn.CONCAT(Averages!N634,"/",Averages!O634+Averages!N634)</f>
        <v>/0</v>
      </c>
    </row>
    <row r="635" spans="1:8" x14ac:dyDescent="0.2">
      <c r="A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 t="str">
        <f>_xlfn.CONCAT(Averages!N635,"/",Averages!O635+Averages!N635)</f>
        <v>/0</v>
      </c>
    </row>
    <row r="636" spans="1:8" x14ac:dyDescent="0.2">
      <c r="A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 t="str">
        <f>_xlfn.CONCAT(Averages!N636,"/",Averages!O636+Averages!N636)</f>
        <v>/0</v>
      </c>
    </row>
    <row r="637" spans="1:8" x14ac:dyDescent="0.2">
      <c r="A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 t="str">
        <f>_xlfn.CONCAT(Averages!N637,"/",Averages!O637+Averages!N637)</f>
        <v>/0</v>
      </c>
    </row>
    <row r="638" spans="1:8" x14ac:dyDescent="0.2">
      <c r="A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 t="str">
        <f>_xlfn.CONCAT(Averages!N638,"/",Averages!O638+Averages!N638)</f>
        <v>/0</v>
      </c>
    </row>
    <row r="639" spans="1:8" x14ac:dyDescent="0.2">
      <c r="A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 t="str">
        <f>_xlfn.CONCAT(Averages!N639,"/",Averages!O639+Averages!N639)</f>
        <v>/0</v>
      </c>
    </row>
    <row r="640" spans="1:8" x14ac:dyDescent="0.2">
      <c r="A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 t="str">
        <f>_xlfn.CONCAT(Averages!N640,"/",Averages!O640+Averages!N640)</f>
        <v>/0</v>
      </c>
    </row>
    <row r="641" spans="1:8" x14ac:dyDescent="0.2">
      <c r="A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 t="str">
        <f>_xlfn.CONCAT(Averages!N641,"/",Averages!O641+Averages!N641)</f>
        <v>/0</v>
      </c>
    </row>
    <row r="642" spans="1:8" x14ac:dyDescent="0.2">
      <c r="A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 t="str">
        <f>_xlfn.CONCAT(Averages!N642,"/",Averages!O642+Averages!N642)</f>
        <v>/0</v>
      </c>
    </row>
    <row r="643" spans="1:8" x14ac:dyDescent="0.2">
      <c r="A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 t="str">
        <f>_xlfn.CONCAT(Averages!N643,"/",Averages!O643+Averages!N643)</f>
        <v>/0</v>
      </c>
    </row>
    <row r="644" spans="1:8" x14ac:dyDescent="0.2">
      <c r="A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 t="str">
        <f>_xlfn.CONCAT(Averages!N644,"/",Averages!O644+Averages!N644)</f>
        <v>/0</v>
      </c>
    </row>
    <row r="645" spans="1:8" x14ac:dyDescent="0.2">
      <c r="A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 t="str">
        <f>_xlfn.CONCAT(Averages!N645,"/",Averages!O645+Averages!N645)</f>
        <v>/0</v>
      </c>
    </row>
    <row r="646" spans="1:8" x14ac:dyDescent="0.2">
      <c r="A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 t="str">
        <f>_xlfn.CONCAT(Averages!N646,"/",Averages!O646+Averages!N646)</f>
        <v>/0</v>
      </c>
    </row>
    <row r="647" spans="1:8" x14ac:dyDescent="0.2">
      <c r="A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 t="str">
        <f>_xlfn.CONCAT(Averages!N647,"/",Averages!O647+Averages!N647)</f>
        <v>/0</v>
      </c>
    </row>
    <row r="648" spans="1:8" x14ac:dyDescent="0.2">
      <c r="A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 t="str">
        <f>_xlfn.CONCAT(Averages!N648,"/",Averages!O648+Averages!N648)</f>
        <v>/0</v>
      </c>
    </row>
    <row r="649" spans="1:8" x14ac:dyDescent="0.2">
      <c r="A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 t="str">
        <f>_xlfn.CONCAT(Averages!N649,"/",Averages!O649+Averages!N649)</f>
        <v>/0</v>
      </c>
    </row>
    <row r="650" spans="1:8" x14ac:dyDescent="0.2">
      <c r="A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 t="str">
        <f>_xlfn.CONCAT(Averages!N650,"/",Averages!O650+Averages!N650)</f>
        <v>/0</v>
      </c>
    </row>
    <row r="651" spans="1:8" x14ac:dyDescent="0.2">
      <c r="A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 t="str">
        <f>_xlfn.CONCAT(Averages!N651,"/",Averages!O651+Averages!N651)</f>
        <v>/0</v>
      </c>
    </row>
    <row r="652" spans="1:8" x14ac:dyDescent="0.2">
      <c r="A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 t="str">
        <f>_xlfn.CONCAT(Averages!N652,"/",Averages!O652+Averages!N652)</f>
        <v>/0</v>
      </c>
    </row>
    <row r="653" spans="1:8" x14ac:dyDescent="0.2">
      <c r="A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 t="str">
        <f>_xlfn.CONCAT(Averages!N653,"/",Averages!O653+Averages!N653)</f>
        <v>/0</v>
      </c>
    </row>
    <row r="654" spans="1:8" x14ac:dyDescent="0.2">
      <c r="A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 t="str">
        <f>_xlfn.CONCAT(Averages!N654,"/",Averages!O654+Averages!N654)</f>
        <v>/0</v>
      </c>
    </row>
    <row r="655" spans="1:8" x14ac:dyDescent="0.2">
      <c r="A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 t="str">
        <f>_xlfn.CONCAT(Averages!N655,"/",Averages!O655+Averages!N655)</f>
        <v>/0</v>
      </c>
    </row>
    <row r="656" spans="1:8" x14ac:dyDescent="0.2">
      <c r="A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 t="str">
        <f>_xlfn.CONCAT(Averages!N656,"/",Averages!O656+Averages!N656)</f>
        <v>/0</v>
      </c>
    </row>
    <row r="657" spans="1:8" x14ac:dyDescent="0.2">
      <c r="A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 t="str">
        <f>_xlfn.CONCAT(Averages!N657,"/",Averages!O657+Averages!N657)</f>
        <v>/0</v>
      </c>
    </row>
    <row r="658" spans="1:8" x14ac:dyDescent="0.2">
      <c r="A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 t="str">
        <f>_xlfn.CONCAT(Averages!N658,"/",Averages!O658+Averages!N658)</f>
        <v>/0</v>
      </c>
    </row>
    <row r="659" spans="1:8" x14ac:dyDescent="0.2">
      <c r="A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 t="str">
        <f>_xlfn.CONCAT(Averages!N659,"/",Averages!O659+Averages!N659)</f>
        <v>/0</v>
      </c>
    </row>
    <row r="660" spans="1:8" x14ac:dyDescent="0.2">
      <c r="A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 t="str">
        <f>_xlfn.CONCAT(Averages!N660,"/",Averages!O660+Averages!N660)</f>
        <v>/0</v>
      </c>
    </row>
    <row r="661" spans="1:8" x14ac:dyDescent="0.2">
      <c r="A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 t="str">
        <f>_xlfn.CONCAT(Averages!N661,"/",Averages!O661+Averages!N661)</f>
        <v>/0</v>
      </c>
    </row>
    <row r="662" spans="1:8" x14ac:dyDescent="0.2">
      <c r="A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 t="str">
        <f>_xlfn.CONCAT(Averages!N662,"/",Averages!O662+Averages!N662)</f>
        <v>/0</v>
      </c>
    </row>
    <row r="663" spans="1:8" x14ac:dyDescent="0.2">
      <c r="A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 t="str">
        <f>_xlfn.CONCAT(Averages!N663,"/",Averages!O663+Averages!N663)</f>
        <v>/0</v>
      </c>
    </row>
    <row r="664" spans="1:8" x14ac:dyDescent="0.2">
      <c r="A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 t="str">
        <f>_xlfn.CONCAT(Averages!N664,"/",Averages!O664+Averages!N664)</f>
        <v>/0</v>
      </c>
    </row>
    <row r="665" spans="1:8" x14ac:dyDescent="0.2">
      <c r="A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 t="str">
        <f>_xlfn.CONCAT(Averages!N665,"/",Averages!O665+Averages!N665)</f>
        <v>/0</v>
      </c>
    </row>
    <row r="666" spans="1:8" x14ac:dyDescent="0.2">
      <c r="A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 t="str">
        <f>_xlfn.CONCAT(Averages!N666,"/",Averages!O666+Averages!N666)</f>
        <v>/0</v>
      </c>
    </row>
    <row r="667" spans="1:8" x14ac:dyDescent="0.2">
      <c r="A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 t="str">
        <f>_xlfn.CONCAT(Averages!N667,"/",Averages!O667+Averages!N667)</f>
        <v>/0</v>
      </c>
    </row>
    <row r="668" spans="1:8" x14ac:dyDescent="0.2">
      <c r="A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 t="str">
        <f>_xlfn.CONCAT(Averages!N668,"/",Averages!O668+Averages!N668)</f>
        <v>/0</v>
      </c>
    </row>
    <row r="669" spans="1:8" x14ac:dyDescent="0.2">
      <c r="A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 t="str">
        <f>_xlfn.CONCAT(Averages!N669,"/",Averages!O669+Averages!N669)</f>
        <v>/0</v>
      </c>
    </row>
    <row r="670" spans="1:8" x14ac:dyDescent="0.2">
      <c r="A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 t="str">
        <f>_xlfn.CONCAT(Averages!N670,"/",Averages!O670+Averages!N670)</f>
        <v>/0</v>
      </c>
    </row>
    <row r="671" spans="1:8" x14ac:dyDescent="0.2">
      <c r="A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 t="str">
        <f>_xlfn.CONCAT(Averages!N671,"/",Averages!O671+Averages!N671)</f>
        <v>/0</v>
      </c>
    </row>
    <row r="672" spans="1:8" x14ac:dyDescent="0.2">
      <c r="A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 t="str">
        <f>_xlfn.CONCAT(Averages!N672,"/",Averages!O672+Averages!N672)</f>
        <v>/0</v>
      </c>
    </row>
    <row r="673" spans="1:8" x14ac:dyDescent="0.2">
      <c r="A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 t="str">
        <f>_xlfn.CONCAT(Averages!N673,"/",Averages!O673+Averages!N673)</f>
        <v>/0</v>
      </c>
    </row>
    <row r="674" spans="1:8" x14ac:dyDescent="0.2">
      <c r="A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 t="str">
        <f>_xlfn.CONCAT(Averages!N674,"/",Averages!O674+Averages!N674)</f>
        <v>/0</v>
      </c>
    </row>
    <row r="675" spans="1:8" x14ac:dyDescent="0.2">
      <c r="A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 t="str">
        <f>_xlfn.CONCAT(Averages!N675,"/",Averages!O675+Averages!N675)</f>
        <v>/0</v>
      </c>
    </row>
    <row r="676" spans="1:8" x14ac:dyDescent="0.2">
      <c r="A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 t="str">
        <f>_xlfn.CONCAT(Averages!N676,"/",Averages!O676+Averages!N676)</f>
        <v>/0</v>
      </c>
    </row>
    <row r="677" spans="1:8" x14ac:dyDescent="0.2">
      <c r="A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 t="str">
        <f>_xlfn.CONCAT(Averages!N677,"/",Averages!O677+Averages!N677)</f>
        <v>/0</v>
      </c>
    </row>
    <row r="678" spans="1:8" x14ac:dyDescent="0.2">
      <c r="A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 t="str">
        <f>_xlfn.CONCAT(Averages!N678,"/",Averages!O678+Averages!N678)</f>
        <v>/0</v>
      </c>
    </row>
    <row r="679" spans="1:8" x14ac:dyDescent="0.2">
      <c r="A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 t="str">
        <f>_xlfn.CONCAT(Averages!N679,"/",Averages!O679+Averages!N679)</f>
        <v>/0</v>
      </c>
    </row>
    <row r="680" spans="1:8" x14ac:dyDescent="0.2">
      <c r="A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 t="str">
        <f>_xlfn.CONCAT(Averages!N680,"/",Averages!O680+Averages!N680)</f>
        <v>/0</v>
      </c>
    </row>
    <row r="681" spans="1:8" x14ac:dyDescent="0.2">
      <c r="A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 t="str">
        <f>_xlfn.CONCAT(Averages!N681,"/",Averages!O681+Averages!N681)</f>
        <v>/0</v>
      </c>
    </row>
    <row r="682" spans="1:8" x14ac:dyDescent="0.2">
      <c r="A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 t="str">
        <f>_xlfn.CONCAT(Averages!N682,"/",Averages!O682+Averages!N682)</f>
        <v>/0</v>
      </c>
    </row>
    <row r="683" spans="1:8" x14ac:dyDescent="0.2">
      <c r="A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 t="str">
        <f>_xlfn.CONCAT(Averages!N683,"/",Averages!O683+Averages!N683)</f>
        <v>/0</v>
      </c>
    </row>
    <row r="684" spans="1:8" x14ac:dyDescent="0.2">
      <c r="A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 t="str">
        <f>_xlfn.CONCAT(Averages!N684,"/",Averages!O684+Averages!N684)</f>
        <v>/0</v>
      </c>
    </row>
    <row r="685" spans="1:8" x14ac:dyDescent="0.2">
      <c r="A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 t="str">
        <f>_xlfn.CONCAT(Averages!N685,"/",Averages!O685+Averages!N685)</f>
        <v>/0</v>
      </c>
    </row>
    <row r="686" spans="1:8" x14ac:dyDescent="0.2">
      <c r="A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 t="str">
        <f>_xlfn.CONCAT(Averages!N686,"/",Averages!O686+Averages!N686)</f>
        <v>/0</v>
      </c>
    </row>
    <row r="687" spans="1:8" x14ac:dyDescent="0.2">
      <c r="A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 t="str">
        <f>_xlfn.CONCAT(Averages!N687,"/",Averages!O687+Averages!N687)</f>
        <v>/0</v>
      </c>
    </row>
    <row r="688" spans="1:8" x14ac:dyDescent="0.2">
      <c r="A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 t="str">
        <f>_xlfn.CONCAT(Averages!N688,"/",Averages!O688+Averages!N688)</f>
        <v>/0</v>
      </c>
    </row>
    <row r="689" spans="1:8" x14ac:dyDescent="0.2">
      <c r="A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 t="str">
        <f>_xlfn.CONCAT(Averages!N689,"/",Averages!O689+Averages!N689)</f>
        <v>/0</v>
      </c>
    </row>
    <row r="690" spans="1:8" x14ac:dyDescent="0.2">
      <c r="A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 t="str">
        <f>_xlfn.CONCAT(Averages!N690,"/",Averages!O690+Averages!N690)</f>
        <v>/0</v>
      </c>
    </row>
    <row r="691" spans="1:8" x14ac:dyDescent="0.2">
      <c r="A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 t="str">
        <f>_xlfn.CONCAT(Averages!N691,"/",Averages!O691+Averages!N691)</f>
        <v>/0</v>
      </c>
    </row>
    <row r="692" spans="1:8" x14ac:dyDescent="0.2">
      <c r="A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 t="str">
        <f>_xlfn.CONCAT(Averages!N692,"/",Averages!O692+Averages!N692)</f>
        <v>/0</v>
      </c>
    </row>
    <row r="693" spans="1:8" x14ac:dyDescent="0.2">
      <c r="A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 t="str">
        <f>_xlfn.CONCAT(Averages!N693,"/",Averages!O693+Averages!N693)</f>
        <v>/0</v>
      </c>
    </row>
    <row r="694" spans="1:8" x14ac:dyDescent="0.2">
      <c r="A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 t="str">
        <f>_xlfn.CONCAT(Averages!N694,"/",Averages!O694+Averages!N694)</f>
        <v>/0</v>
      </c>
    </row>
    <row r="695" spans="1:8" x14ac:dyDescent="0.2">
      <c r="A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 t="str">
        <f>_xlfn.CONCAT(Averages!N695,"/",Averages!O695+Averages!N695)</f>
        <v>/0</v>
      </c>
    </row>
    <row r="696" spans="1:8" x14ac:dyDescent="0.2">
      <c r="A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 t="str">
        <f>_xlfn.CONCAT(Averages!N696,"/",Averages!O696+Averages!N696)</f>
        <v>/0</v>
      </c>
    </row>
    <row r="697" spans="1:8" x14ac:dyDescent="0.2">
      <c r="A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 t="str">
        <f>_xlfn.CONCAT(Averages!N697,"/",Averages!O697+Averages!N697)</f>
        <v>/0</v>
      </c>
    </row>
    <row r="698" spans="1:8" x14ac:dyDescent="0.2">
      <c r="A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 t="str">
        <f>_xlfn.CONCAT(Averages!N698,"/",Averages!O698+Averages!N698)</f>
        <v>/0</v>
      </c>
    </row>
    <row r="699" spans="1:8" x14ac:dyDescent="0.2">
      <c r="A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 t="str">
        <f>_xlfn.CONCAT(Averages!N699,"/",Averages!O699+Averages!N699)</f>
        <v>/0</v>
      </c>
    </row>
    <row r="700" spans="1:8" x14ac:dyDescent="0.2">
      <c r="A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 t="str">
        <f>_xlfn.CONCAT(Averages!N700,"/",Averages!O700+Averages!N700)</f>
        <v>/0</v>
      </c>
    </row>
    <row r="701" spans="1:8" x14ac:dyDescent="0.2">
      <c r="A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 t="str">
        <f>_xlfn.CONCAT(Averages!N701,"/",Averages!O701+Averages!N701)</f>
        <v>/0</v>
      </c>
    </row>
    <row r="702" spans="1:8" x14ac:dyDescent="0.2">
      <c r="A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 t="str">
        <f>_xlfn.CONCAT(Averages!N702,"/",Averages!O702+Averages!N702)</f>
        <v>/0</v>
      </c>
    </row>
    <row r="703" spans="1:8" x14ac:dyDescent="0.2">
      <c r="A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 t="str">
        <f>_xlfn.CONCAT(Averages!N703,"/",Averages!O703+Averages!N703)</f>
        <v>/0</v>
      </c>
    </row>
    <row r="704" spans="1:8" x14ac:dyDescent="0.2">
      <c r="A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 t="str">
        <f>_xlfn.CONCAT(Averages!N704,"/",Averages!O704+Averages!N704)</f>
        <v>/0</v>
      </c>
    </row>
    <row r="705" spans="1:8" x14ac:dyDescent="0.2">
      <c r="A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 t="str">
        <f>_xlfn.CONCAT(Averages!N705,"/",Averages!O705+Averages!N705)</f>
        <v>/0</v>
      </c>
    </row>
    <row r="706" spans="1:8" x14ac:dyDescent="0.2">
      <c r="A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 t="str">
        <f>_xlfn.CONCAT(Averages!N706,"/",Averages!O706+Averages!N706)</f>
        <v>/0</v>
      </c>
    </row>
    <row r="707" spans="1:8" x14ac:dyDescent="0.2">
      <c r="A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 t="str">
        <f>_xlfn.CONCAT(Averages!N707,"/",Averages!O707+Averages!N707)</f>
        <v>/0</v>
      </c>
    </row>
    <row r="708" spans="1:8" x14ac:dyDescent="0.2">
      <c r="A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 t="str">
        <f>_xlfn.CONCAT(Averages!N708,"/",Averages!O708+Averages!N708)</f>
        <v>/0</v>
      </c>
    </row>
    <row r="709" spans="1:8" x14ac:dyDescent="0.2">
      <c r="A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 t="str">
        <f>_xlfn.CONCAT(Averages!N709,"/",Averages!O709+Averages!N709)</f>
        <v>/0</v>
      </c>
    </row>
    <row r="710" spans="1:8" x14ac:dyDescent="0.2">
      <c r="A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 t="str">
        <f>_xlfn.CONCAT(Averages!N710,"/",Averages!O710+Averages!N710)</f>
        <v>/0</v>
      </c>
    </row>
    <row r="711" spans="1:8" x14ac:dyDescent="0.2">
      <c r="A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 t="str">
        <f>_xlfn.CONCAT(Averages!N711,"/",Averages!O711+Averages!N711)</f>
        <v>/0</v>
      </c>
    </row>
    <row r="712" spans="1:8" x14ac:dyDescent="0.2">
      <c r="A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 t="str">
        <f>_xlfn.CONCAT(Averages!N712,"/",Averages!O712+Averages!N712)</f>
        <v>/0</v>
      </c>
    </row>
    <row r="713" spans="1:8" x14ac:dyDescent="0.2">
      <c r="A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 t="str">
        <f>_xlfn.CONCAT(Averages!N713,"/",Averages!O713+Averages!N713)</f>
        <v>/0</v>
      </c>
    </row>
    <row r="714" spans="1:8" x14ac:dyDescent="0.2">
      <c r="A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 t="str">
        <f>_xlfn.CONCAT(Averages!N714,"/",Averages!O714+Averages!N714)</f>
        <v>/0</v>
      </c>
    </row>
    <row r="715" spans="1:8" x14ac:dyDescent="0.2">
      <c r="A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 t="str">
        <f>_xlfn.CONCAT(Averages!N715,"/",Averages!O715+Averages!N715)</f>
        <v>/0</v>
      </c>
    </row>
    <row r="716" spans="1:8" x14ac:dyDescent="0.2">
      <c r="A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 t="str">
        <f>_xlfn.CONCAT(Averages!N716,"/",Averages!O716+Averages!N716)</f>
        <v>/0</v>
      </c>
    </row>
    <row r="717" spans="1:8" x14ac:dyDescent="0.2">
      <c r="A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 t="str">
        <f>_xlfn.CONCAT(Averages!N717,"/",Averages!O717+Averages!N717)</f>
        <v>/0</v>
      </c>
    </row>
    <row r="718" spans="1:8" x14ac:dyDescent="0.2">
      <c r="A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 t="str">
        <f>_xlfn.CONCAT(Averages!N718,"/",Averages!O718+Averages!N718)</f>
        <v>/0</v>
      </c>
    </row>
    <row r="719" spans="1:8" x14ac:dyDescent="0.2">
      <c r="A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 t="str">
        <f>_xlfn.CONCAT(Averages!N719,"/",Averages!O719+Averages!N719)</f>
        <v>/0</v>
      </c>
    </row>
    <row r="720" spans="1:8" x14ac:dyDescent="0.2">
      <c r="A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 t="str">
        <f>_xlfn.CONCAT(Averages!N720,"/",Averages!O720+Averages!N720)</f>
        <v>/0</v>
      </c>
    </row>
    <row r="721" spans="1:8" x14ac:dyDescent="0.2">
      <c r="A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 t="str">
        <f>_xlfn.CONCAT(Averages!N721,"/",Averages!O721+Averages!N721)</f>
        <v>/0</v>
      </c>
    </row>
    <row r="722" spans="1:8" x14ac:dyDescent="0.2">
      <c r="A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 t="str">
        <f>_xlfn.CONCAT(Averages!N722,"/",Averages!O722+Averages!N722)</f>
        <v>/0</v>
      </c>
    </row>
    <row r="723" spans="1:8" x14ac:dyDescent="0.2">
      <c r="A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 t="str">
        <f>_xlfn.CONCAT(Averages!N723,"/",Averages!O723+Averages!N723)</f>
        <v>/0</v>
      </c>
    </row>
    <row r="724" spans="1:8" x14ac:dyDescent="0.2">
      <c r="A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 t="str">
        <f>_xlfn.CONCAT(Averages!N724,"/",Averages!O724+Averages!N724)</f>
        <v>/0</v>
      </c>
    </row>
    <row r="725" spans="1:8" x14ac:dyDescent="0.2">
      <c r="A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 t="str">
        <f>_xlfn.CONCAT(Averages!N725,"/",Averages!O725+Averages!N725)</f>
        <v>/0</v>
      </c>
    </row>
    <row r="726" spans="1:8" x14ac:dyDescent="0.2">
      <c r="A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 t="str">
        <f>_xlfn.CONCAT(Averages!N726,"/",Averages!O726+Averages!N726)</f>
        <v>/0</v>
      </c>
    </row>
    <row r="727" spans="1:8" x14ac:dyDescent="0.2">
      <c r="A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 t="str">
        <f>_xlfn.CONCAT(Averages!N727,"/",Averages!O727+Averages!N727)</f>
        <v>/0</v>
      </c>
    </row>
    <row r="728" spans="1:8" x14ac:dyDescent="0.2">
      <c r="A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 t="str">
        <f>_xlfn.CONCAT(Averages!N728,"/",Averages!O728+Averages!N728)</f>
        <v>/0</v>
      </c>
    </row>
    <row r="729" spans="1:8" x14ac:dyDescent="0.2">
      <c r="A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 t="str">
        <f>_xlfn.CONCAT(Averages!N729,"/",Averages!O729+Averages!N729)</f>
        <v>/0</v>
      </c>
    </row>
    <row r="730" spans="1:8" x14ac:dyDescent="0.2">
      <c r="A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 t="str">
        <f>_xlfn.CONCAT(Averages!N730,"/",Averages!O730+Averages!N730)</f>
        <v>/0</v>
      </c>
    </row>
    <row r="731" spans="1:8" x14ac:dyDescent="0.2">
      <c r="A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 t="str">
        <f>_xlfn.CONCAT(Averages!N731,"/",Averages!O731+Averages!N731)</f>
        <v>/0</v>
      </c>
    </row>
    <row r="732" spans="1:8" x14ac:dyDescent="0.2">
      <c r="A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 t="str">
        <f>_xlfn.CONCAT(Averages!N732,"/",Averages!O732+Averages!N732)</f>
        <v>/0</v>
      </c>
    </row>
    <row r="733" spans="1:8" x14ac:dyDescent="0.2">
      <c r="A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 t="str">
        <f>_xlfn.CONCAT(Averages!N733,"/",Averages!O733+Averages!N733)</f>
        <v>/0</v>
      </c>
    </row>
    <row r="734" spans="1:8" x14ac:dyDescent="0.2">
      <c r="A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 t="str">
        <f>_xlfn.CONCAT(Averages!N734,"/",Averages!O734+Averages!N734)</f>
        <v>/0</v>
      </c>
    </row>
    <row r="735" spans="1:8" x14ac:dyDescent="0.2">
      <c r="A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 t="str">
        <f>_xlfn.CONCAT(Averages!N735,"/",Averages!O735+Averages!N735)</f>
        <v>/0</v>
      </c>
    </row>
    <row r="736" spans="1:8" x14ac:dyDescent="0.2">
      <c r="A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 t="str">
        <f>_xlfn.CONCAT(Averages!N736,"/",Averages!O736+Averages!N736)</f>
        <v>/0</v>
      </c>
    </row>
    <row r="737" spans="1:8" x14ac:dyDescent="0.2">
      <c r="A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 t="str">
        <f>_xlfn.CONCAT(Averages!N737,"/",Averages!O737+Averages!N737)</f>
        <v>/0</v>
      </c>
    </row>
    <row r="738" spans="1:8" x14ac:dyDescent="0.2">
      <c r="A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 t="str">
        <f>_xlfn.CONCAT(Averages!N738,"/",Averages!O738+Averages!N738)</f>
        <v>/0</v>
      </c>
    </row>
    <row r="739" spans="1:8" x14ac:dyDescent="0.2">
      <c r="A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 t="str">
        <f>_xlfn.CONCAT(Averages!N739,"/",Averages!O739+Averages!N739)</f>
        <v>/0</v>
      </c>
    </row>
    <row r="740" spans="1:8" x14ac:dyDescent="0.2">
      <c r="A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 t="str">
        <f>_xlfn.CONCAT(Averages!N740,"/",Averages!O740+Averages!N740)</f>
        <v>/0</v>
      </c>
    </row>
    <row r="741" spans="1:8" x14ac:dyDescent="0.2">
      <c r="A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 t="str">
        <f>_xlfn.CONCAT(Averages!N741,"/",Averages!O741+Averages!N741)</f>
        <v>/0</v>
      </c>
    </row>
    <row r="742" spans="1:8" x14ac:dyDescent="0.2">
      <c r="A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 t="str">
        <f>_xlfn.CONCAT(Averages!N742,"/",Averages!O742+Averages!N742)</f>
        <v>/0</v>
      </c>
    </row>
    <row r="743" spans="1:8" x14ac:dyDescent="0.2">
      <c r="A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 t="str">
        <f>_xlfn.CONCAT(Averages!N743,"/",Averages!O743+Averages!N743)</f>
        <v>/0</v>
      </c>
    </row>
    <row r="744" spans="1:8" x14ac:dyDescent="0.2">
      <c r="A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 t="str">
        <f>_xlfn.CONCAT(Averages!N744,"/",Averages!O744+Averages!N744)</f>
        <v>/0</v>
      </c>
    </row>
    <row r="745" spans="1:8" x14ac:dyDescent="0.2">
      <c r="A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 t="str">
        <f>_xlfn.CONCAT(Averages!N745,"/",Averages!O745+Averages!N745)</f>
        <v>/0</v>
      </c>
    </row>
    <row r="746" spans="1:8" x14ac:dyDescent="0.2">
      <c r="A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 t="str">
        <f>_xlfn.CONCAT(Averages!N746,"/",Averages!O746+Averages!N746)</f>
        <v>/0</v>
      </c>
    </row>
    <row r="747" spans="1:8" x14ac:dyDescent="0.2">
      <c r="A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 t="str">
        <f>_xlfn.CONCAT(Averages!N747,"/",Averages!O747+Averages!N747)</f>
        <v>/0</v>
      </c>
    </row>
    <row r="748" spans="1:8" x14ac:dyDescent="0.2">
      <c r="A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 t="str">
        <f>_xlfn.CONCAT(Averages!N748,"/",Averages!O748+Averages!N748)</f>
        <v>/0</v>
      </c>
    </row>
    <row r="749" spans="1:8" x14ac:dyDescent="0.2">
      <c r="A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 t="str">
        <f>_xlfn.CONCAT(Averages!N749,"/",Averages!O749+Averages!N749)</f>
        <v>/0</v>
      </c>
    </row>
    <row r="750" spans="1:8" x14ac:dyDescent="0.2">
      <c r="A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 t="str">
        <f>_xlfn.CONCAT(Averages!N750,"/",Averages!O750+Averages!N750)</f>
        <v>/0</v>
      </c>
    </row>
    <row r="751" spans="1:8" x14ac:dyDescent="0.2">
      <c r="A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 t="str">
        <f>_xlfn.CONCAT(Averages!N751,"/",Averages!O751+Averages!N751)</f>
        <v>/0</v>
      </c>
    </row>
    <row r="752" spans="1:8" x14ac:dyDescent="0.2">
      <c r="A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 t="str">
        <f>_xlfn.CONCAT(Averages!N752,"/",Averages!O752+Averages!N752)</f>
        <v>/0</v>
      </c>
    </row>
    <row r="753" spans="1:8" x14ac:dyDescent="0.2">
      <c r="A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 t="str">
        <f>_xlfn.CONCAT(Averages!N753,"/",Averages!O753+Averages!N753)</f>
        <v>/0</v>
      </c>
    </row>
    <row r="754" spans="1:8" x14ac:dyDescent="0.2">
      <c r="A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 t="str">
        <f>_xlfn.CONCAT(Averages!N754,"/",Averages!O754+Averages!N754)</f>
        <v>/0</v>
      </c>
    </row>
    <row r="755" spans="1:8" x14ac:dyDescent="0.2">
      <c r="A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 t="str">
        <f>_xlfn.CONCAT(Averages!N755,"/",Averages!O755+Averages!N755)</f>
        <v>/0</v>
      </c>
    </row>
    <row r="756" spans="1:8" x14ac:dyDescent="0.2">
      <c r="A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 t="str">
        <f>_xlfn.CONCAT(Averages!N756,"/",Averages!O756+Averages!N756)</f>
        <v>/0</v>
      </c>
    </row>
    <row r="757" spans="1:8" x14ac:dyDescent="0.2">
      <c r="A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 t="str">
        <f>_xlfn.CONCAT(Averages!N757,"/",Averages!O757+Averages!N757)</f>
        <v>/0</v>
      </c>
    </row>
    <row r="758" spans="1:8" x14ac:dyDescent="0.2">
      <c r="A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 t="str">
        <f>_xlfn.CONCAT(Averages!N758,"/",Averages!O758+Averages!N758)</f>
        <v>/0</v>
      </c>
    </row>
    <row r="759" spans="1:8" x14ac:dyDescent="0.2">
      <c r="A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 t="str">
        <f>_xlfn.CONCAT(Averages!N759,"/",Averages!O759+Averages!N759)</f>
        <v>/0</v>
      </c>
    </row>
    <row r="760" spans="1:8" x14ac:dyDescent="0.2">
      <c r="A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 t="str">
        <f>_xlfn.CONCAT(Averages!N760,"/",Averages!O760+Averages!N760)</f>
        <v>/0</v>
      </c>
    </row>
    <row r="761" spans="1:8" x14ac:dyDescent="0.2">
      <c r="A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 t="str">
        <f>_xlfn.CONCAT(Averages!N761,"/",Averages!O761+Averages!N761)</f>
        <v>/0</v>
      </c>
    </row>
    <row r="762" spans="1:8" x14ac:dyDescent="0.2">
      <c r="A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 t="str">
        <f>_xlfn.CONCAT(Averages!N762,"/",Averages!O762+Averages!N762)</f>
        <v>/0</v>
      </c>
    </row>
    <row r="763" spans="1:8" x14ac:dyDescent="0.2">
      <c r="A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 t="str">
        <f>_xlfn.CONCAT(Averages!N763,"/",Averages!O763+Averages!N763)</f>
        <v>/0</v>
      </c>
    </row>
    <row r="764" spans="1:8" x14ac:dyDescent="0.2">
      <c r="A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 t="str">
        <f>_xlfn.CONCAT(Averages!N764,"/",Averages!O764+Averages!N764)</f>
        <v>/0</v>
      </c>
    </row>
    <row r="765" spans="1:8" x14ac:dyDescent="0.2">
      <c r="A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 t="str">
        <f>_xlfn.CONCAT(Averages!N765,"/",Averages!O765+Averages!N765)</f>
        <v>/0</v>
      </c>
    </row>
    <row r="766" spans="1:8" x14ac:dyDescent="0.2">
      <c r="A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 t="str">
        <f>_xlfn.CONCAT(Averages!N766,"/",Averages!O766+Averages!N766)</f>
        <v>/0</v>
      </c>
    </row>
    <row r="767" spans="1:8" x14ac:dyDescent="0.2">
      <c r="A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 t="str">
        <f>_xlfn.CONCAT(Averages!N767,"/",Averages!O767+Averages!N767)</f>
        <v>/0</v>
      </c>
    </row>
    <row r="768" spans="1:8" x14ac:dyDescent="0.2">
      <c r="A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 t="str">
        <f>_xlfn.CONCAT(Averages!N768,"/",Averages!O768+Averages!N768)</f>
        <v>/0</v>
      </c>
    </row>
    <row r="769" spans="1:8" x14ac:dyDescent="0.2">
      <c r="A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 t="str">
        <f>_xlfn.CONCAT(Averages!N769,"/",Averages!O769+Averages!N769)</f>
        <v>/0</v>
      </c>
    </row>
    <row r="770" spans="1:8" x14ac:dyDescent="0.2">
      <c r="A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 t="str">
        <f>_xlfn.CONCAT(Averages!N770,"/",Averages!O770+Averages!N770)</f>
        <v>/0</v>
      </c>
    </row>
    <row r="771" spans="1:8" x14ac:dyDescent="0.2">
      <c r="A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 t="str">
        <f>_xlfn.CONCAT(Averages!N771,"/",Averages!O771+Averages!N771)</f>
        <v>/0</v>
      </c>
    </row>
    <row r="772" spans="1:8" x14ac:dyDescent="0.2">
      <c r="A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 t="str">
        <f>_xlfn.CONCAT(Averages!N772,"/",Averages!O772+Averages!N772)</f>
        <v>/0</v>
      </c>
    </row>
    <row r="773" spans="1:8" x14ac:dyDescent="0.2">
      <c r="A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 t="str">
        <f>_xlfn.CONCAT(Averages!N773,"/",Averages!O773+Averages!N773)</f>
        <v>/0</v>
      </c>
    </row>
    <row r="774" spans="1:8" x14ac:dyDescent="0.2">
      <c r="A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 t="str">
        <f>_xlfn.CONCAT(Averages!N774,"/",Averages!O774+Averages!N774)</f>
        <v>/0</v>
      </c>
    </row>
    <row r="775" spans="1:8" x14ac:dyDescent="0.2">
      <c r="A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 t="str">
        <f>_xlfn.CONCAT(Averages!N775,"/",Averages!O775+Averages!N775)</f>
        <v>/0</v>
      </c>
    </row>
    <row r="776" spans="1:8" x14ac:dyDescent="0.2">
      <c r="A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 t="str">
        <f>_xlfn.CONCAT(Averages!N776,"/",Averages!O776+Averages!N776)</f>
        <v>/0</v>
      </c>
    </row>
    <row r="777" spans="1:8" x14ac:dyDescent="0.2">
      <c r="A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 t="str">
        <f>_xlfn.CONCAT(Averages!N777,"/",Averages!O777+Averages!N777)</f>
        <v>/0</v>
      </c>
    </row>
    <row r="778" spans="1:8" x14ac:dyDescent="0.2">
      <c r="A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 t="str">
        <f>_xlfn.CONCAT(Averages!N778,"/",Averages!O778+Averages!N778)</f>
        <v>/0</v>
      </c>
    </row>
    <row r="779" spans="1:8" x14ac:dyDescent="0.2">
      <c r="A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 t="str">
        <f>_xlfn.CONCAT(Averages!N779,"/",Averages!O779+Averages!N779)</f>
        <v>/0</v>
      </c>
    </row>
    <row r="780" spans="1:8" x14ac:dyDescent="0.2">
      <c r="A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 t="str">
        <f>_xlfn.CONCAT(Averages!N780,"/",Averages!O780+Averages!N780)</f>
        <v>/0</v>
      </c>
    </row>
    <row r="781" spans="1:8" x14ac:dyDescent="0.2">
      <c r="A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 t="str">
        <f>_xlfn.CONCAT(Averages!N781,"/",Averages!O781+Averages!N781)</f>
        <v>/0</v>
      </c>
    </row>
    <row r="782" spans="1:8" x14ac:dyDescent="0.2">
      <c r="A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 t="str">
        <f>_xlfn.CONCAT(Averages!N782,"/",Averages!O782+Averages!N782)</f>
        <v>/0</v>
      </c>
    </row>
    <row r="783" spans="1:8" x14ac:dyDescent="0.2">
      <c r="A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 t="str">
        <f>_xlfn.CONCAT(Averages!N783,"/",Averages!O783+Averages!N783)</f>
        <v>/0</v>
      </c>
    </row>
    <row r="784" spans="1:8" x14ac:dyDescent="0.2">
      <c r="A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 t="str">
        <f>_xlfn.CONCAT(Averages!N784,"/",Averages!O784+Averages!N784)</f>
        <v>/0</v>
      </c>
    </row>
    <row r="785" spans="1:8" x14ac:dyDescent="0.2">
      <c r="A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 t="str">
        <f>_xlfn.CONCAT(Averages!N785,"/",Averages!O785+Averages!N785)</f>
        <v>/0</v>
      </c>
    </row>
    <row r="786" spans="1:8" x14ac:dyDescent="0.2">
      <c r="A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 t="str">
        <f>_xlfn.CONCAT(Averages!N786,"/",Averages!O786+Averages!N786)</f>
        <v>/0</v>
      </c>
    </row>
    <row r="787" spans="1:8" x14ac:dyDescent="0.2">
      <c r="A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 t="str">
        <f>_xlfn.CONCAT(Averages!N787,"/",Averages!O787+Averages!N787)</f>
        <v>/0</v>
      </c>
    </row>
    <row r="788" spans="1:8" x14ac:dyDescent="0.2">
      <c r="A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 t="str">
        <f>_xlfn.CONCAT(Averages!N788,"/",Averages!O788+Averages!N788)</f>
        <v>/0</v>
      </c>
    </row>
    <row r="789" spans="1:8" x14ac:dyDescent="0.2">
      <c r="A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 t="str">
        <f>_xlfn.CONCAT(Averages!N789,"/",Averages!O789+Averages!N789)</f>
        <v>/0</v>
      </c>
    </row>
    <row r="790" spans="1:8" x14ac:dyDescent="0.2">
      <c r="A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 t="str">
        <f>_xlfn.CONCAT(Averages!N790,"/",Averages!O790+Averages!N790)</f>
        <v>/0</v>
      </c>
    </row>
    <row r="791" spans="1:8" x14ac:dyDescent="0.2">
      <c r="A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 t="str">
        <f>_xlfn.CONCAT(Averages!N791,"/",Averages!O791+Averages!N791)</f>
        <v>/0</v>
      </c>
    </row>
    <row r="792" spans="1:8" x14ac:dyDescent="0.2">
      <c r="A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 t="str">
        <f>_xlfn.CONCAT(Averages!N792,"/",Averages!O792+Averages!N792)</f>
        <v>/0</v>
      </c>
    </row>
    <row r="793" spans="1:8" x14ac:dyDescent="0.2">
      <c r="A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 t="str">
        <f>_xlfn.CONCAT(Averages!N793,"/",Averages!O793+Averages!N793)</f>
        <v>/0</v>
      </c>
    </row>
    <row r="794" spans="1:8" x14ac:dyDescent="0.2">
      <c r="A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 t="str">
        <f>_xlfn.CONCAT(Averages!N794,"/",Averages!O794+Averages!N794)</f>
        <v>/0</v>
      </c>
    </row>
    <row r="795" spans="1:8" x14ac:dyDescent="0.2">
      <c r="A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 t="str">
        <f>_xlfn.CONCAT(Averages!N795,"/",Averages!O795+Averages!N795)</f>
        <v>/0</v>
      </c>
    </row>
    <row r="796" spans="1:8" x14ac:dyDescent="0.2">
      <c r="A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 t="str">
        <f>_xlfn.CONCAT(Averages!N796,"/",Averages!O796+Averages!N796)</f>
        <v>/0</v>
      </c>
    </row>
    <row r="797" spans="1:8" x14ac:dyDescent="0.2">
      <c r="A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 t="str">
        <f>_xlfn.CONCAT(Averages!N797,"/",Averages!O797+Averages!N797)</f>
        <v>/0</v>
      </c>
    </row>
    <row r="798" spans="1:8" x14ac:dyDescent="0.2">
      <c r="A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 t="str">
        <f>_xlfn.CONCAT(Averages!N798,"/",Averages!O798+Averages!N798)</f>
        <v>/0</v>
      </c>
    </row>
    <row r="799" spans="1:8" x14ac:dyDescent="0.2">
      <c r="A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 t="str">
        <f>_xlfn.CONCAT(Averages!N799,"/",Averages!O799+Averages!N799)</f>
        <v>/0</v>
      </c>
    </row>
    <row r="800" spans="1:8" x14ac:dyDescent="0.2">
      <c r="A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 t="str">
        <f>_xlfn.CONCAT(Averages!N800,"/",Averages!O800+Averages!N800)</f>
        <v>/0</v>
      </c>
    </row>
    <row r="801" spans="1:8" x14ac:dyDescent="0.2">
      <c r="A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 t="str">
        <f>_xlfn.CONCAT(Averages!N801,"/",Averages!O801+Averages!N801)</f>
        <v>/0</v>
      </c>
    </row>
    <row r="802" spans="1:8" x14ac:dyDescent="0.2">
      <c r="A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 t="str">
        <f>_xlfn.CONCAT(Averages!N802,"/",Averages!O802+Averages!N802)</f>
        <v>/0</v>
      </c>
    </row>
    <row r="803" spans="1:8" x14ac:dyDescent="0.2">
      <c r="A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 t="str">
        <f>_xlfn.CONCAT(Averages!N803,"/",Averages!O803+Averages!N803)</f>
        <v>/0</v>
      </c>
    </row>
    <row r="804" spans="1:8" x14ac:dyDescent="0.2">
      <c r="A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 t="str">
        <f>_xlfn.CONCAT(Averages!N804,"/",Averages!O804+Averages!N804)</f>
        <v>/0</v>
      </c>
    </row>
    <row r="805" spans="1:8" x14ac:dyDescent="0.2">
      <c r="A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 t="str">
        <f>_xlfn.CONCAT(Averages!N805,"/",Averages!O805+Averages!N805)</f>
        <v>/0</v>
      </c>
    </row>
    <row r="806" spans="1:8" x14ac:dyDescent="0.2">
      <c r="A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 t="str">
        <f>_xlfn.CONCAT(Averages!N806,"/",Averages!O806+Averages!N806)</f>
        <v>/0</v>
      </c>
    </row>
    <row r="807" spans="1:8" x14ac:dyDescent="0.2">
      <c r="A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 t="str">
        <f>_xlfn.CONCAT(Averages!N807,"/",Averages!O807+Averages!N807)</f>
        <v>/0</v>
      </c>
    </row>
    <row r="808" spans="1:8" x14ac:dyDescent="0.2">
      <c r="A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 t="str">
        <f>_xlfn.CONCAT(Averages!N808,"/",Averages!O808+Averages!N808)</f>
        <v>/0</v>
      </c>
    </row>
    <row r="809" spans="1:8" x14ac:dyDescent="0.2">
      <c r="A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 t="str">
        <f>_xlfn.CONCAT(Averages!N809,"/",Averages!O809+Averages!N809)</f>
        <v>/0</v>
      </c>
    </row>
    <row r="810" spans="1:8" x14ac:dyDescent="0.2">
      <c r="A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 t="str">
        <f>_xlfn.CONCAT(Averages!N810,"/",Averages!O810+Averages!N810)</f>
        <v>/0</v>
      </c>
    </row>
    <row r="811" spans="1:8" x14ac:dyDescent="0.2">
      <c r="A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 t="str">
        <f>_xlfn.CONCAT(Averages!N811,"/",Averages!O811+Averages!N811)</f>
        <v>/0</v>
      </c>
    </row>
    <row r="812" spans="1:8" x14ac:dyDescent="0.2">
      <c r="A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 t="str">
        <f>_xlfn.CONCAT(Averages!N812,"/",Averages!O812+Averages!N812)</f>
        <v>/0</v>
      </c>
    </row>
    <row r="813" spans="1:8" x14ac:dyDescent="0.2">
      <c r="A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 t="str">
        <f>_xlfn.CONCAT(Averages!N813,"/",Averages!O813+Averages!N813)</f>
        <v>/0</v>
      </c>
    </row>
    <row r="814" spans="1:8" x14ac:dyDescent="0.2">
      <c r="A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 t="str">
        <f>_xlfn.CONCAT(Averages!N814,"/",Averages!O814+Averages!N814)</f>
        <v>/0</v>
      </c>
    </row>
    <row r="815" spans="1:8" x14ac:dyDescent="0.2">
      <c r="A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 t="str">
        <f>_xlfn.CONCAT(Averages!N815,"/",Averages!O815+Averages!N815)</f>
        <v>/0</v>
      </c>
    </row>
    <row r="816" spans="1:8" x14ac:dyDescent="0.2">
      <c r="A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 t="str">
        <f>_xlfn.CONCAT(Averages!N816,"/",Averages!O816+Averages!N816)</f>
        <v>/0</v>
      </c>
    </row>
    <row r="817" spans="1:8" x14ac:dyDescent="0.2">
      <c r="A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 t="str">
        <f>_xlfn.CONCAT(Averages!N817,"/",Averages!O817+Averages!N817)</f>
        <v>/0</v>
      </c>
    </row>
    <row r="818" spans="1:8" x14ac:dyDescent="0.2">
      <c r="A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 t="str">
        <f>_xlfn.CONCAT(Averages!N818,"/",Averages!O818+Averages!N818)</f>
        <v>/0</v>
      </c>
    </row>
    <row r="819" spans="1:8" x14ac:dyDescent="0.2">
      <c r="A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 t="str">
        <f>_xlfn.CONCAT(Averages!N819,"/",Averages!O819+Averages!N819)</f>
        <v>/0</v>
      </c>
    </row>
    <row r="820" spans="1:8" x14ac:dyDescent="0.2">
      <c r="A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 t="str">
        <f>_xlfn.CONCAT(Averages!N820,"/",Averages!O820+Averages!N820)</f>
        <v>/0</v>
      </c>
    </row>
    <row r="821" spans="1:8" x14ac:dyDescent="0.2">
      <c r="A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 t="str">
        <f>_xlfn.CONCAT(Averages!N821,"/",Averages!O821+Averages!N821)</f>
        <v>/0</v>
      </c>
    </row>
    <row r="822" spans="1:8" x14ac:dyDescent="0.2">
      <c r="A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 t="str">
        <f>_xlfn.CONCAT(Averages!N822,"/",Averages!O822+Averages!N822)</f>
        <v>/0</v>
      </c>
    </row>
    <row r="823" spans="1:8" x14ac:dyDescent="0.2">
      <c r="A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 t="str">
        <f>_xlfn.CONCAT(Averages!N823,"/",Averages!O823+Averages!N823)</f>
        <v>/0</v>
      </c>
    </row>
    <row r="824" spans="1:8" x14ac:dyDescent="0.2">
      <c r="A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 t="str">
        <f>_xlfn.CONCAT(Averages!N824,"/",Averages!O824+Averages!N824)</f>
        <v>/0</v>
      </c>
    </row>
    <row r="825" spans="1:8" x14ac:dyDescent="0.2">
      <c r="A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 t="str">
        <f>_xlfn.CONCAT(Averages!N825,"/",Averages!O825+Averages!N825)</f>
        <v>/0</v>
      </c>
    </row>
    <row r="826" spans="1:8" x14ac:dyDescent="0.2">
      <c r="A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 t="str">
        <f>_xlfn.CONCAT(Averages!N826,"/",Averages!O826+Averages!N826)</f>
        <v>/0</v>
      </c>
    </row>
    <row r="827" spans="1:8" x14ac:dyDescent="0.2">
      <c r="A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 t="str">
        <f>_xlfn.CONCAT(Averages!N827,"/",Averages!O827+Averages!N827)</f>
        <v>/0</v>
      </c>
    </row>
    <row r="828" spans="1:8" x14ac:dyDescent="0.2">
      <c r="A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 t="str">
        <f>_xlfn.CONCAT(Averages!N828,"/",Averages!O828+Averages!N828)</f>
        <v>/0</v>
      </c>
    </row>
    <row r="829" spans="1:8" x14ac:dyDescent="0.2">
      <c r="A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 t="str">
        <f>_xlfn.CONCAT(Averages!N829,"/",Averages!O829+Averages!N829)</f>
        <v>/0</v>
      </c>
    </row>
    <row r="830" spans="1:8" x14ac:dyDescent="0.2">
      <c r="A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 t="str">
        <f>_xlfn.CONCAT(Averages!N830,"/",Averages!O830+Averages!N830)</f>
        <v>/0</v>
      </c>
    </row>
    <row r="831" spans="1:8" x14ac:dyDescent="0.2">
      <c r="A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 t="str">
        <f>_xlfn.CONCAT(Averages!N831,"/",Averages!O831+Averages!N831)</f>
        <v>/0</v>
      </c>
    </row>
    <row r="832" spans="1:8" x14ac:dyDescent="0.2">
      <c r="A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 t="str">
        <f>_xlfn.CONCAT(Averages!N832,"/",Averages!O832+Averages!N832)</f>
        <v>/0</v>
      </c>
    </row>
    <row r="833" spans="1:8" x14ac:dyDescent="0.2">
      <c r="A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 t="str">
        <f>_xlfn.CONCAT(Averages!N833,"/",Averages!O833+Averages!N833)</f>
        <v>/0</v>
      </c>
    </row>
    <row r="834" spans="1:8" x14ac:dyDescent="0.2">
      <c r="A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 t="str">
        <f>_xlfn.CONCAT(Averages!N834,"/",Averages!O834+Averages!N834)</f>
        <v>/0</v>
      </c>
    </row>
    <row r="835" spans="1:8" x14ac:dyDescent="0.2">
      <c r="A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 t="str">
        <f>_xlfn.CONCAT(Averages!N835,"/",Averages!O835+Averages!N835)</f>
        <v>/0</v>
      </c>
    </row>
    <row r="836" spans="1:8" x14ac:dyDescent="0.2">
      <c r="A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 t="str">
        <f>_xlfn.CONCAT(Averages!N836,"/",Averages!O836+Averages!N836)</f>
        <v>/0</v>
      </c>
    </row>
    <row r="837" spans="1:8" x14ac:dyDescent="0.2">
      <c r="A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 t="str">
        <f>_xlfn.CONCAT(Averages!N837,"/",Averages!O837+Averages!N837)</f>
        <v>/0</v>
      </c>
    </row>
    <row r="838" spans="1:8" x14ac:dyDescent="0.2">
      <c r="A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 t="str">
        <f>_xlfn.CONCAT(Averages!N838,"/",Averages!O838+Averages!N838)</f>
        <v>/0</v>
      </c>
    </row>
    <row r="839" spans="1:8" x14ac:dyDescent="0.2">
      <c r="A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 t="str">
        <f>_xlfn.CONCAT(Averages!N839,"/",Averages!O839+Averages!N839)</f>
        <v>/0</v>
      </c>
    </row>
    <row r="840" spans="1:8" x14ac:dyDescent="0.2">
      <c r="A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 t="str">
        <f>_xlfn.CONCAT(Averages!N840,"/",Averages!O840+Averages!N840)</f>
        <v>/0</v>
      </c>
    </row>
    <row r="841" spans="1:8" x14ac:dyDescent="0.2">
      <c r="A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 t="str">
        <f>_xlfn.CONCAT(Averages!N841,"/",Averages!O841+Averages!N841)</f>
        <v>/0</v>
      </c>
    </row>
    <row r="842" spans="1:8" x14ac:dyDescent="0.2">
      <c r="A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 t="str">
        <f>_xlfn.CONCAT(Averages!N842,"/",Averages!O842+Averages!N842)</f>
        <v>/0</v>
      </c>
    </row>
    <row r="843" spans="1:8" x14ac:dyDescent="0.2">
      <c r="A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 t="str">
        <f>_xlfn.CONCAT(Averages!N843,"/",Averages!O843+Averages!N843)</f>
        <v>/0</v>
      </c>
    </row>
    <row r="844" spans="1:8" x14ac:dyDescent="0.2">
      <c r="A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 t="str">
        <f>_xlfn.CONCAT(Averages!N844,"/",Averages!O844+Averages!N844)</f>
        <v>/0</v>
      </c>
    </row>
    <row r="845" spans="1:8" x14ac:dyDescent="0.2">
      <c r="A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 t="str">
        <f>_xlfn.CONCAT(Averages!N845,"/",Averages!O845+Averages!N845)</f>
        <v>/0</v>
      </c>
    </row>
    <row r="846" spans="1:8" x14ac:dyDescent="0.2">
      <c r="A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 t="str">
        <f>_xlfn.CONCAT(Averages!N846,"/",Averages!O846+Averages!N846)</f>
        <v>/0</v>
      </c>
    </row>
    <row r="847" spans="1:8" x14ac:dyDescent="0.2">
      <c r="A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 t="str">
        <f>_xlfn.CONCAT(Averages!N847,"/",Averages!O847+Averages!N847)</f>
        <v>/0</v>
      </c>
    </row>
    <row r="848" spans="1:8" x14ac:dyDescent="0.2">
      <c r="A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 t="str">
        <f>_xlfn.CONCAT(Averages!N848,"/",Averages!O848+Averages!N848)</f>
        <v>/0</v>
      </c>
    </row>
    <row r="849" spans="1:8" x14ac:dyDescent="0.2">
      <c r="A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 t="str">
        <f>_xlfn.CONCAT(Averages!N849,"/",Averages!O849+Averages!N849)</f>
        <v>/0</v>
      </c>
    </row>
    <row r="850" spans="1:8" x14ac:dyDescent="0.2">
      <c r="A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 t="str">
        <f>_xlfn.CONCAT(Averages!N850,"/",Averages!O850+Averages!N850)</f>
        <v>/0</v>
      </c>
    </row>
    <row r="851" spans="1:8" x14ac:dyDescent="0.2">
      <c r="A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 t="str">
        <f>_xlfn.CONCAT(Averages!N851,"/",Averages!O851+Averages!N851)</f>
        <v>/0</v>
      </c>
    </row>
    <row r="852" spans="1:8" x14ac:dyDescent="0.2">
      <c r="A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 t="str">
        <f>_xlfn.CONCAT(Averages!N852,"/",Averages!O852+Averages!N852)</f>
        <v>/0</v>
      </c>
    </row>
    <row r="853" spans="1:8" x14ac:dyDescent="0.2">
      <c r="A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 t="str">
        <f>_xlfn.CONCAT(Averages!N853,"/",Averages!O853+Averages!N853)</f>
        <v>/0</v>
      </c>
    </row>
    <row r="854" spans="1:8" x14ac:dyDescent="0.2">
      <c r="A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 t="str">
        <f>_xlfn.CONCAT(Averages!N854,"/",Averages!O854+Averages!N854)</f>
        <v>/0</v>
      </c>
    </row>
    <row r="855" spans="1:8" x14ac:dyDescent="0.2">
      <c r="A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 t="str">
        <f>_xlfn.CONCAT(Averages!N855,"/",Averages!O855+Averages!N855)</f>
        <v>/0</v>
      </c>
    </row>
    <row r="856" spans="1:8" x14ac:dyDescent="0.2">
      <c r="A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 t="str">
        <f>_xlfn.CONCAT(Averages!N856,"/",Averages!O856+Averages!N856)</f>
        <v>/0</v>
      </c>
    </row>
    <row r="857" spans="1:8" x14ac:dyDescent="0.2">
      <c r="A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 t="str">
        <f>_xlfn.CONCAT(Averages!N857,"/",Averages!O857+Averages!N857)</f>
        <v>/0</v>
      </c>
    </row>
    <row r="858" spans="1:8" x14ac:dyDescent="0.2">
      <c r="A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 t="str">
        <f>_xlfn.CONCAT(Averages!N858,"/",Averages!O858+Averages!N858)</f>
        <v>/0</v>
      </c>
    </row>
    <row r="859" spans="1:8" x14ac:dyDescent="0.2">
      <c r="A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 t="str">
        <f>_xlfn.CONCAT(Averages!N859,"/",Averages!O859+Averages!N859)</f>
        <v>/0</v>
      </c>
    </row>
    <row r="860" spans="1:8" x14ac:dyDescent="0.2">
      <c r="A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 t="str">
        <f>_xlfn.CONCAT(Averages!N860,"/",Averages!O860+Averages!N860)</f>
        <v>/0</v>
      </c>
    </row>
    <row r="861" spans="1:8" x14ac:dyDescent="0.2">
      <c r="A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 t="str">
        <f>_xlfn.CONCAT(Averages!N861,"/",Averages!O861+Averages!N861)</f>
        <v>/0</v>
      </c>
    </row>
    <row r="862" spans="1:8" x14ac:dyDescent="0.2">
      <c r="A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 t="str">
        <f>_xlfn.CONCAT(Averages!N862,"/",Averages!O862+Averages!N862)</f>
        <v>/0</v>
      </c>
    </row>
    <row r="863" spans="1:8" x14ac:dyDescent="0.2">
      <c r="A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 t="str">
        <f>_xlfn.CONCAT(Averages!N863,"/",Averages!O863+Averages!N863)</f>
        <v>/0</v>
      </c>
    </row>
    <row r="864" spans="1:8" x14ac:dyDescent="0.2">
      <c r="A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 t="str">
        <f>_xlfn.CONCAT(Averages!N864,"/",Averages!O864+Averages!N864)</f>
        <v>/0</v>
      </c>
    </row>
    <row r="865" spans="1:8" x14ac:dyDescent="0.2">
      <c r="A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 t="str">
        <f>_xlfn.CONCAT(Averages!N865,"/",Averages!O865+Averages!N865)</f>
        <v>/0</v>
      </c>
    </row>
    <row r="866" spans="1:8" x14ac:dyDescent="0.2">
      <c r="A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 t="str">
        <f>_xlfn.CONCAT(Averages!N866,"/",Averages!O866+Averages!N866)</f>
        <v>/0</v>
      </c>
    </row>
    <row r="867" spans="1:8" x14ac:dyDescent="0.2">
      <c r="A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 t="str">
        <f>_xlfn.CONCAT(Averages!N867,"/",Averages!O867+Averages!N867)</f>
        <v>/0</v>
      </c>
    </row>
    <row r="868" spans="1:8" x14ac:dyDescent="0.2">
      <c r="A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 t="str">
        <f>_xlfn.CONCAT(Averages!N868,"/",Averages!O868+Averages!N868)</f>
        <v>/0</v>
      </c>
    </row>
    <row r="869" spans="1:8" x14ac:dyDescent="0.2">
      <c r="A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 t="str">
        <f>_xlfn.CONCAT(Averages!N869,"/",Averages!O869+Averages!N869)</f>
        <v>/0</v>
      </c>
    </row>
    <row r="870" spans="1:8" x14ac:dyDescent="0.2">
      <c r="A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 t="str">
        <f>_xlfn.CONCAT(Averages!N870,"/",Averages!O870+Averages!N870)</f>
        <v>/0</v>
      </c>
    </row>
    <row r="871" spans="1:8" x14ac:dyDescent="0.2">
      <c r="A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 t="str">
        <f>_xlfn.CONCAT(Averages!N871,"/",Averages!O871+Averages!N871)</f>
        <v>/0</v>
      </c>
    </row>
    <row r="872" spans="1:8" x14ac:dyDescent="0.2">
      <c r="A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 t="str">
        <f>_xlfn.CONCAT(Averages!N872,"/",Averages!O872+Averages!N872)</f>
        <v>/0</v>
      </c>
    </row>
    <row r="873" spans="1:8" x14ac:dyDescent="0.2">
      <c r="A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 t="str">
        <f>_xlfn.CONCAT(Averages!N873,"/",Averages!O873+Averages!N873)</f>
        <v>/0</v>
      </c>
    </row>
    <row r="874" spans="1:8" x14ac:dyDescent="0.2">
      <c r="A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 t="str">
        <f>_xlfn.CONCAT(Averages!N874,"/",Averages!O874+Averages!N874)</f>
        <v>/0</v>
      </c>
    </row>
    <row r="875" spans="1:8" x14ac:dyDescent="0.2">
      <c r="A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 t="str">
        <f>_xlfn.CONCAT(Averages!N875,"/",Averages!O875+Averages!N875)</f>
        <v>/0</v>
      </c>
    </row>
    <row r="876" spans="1:8" x14ac:dyDescent="0.2">
      <c r="A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 t="str">
        <f>_xlfn.CONCAT(Averages!N876,"/",Averages!O876+Averages!N876)</f>
        <v>/0</v>
      </c>
    </row>
    <row r="877" spans="1:8" x14ac:dyDescent="0.2">
      <c r="A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 t="str">
        <f>_xlfn.CONCAT(Averages!N877,"/",Averages!O877+Averages!N877)</f>
        <v>/0</v>
      </c>
    </row>
    <row r="878" spans="1:8" x14ac:dyDescent="0.2">
      <c r="A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 t="str">
        <f>_xlfn.CONCAT(Averages!N878,"/",Averages!O878+Averages!N878)</f>
        <v>/0</v>
      </c>
    </row>
    <row r="879" spans="1:8" x14ac:dyDescent="0.2">
      <c r="A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 t="str">
        <f>_xlfn.CONCAT(Averages!N879,"/",Averages!O879+Averages!N879)</f>
        <v>/0</v>
      </c>
    </row>
    <row r="880" spans="1:8" x14ac:dyDescent="0.2">
      <c r="A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 t="str">
        <f>_xlfn.CONCAT(Averages!N880,"/",Averages!O880+Averages!N880)</f>
        <v>/0</v>
      </c>
    </row>
    <row r="881" spans="1:8" x14ac:dyDescent="0.2">
      <c r="A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 t="str">
        <f>_xlfn.CONCAT(Averages!N881,"/",Averages!O881+Averages!N881)</f>
        <v>/0</v>
      </c>
    </row>
    <row r="882" spans="1:8" x14ac:dyDescent="0.2">
      <c r="A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 t="str">
        <f>_xlfn.CONCAT(Averages!N882,"/",Averages!O882+Averages!N882)</f>
        <v>/0</v>
      </c>
    </row>
    <row r="883" spans="1:8" x14ac:dyDescent="0.2">
      <c r="A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 t="str">
        <f>_xlfn.CONCAT(Averages!N883,"/",Averages!O883+Averages!N883)</f>
        <v>/0</v>
      </c>
    </row>
    <row r="884" spans="1:8" x14ac:dyDescent="0.2">
      <c r="A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 t="str">
        <f>_xlfn.CONCAT(Averages!N884,"/",Averages!O884+Averages!N884)</f>
        <v>/0</v>
      </c>
    </row>
    <row r="885" spans="1:8" x14ac:dyDescent="0.2">
      <c r="A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 t="str">
        <f>_xlfn.CONCAT(Averages!N885,"/",Averages!O885+Averages!N885)</f>
        <v>/0</v>
      </c>
    </row>
    <row r="886" spans="1:8" x14ac:dyDescent="0.2">
      <c r="A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 t="str">
        <f>_xlfn.CONCAT(Averages!N886,"/",Averages!O886+Averages!N886)</f>
        <v>/0</v>
      </c>
    </row>
    <row r="887" spans="1:8" x14ac:dyDescent="0.2">
      <c r="A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 t="str">
        <f>_xlfn.CONCAT(Averages!N887,"/",Averages!O887+Averages!N887)</f>
        <v>/0</v>
      </c>
    </row>
    <row r="888" spans="1:8" x14ac:dyDescent="0.2">
      <c r="A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 t="str">
        <f>_xlfn.CONCAT(Averages!N888,"/",Averages!O888+Averages!N888)</f>
        <v>/0</v>
      </c>
    </row>
    <row r="889" spans="1:8" x14ac:dyDescent="0.2">
      <c r="A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 t="str">
        <f>_xlfn.CONCAT(Averages!N889,"/",Averages!O889+Averages!N889)</f>
        <v>/0</v>
      </c>
    </row>
    <row r="890" spans="1:8" x14ac:dyDescent="0.2">
      <c r="A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 t="str">
        <f>_xlfn.CONCAT(Averages!N890,"/",Averages!O890+Averages!N890)</f>
        <v>/0</v>
      </c>
    </row>
    <row r="891" spans="1:8" x14ac:dyDescent="0.2">
      <c r="A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 t="str">
        <f>_xlfn.CONCAT(Averages!N891,"/",Averages!O891+Averages!N891)</f>
        <v>/0</v>
      </c>
    </row>
    <row r="892" spans="1:8" x14ac:dyDescent="0.2">
      <c r="A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 t="str">
        <f>_xlfn.CONCAT(Averages!N892,"/",Averages!O892+Averages!N892)</f>
        <v>/0</v>
      </c>
    </row>
    <row r="893" spans="1:8" x14ac:dyDescent="0.2">
      <c r="A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 t="str">
        <f>_xlfn.CONCAT(Averages!N893,"/",Averages!O893+Averages!N893)</f>
        <v>/0</v>
      </c>
    </row>
    <row r="894" spans="1:8" x14ac:dyDescent="0.2">
      <c r="A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 t="str">
        <f>_xlfn.CONCAT(Averages!N894,"/",Averages!O894+Averages!N894)</f>
        <v>/0</v>
      </c>
    </row>
    <row r="895" spans="1:8" x14ac:dyDescent="0.2">
      <c r="A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 t="str">
        <f>_xlfn.CONCAT(Averages!N895,"/",Averages!O895+Averages!N895)</f>
        <v>/0</v>
      </c>
    </row>
    <row r="896" spans="1:8" x14ac:dyDescent="0.2">
      <c r="A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 t="str">
        <f>_xlfn.CONCAT(Averages!N896,"/",Averages!O896+Averages!N896)</f>
        <v>/0</v>
      </c>
    </row>
    <row r="897" spans="1:8" x14ac:dyDescent="0.2">
      <c r="A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 t="str">
        <f>_xlfn.CONCAT(Averages!N897,"/",Averages!O897+Averages!N897)</f>
        <v>/0</v>
      </c>
    </row>
    <row r="898" spans="1:8" x14ac:dyDescent="0.2">
      <c r="A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 t="str">
        <f>_xlfn.CONCAT(Averages!N898,"/",Averages!O898+Averages!N898)</f>
        <v>/0</v>
      </c>
    </row>
    <row r="899" spans="1:8" x14ac:dyDescent="0.2">
      <c r="A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 t="str">
        <f>_xlfn.CONCAT(Averages!N899,"/",Averages!O899+Averages!N899)</f>
        <v>/0</v>
      </c>
    </row>
    <row r="900" spans="1:8" x14ac:dyDescent="0.2">
      <c r="A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 t="str">
        <f>_xlfn.CONCAT(Averages!N900,"/",Averages!O900+Averages!N900)</f>
        <v>/0</v>
      </c>
    </row>
    <row r="901" spans="1:8" x14ac:dyDescent="0.2">
      <c r="A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 t="str">
        <f>_xlfn.CONCAT(Averages!N901,"/",Averages!O901+Averages!N901)</f>
        <v>/0</v>
      </c>
    </row>
    <row r="902" spans="1:8" x14ac:dyDescent="0.2">
      <c r="A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 t="str">
        <f>_xlfn.CONCAT(Averages!N902,"/",Averages!O902+Averages!N902)</f>
        <v>/0</v>
      </c>
    </row>
    <row r="903" spans="1:8" x14ac:dyDescent="0.2">
      <c r="A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 t="str">
        <f>_xlfn.CONCAT(Averages!N903,"/",Averages!O903+Averages!N903)</f>
        <v>/0</v>
      </c>
    </row>
    <row r="904" spans="1:8" x14ac:dyDescent="0.2">
      <c r="A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 t="str">
        <f>_xlfn.CONCAT(Averages!N904,"/",Averages!O904+Averages!N904)</f>
        <v>/0</v>
      </c>
    </row>
    <row r="905" spans="1:8" x14ac:dyDescent="0.2">
      <c r="A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 t="str">
        <f>_xlfn.CONCAT(Averages!N905,"/",Averages!O905+Averages!N905)</f>
        <v>/0</v>
      </c>
    </row>
    <row r="906" spans="1:8" x14ac:dyDescent="0.2">
      <c r="A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 t="str">
        <f>_xlfn.CONCAT(Averages!N906,"/",Averages!O906+Averages!N906)</f>
        <v>/0</v>
      </c>
    </row>
    <row r="907" spans="1:8" x14ac:dyDescent="0.2">
      <c r="A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 t="str">
        <f>_xlfn.CONCAT(Averages!N907,"/",Averages!O907+Averages!N907)</f>
        <v>/0</v>
      </c>
    </row>
    <row r="908" spans="1:8" x14ac:dyDescent="0.2">
      <c r="A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 t="str">
        <f>_xlfn.CONCAT(Averages!N908,"/",Averages!O908+Averages!N908)</f>
        <v>/0</v>
      </c>
    </row>
    <row r="909" spans="1:8" x14ac:dyDescent="0.2">
      <c r="A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 t="str">
        <f>_xlfn.CONCAT(Averages!N909,"/",Averages!O909+Averages!N909)</f>
        <v>/0</v>
      </c>
    </row>
    <row r="910" spans="1:8" x14ac:dyDescent="0.2">
      <c r="A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 t="str">
        <f>_xlfn.CONCAT(Averages!N910,"/",Averages!O910+Averages!N910)</f>
        <v>/0</v>
      </c>
    </row>
    <row r="911" spans="1:8" x14ac:dyDescent="0.2">
      <c r="A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 t="str">
        <f>_xlfn.CONCAT(Averages!N911,"/",Averages!O911+Averages!N911)</f>
        <v>/0</v>
      </c>
    </row>
    <row r="912" spans="1:8" x14ac:dyDescent="0.2">
      <c r="A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 t="str">
        <f>_xlfn.CONCAT(Averages!N912,"/",Averages!O912+Averages!N912)</f>
        <v>/0</v>
      </c>
    </row>
    <row r="913" spans="1:8" x14ac:dyDescent="0.2">
      <c r="A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 t="str">
        <f>_xlfn.CONCAT(Averages!N913,"/",Averages!O913+Averages!N913)</f>
        <v>/0</v>
      </c>
    </row>
    <row r="914" spans="1:8" x14ac:dyDescent="0.2">
      <c r="A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 t="str">
        <f>_xlfn.CONCAT(Averages!N914,"/",Averages!O914+Averages!N914)</f>
        <v>/0</v>
      </c>
    </row>
    <row r="915" spans="1:8" x14ac:dyDescent="0.2">
      <c r="A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 t="str">
        <f>_xlfn.CONCAT(Averages!N915,"/",Averages!O915+Averages!N915)</f>
        <v>/0</v>
      </c>
    </row>
    <row r="916" spans="1:8" x14ac:dyDescent="0.2">
      <c r="A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 t="str">
        <f>_xlfn.CONCAT(Averages!N916,"/",Averages!O916+Averages!N916)</f>
        <v>/0</v>
      </c>
    </row>
    <row r="917" spans="1:8" x14ac:dyDescent="0.2">
      <c r="A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 t="str">
        <f>_xlfn.CONCAT(Averages!N917,"/",Averages!O917+Averages!N917)</f>
        <v>/0</v>
      </c>
    </row>
    <row r="918" spans="1:8" x14ac:dyDescent="0.2">
      <c r="A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 t="str">
        <f>_xlfn.CONCAT(Averages!N918,"/",Averages!O918+Averages!N918)</f>
        <v>/0</v>
      </c>
    </row>
    <row r="919" spans="1:8" x14ac:dyDescent="0.2">
      <c r="A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 t="str">
        <f>_xlfn.CONCAT(Averages!N919,"/",Averages!O919+Averages!N919)</f>
        <v>/0</v>
      </c>
    </row>
    <row r="920" spans="1:8" x14ac:dyDescent="0.2">
      <c r="A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 t="str">
        <f>_xlfn.CONCAT(Averages!N920,"/",Averages!O920+Averages!N920)</f>
        <v>/0</v>
      </c>
    </row>
    <row r="921" spans="1:8" x14ac:dyDescent="0.2">
      <c r="A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 t="str">
        <f>_xlfn.CONCAT(Averages!N921,"/",Averages!O921+Averages!N921)</f>
        <v>/0</v>
      </c>
    </row>
    <row r="922" spans="1:8" x14ac:dyDescent="0.2">
      <c r="A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 t="str">
        <f>_xlfn.CONCAT(Averages!N922,"/",Averages!O922+Averages!N922)</f>
        <v>/0</v>
      </c>
    </row>
    <row r="923" spans="1:8" x14ac:dyDescent="0.2">
      <c r="A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 t="str">
        <f>_xlfn.CONCAT(Averages!N923,"/",Averages!O923+Averages!N923)</f>
        <v>/0</v>
      </c>
    </row>
    <row r="924" spans="1:8" x14ac:dyDescent="0.2">
      <c r="A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 t="str">
        <f>_xlfn.CONCAT(Averages!N924,"/",Averages!O924+Averages!N924)</f>
        <v>/0</v>
      </c>
    </row>
    <row r="925" spans="1:8" x14ac:dyDescent="0.2">
      <c r="A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 t="str">
        <f>_xlfn.CONCAT(Averages!N925,"/",Averages!O925+Averages!N925)</f>
        <v>/0</v>
      </c>
    </row>
    <row r="926" spans="1:8" x14ac:dyDescent="0.2">
      <c r="A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 t="str">
        <f>_xlfn.CONCAT(Averages!N926,"/",Averages!O926+Averages!N926)</f>
        <v>/0</v>
      </c>
    </row>
    <row r="927" spans="1:8" x14ac:dyDescent="0.2">
      <c r="A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 t="str">
        <f>_xlfn.CONCAT(Averages!N927,"/",Averages!O927+Averages!N927)</f>
        <v>/0</v>
      </c>
    </row>
    <row r="928" spans="1:8" x14ac:dyDescent="0.2">
      <c r="A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 t="str">
        <f>_xlfn.CONCAT(Averages!N928,"/",Averages!O928+Averages!N928)</f>
        <v>/0</v>
      </c>
    </row>
    <row r="929" spans="1:8" x14ac:dyDescent="0.2">
      <c r="A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 t="str">
        <f>_xlfn.CONCAT(Averages!N929,"/",Averages!O929+Averages!N929)</f>
        <v>/0</v>
      </c>
    </row>
    <row r="930" spans="1:8" x14ac:dyDescent="0.2">
      <c r="A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 t="str">
        <f>_xlfn.CONCAT(Averages!N930,"/",Averages!O930+Averages!N930)</f>
        <v>/0</v>
      </c>
    </row>
    <row r="931" spans="1:8" x14ac:dyDescent="0.2">
      <c r="A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 t="str">
        <f>_xlfn.CONCAT(Averages!N931,"/",Averages!O931+Averages!N931)</f>
        <v>/0</v>
      </c>
    </row>
    <row r="932" spans="1:8" x14ac:dyDescent="0.2">
      <c r="A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 t="str">
        <f>_xlfn.CONCAT(Averages!N932,"/",Averages!O932+Averages!N932)</f>
        <v>/0</v>
      </c>
    </row>
    <row r="933" spans="1:8" x14ac:dyDescent="0.2">
      <c r="A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 t="str">
        <f>_xlfn.CONCAT(Averages!N933,"/",Averages!O933+Averages!N933)</f>
        <v>/0</v>
      </c>
    </row>
    <row r="934" spans="1:8" x14ac:dyDescent="0.2">
      <c r="A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 t="str">
        <f>_xlfn.CONCAT(Averages!N934,"/",Averages!O934+Averages!N934)</f>
        <v>/0</v>
      </c>
    </row>
    <row r="935" spans="1:8" x14ac:dyDescent="0.2">
      <c r="A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 t="str">
        <f>_xlfn.CONCAT(Averages!N935,"/",Averages!O935+Averages!N935)</f>
        <v>/0</v>
      </c>
    </row>
    <row r="936" spans="1:8" x14ac:dyDescent="0.2">
      <c r="A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 t="str">
        <f>_xlfn.CONCAT(Averages!N936,"/",Averages!O936+Averages!N936)</f>
        <v>/0</v>
      </c>
    </row>
    <row r="937" spans="1:8" x14ac:dyDescent="0.2">
      <c r="A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 t="str">
        <f>_xlfn.CONCAT(Averages!N937,"/",Averages!O937+Averages!N937)</f>
        <v>/0</v>
      </c>
    </row>
    <row r="938" spans="1:8" x14ac:dyDescent="0.2">
      <c r="A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 t="str">
        <f>_xlfn.CONCAT(Averages!N938,"/",Averages!O938+Averages!N938)</f>
        <v>/0</v>
      </c>
    </row>
    <row r="939" spans="1:8" x14ac:dyDescent="0.2">
      <c r="A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 t="str">
        <f>_xlfn.CONCAT(Averages!N939,"/",Averages!O939+Averages!N939)</f>
        <v>/0</v>
      </c>
    </row>
    <row r="940" spans="1:8" x14ac:dyDescent="0.2">
      <c r="A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 t="str">
        <f>_xlfn.CONCAT(Averages!N940,"/",Averages!O940+Averages!N940)</f>
        <v>/0</v>
      </c>
    </row>
    <row r="941" spans="1:8" x14ac:dyDescent="0.2">
      <c r="A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 t="str">
        <f>_xlfn.CONCAT(Averages!N941,"/",Averages!O941+Averages!N941)</f>
        <v>/0</v>
      </c>
    </row>
    <row r="942" spans="1:8" x14ac:dyDescent="0.2">
      <c r="A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 t="str">
        <f>_xlfn.CONCAT(Averages!N942,"/",Averages!O942+Averages!N942)</f>
        <v>/0</v>
      </c>
    </row>
    <row r="943" spans="1:8" x14ac:dyDescent="0.2">
      <c r="A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 t="str">
        <f>_xlfn.CONCAT(Averages!N943,"/",Averages!O943+Averages!N943)</f>
        <v>/0</v>
      </c>
    </row>
    <row r="944" spans="1:8" x14ac:dyDescent="0.2">
      <c r="A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 t="str">
        <f>_xlfn.CONCAT(Averages!N944,"/",Averages!O944+Averages!N944)</f>
        <v>/0</v>
      </c>
    </row>
    <row r="945" spans="1:8" x14ac:dyDescent="0.2">
      <c r="A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 t="str">
        <f>_xlfn.CONCAT(Averages!N945,"/",Averages!O945+Averages!N945)</f>
        <v>/0</v>
      </c>
    </row>
    <row r="946" spans="1:8" x14ac:dyDescent="0.2">
      <c r="A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 t="str">
        <f>_xlfn.CONCAT(Averages!N946,"/",Averages!O946+Averages!N946)</f>
        <v>/0</v>
      </c>
    </row>
    <row r="947" spans="1:8" x14ac:dyDescent="0.2">
      <c r="A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 t="str">
        <f>_xlfn.CONCAT(Averages!N947,"/",Averages!O947+Averages!N947)</f>
        <v>/0</v>
      </c>
    </row>
    <row r="948" spans="1:8" x14ac:dyDescent="0.2">
      <c r="A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 t="str">
        <f>_xlfn.CONCAT(Averages!N948,"/",Averages!O948+Averages!N948)</f>
        <v>/0</v>
      </c>
    </row>
    <row r="949" spans="1:8" x14ac:dyDescent="0.2">
      <c r="A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 t="str">
        <f>_xlfn.CONCAT(Averages!N949,"/",Averages!O949+Averages!N949)</f>
        <v>/0</v>
      </c>
    </row>
    <row r="950" spans="1:8" x14ac:dyDescent="0.2">
      <c r="A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 t="str">
        <f>_xlfn.CONCAT(Averages!N950,"/",Averages!O950+Averages!N950)</f>
        <v>/0</v>
      </c>
    </row>
    <row r="951" spans="1:8" x14ac:dyDescent="0.2">
      <c r="A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 t="str">
        <f>_xlfn.CONCAT(Averages!N951,"/",Averages!O951+Averages!N951)</f>
        <v>/0</v>
      </c>
    </row>
    <row r="952" spans="1:8" x14ac:dyDescent="0.2">
      <c r="A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 t="str">
        <f>_xlfn.CONCAT(Averages!N952,"/",Averages!O952+Averages!N952)</f>
        <v>/0</v>
      </c>
    </row>
    <row r="953" spans="1:8" x14ac:dyDescent="0.2">
      <c r="A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 t="str">
        <f>_xlfn.CONCAT(Averages!N953,"/",Averages!O953+Averages!N953)</f>
        <v>/0</v>
      </c>
    </row>
    <row r="954" spans="1:8" x14ac:dyDescent="0.2">
      <c r="A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 t="str">
        <f>_xlfn.CONCAT(Averages!N954,"/",Averages!O954+Averages!N954)</f>
        <v>/0</v>
      </c>
    </row>
    <row r="955" spans="1:8" x14ac:dyDescent="0.2">
      <c r="A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 t="str">
        <f>_xlfn.CONCAT(Averages!N955,"/",Averages!O955+Averages!N955)</f>
        <v>/0</v>
      </c>
    </row>
    <row r="956" spans="1:8" x14ac:dyDescent="0.2">
      <c r="A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 t="str">
        <f>_xlfn.CONCAT(Averages!N956,"/",Averages!O956+Averages!N956)</f>
        <v>/0</v>
      </c>
    </row>
    <row r="957" spans="1:8" x14ac:dyDescent="0.2">
      <c r="A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 t="str">
        <f>_xlfn.CONCAT(Averages!N957,"/",Averages!O957+Averages!N957)</f>
        <v>/0</v>
      </c>
    </row>
    <row r="958" spans="1:8" x14ac:dyDescent="0.2">
      <c r="A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 t="str">
        <f>_xlfn.CONCAT(Averages!N958,"/",Averages!O958+Averages!N958)</f>
        <v>/0</v>
      </c>
    </row>
    <row r="959" spans="1:8" x14ac:dyDescent="0.2">
      <c r="A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 t="str">
        <f>_xlfn.CONCAT(Averages!N959,"/",Averages!O959+Averages!N959)</f>
        <v>/0</v>
      </c>
    </row>
    <row r="960" spans="1:8" x14ac:dyDescent="0.2">
      <c r="A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 t="str">
        <f>_xlfn.CONCAT(Averages!N960,"/",Averages!O960+Averages!N960)</f>
        <v>/0</v>
      </c>
    </row>
    <row r="961" spans="1:8" x14ac:dyDescent="0.2">
      <c r="A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 t="str">
        <f>_xlfn.CONCAT(Averages!N961,"/",Averages!O961+Averages!N961)</f>
        <v>/0</v>
      </c>
    </row>
    <row r="962" spans="1:8" x14ac:dyDescent="0.2">
      <c r="A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 t="str">
        <f>_xlfn.CONCAT(Averages!N962,"/",Averages!O962+Averages!N962)</f>
        <v>/0</v>
      </c>
    </row>
    <row r="963" spans="1:8" x14ac:dyDescent="0.2">
      <c r="A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 t="str">
        <f>_xlfn.CONCAT(Averages!N963,"/",Averages!O963+Averages!N963)</f>
        <v>/0</v>
      </c>
    </row>
    <row r="964" spans="1:8" x14ac:dyDescent="0.2">
      <c r="A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 t="str">
        <f>_xlfn.CONCAT(Averages!N964,"/",Averages!O964+Averages!N964)</f>
        <v>/0</v>
      </c>
    </row>
    <row r="965" spans="1:8" x14ac:dyDescent="0.2">
      <c r="A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 t="str">
        <f>_xlfn.CONCAT(Averages!N965,"/",Averages!O965+Averages!N965)</f>
        <v>/0</v>
      </c>
    </row>
    <row r="966" spans="1:8" x14ac:dyDescent="0.2">
      <c r="A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 t="str">
        <f>_xlfn.CONCAT(Averages!N966,"/",Averages!O966+Averages!N966)</f>
        <v>/0</v>
      </c>
    </row>
    <row r="967" spans="1:8" x14ac:dyDescent="0.2">
      <c r="A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 t="str">
        <f>_xlfn.CONCAT(Averages!N967,"/",Averages!O967+Averages!N967)</f>
        <v>/0</v>
      </c>
    </row>
    <row r="968" spans="1:8" x14ac:dyDescent="0.2">
      <c r="A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 t="str">
        <f>_xlfn.CONCAT(Averages!N968,"/",Averages!O968+Averages!N968)</f>
        <v>/0</v>
      </c>
    </row>
    <row r="969" spans="1:8" x14ac:dyDescent="0.2">
      <c r="A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 t="str">
        <f>_xlfn.CONCAT(Averages!N969,"/",Averages!O969+Averages!N969)</f>
        <v>/0</v>
      </c>
    </row>
    <row r="970" spans="1:8" x14ac:dyDescent="0.2">
      <c r="A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 t="str">
        <f>_xlfn.CONCAT(Averages!N970,"/",Averages!O970+Averages!N970)</f>
        <v>/0</v>
      </c>
    </row>
    <row r="971" spans="1:8" x14ac:dyDescent="0.2">
      <c r="A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 t="str">
        <f>_xlfn.CONCAT(Averages!N971,"/",Averages!O971+Averages!N971)</f>
        <v>/0</v>
      </c>
    </row>
    <row r="972" spans="1:8" x14ac:dyDescent="0.2">
      <c r="A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 t="str">
        <f>_xlfn.CONCAT(Averages!N972,"/",Averages!O972+Averages!N972)</f>
        <v>/0</v>
      </c>
    </row>
    <row r="973" spans="1:8" x14ac:dyDescent="0.2">
      <c r="A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 t="str">
        <f>_xlfn.CONCAT(Averages!N973,"/",Averages!O973+Averages!N973)</f>
        <v>/0</v>
      </c>
    </row>
    <row r="974" spans="1:8" x14ac:dyDescent="0.2">
      <c r="A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 t="str">
        <f>_xlfn.CONCAT(Averages!N974,"/",Averages!O974+Averages!N974)</f>
        <v>/0</v>
      </c>
    </row>
    <row r="975" spans="1:8" x14ac:dyDescent="0.2">
      <c r="A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 t="str">
        <f>_xlfn.CONCAT(Averages!N975,"/",Averages!O975+Averages!N975)</f>
        <v>/0</v>
      </c>
    </row>
    <row r="976" spans="1:8" x14ac:dyDescent="0.2">
      <c r="A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 t="str">
        <f>_xlfn.CONCAT(Averages!N976,"/",Averages!O976+Averages!N976)</f>
        <v>/0</v>
      </c>
    </row>
    <row r="977" spans="1:8" x14ac:dyDescent="0.2">
      <c r="A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 t="str">
        <f>_xlfn.CONCAT(Averages!N977,"/",Averages!O977+Averages!N977)</f>
        <v>/0</v>
      </c>
    </row>
    <row r="978" spans="1:8" x14ac:dyDescent="0.2">
      <c r="A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 t="str">
        <f>_xlfn.CONCAT(Averages!N978,"/",Averages!O978+Averages!N978)</f>
        <v>/0</v>
      </c>
    </row>
    <row r="979" spans="1:8" x14ac:dyDescent="0.2">
      <c r="A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 t="str">
        <f>_xlfn.CONCAT(Averages!N979,"/",Averages!O979+Averages!N979)</f>
        <v>/0</v>
      </c>
    </row>
    <row r="980" spans="1:8" x14ac:dyDescent="0.2">
      <c r="A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 t="str">
        <f>_xlfn.CONCAT(Averages!N980,"/",Averages!O980+Averages!N980)</f>
        <v>/0</v>
      </c>
    </row>
    <row r="981" spans="1:8" x14ac:dyDescent="0.2">
      <c r="A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 t="str">
        <f>_xlfn.CONCAT(Averages!N981,"/",Averages!O981+Averages!N981)</f>
        <v>/0</v>
      </c>
    </row>
    <row r="982" spans="1:8" x14ac:dyDescent="0.2">
      <c r="A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 t="str">
        <f>_xlfn.CONCAT(Averages!N982,"/",Averages!O982+Averages!N982)</f>
        <v>/0</v>
      </c>
    </row>
    <row r="983" spans="1:8" x14ac:dyDescent="0.2">
      <c r="A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 t="str">
        <f>_xlfn.CONCAT(Averages!N983,"/",Averages!O983+Averages!N983)</f>
        <v>/0</v>
      </c>
    </row>
    <row r="984" spans="1:8" x14ac:dyDescent="0.2">
      <c r="A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 t="str">
        <f>_xlfn.CONCAT(Averages!N984,"/",Averages!O984+Averages!N984)</f>
        <v>/0</v>
      </c>
    </row>
    <row r="985" spans="1:8" x14ac:dyDescent="0.2">
      <c r="A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 t="str">
        <f>_xlfn.CONCAT(Averages!N985,"/",Averages!O985+Averages!N985)</f>
        <v>/0</v>
      </c>
    </row>
    <row r="986" spans="1:8" x14ac:dyDescent="0.2">
      <c r="A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 t="str">
        <f>_xlfn.CONCAT(Averages!N986,"/",Averages!O986+Averages!N986)</f>
        <v>/0</v>
      </c>
    </row>
    <row r="987" spans="1:8" x14ac:dyDescent="0.2">
      <c r="A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 t="str">
        <f>_xlfn.CONCAT(Averages!N987,"/",Averages!O987+Averages!N987)</f>
        <v>/0</v>
      </c>
    </row>
    <row r="988" spans="1:8" x14ac:dyDescent="0.2">
      <c r="A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 t="str">
        <f>_xlfn.CONCAT(Averages!N988,"/",Averages!O988+Averages!N988)</f>
        <v>/0</v>
      </c>
    </row>
    <row r="989" spans="1:8" x14ac:dyDescent="0.2">
      <c r="A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 t="str">
        <f>_xlfn.CONCAT(Averages!N989,"/",Averages!O989+Averages!N989)</f>
        <v>/0</v>
      </c>
    </row>
    <row r="990" spans="1:8" x14ac:dyDescent="0.2">
      <c r="A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 t="str">
        <f>_xlfn.CONCAT(Averages!N990,"/",Averages!O990+Averages!N990)</f>
        <v>/0</v>
      </c>
    </row>
    <row r="991" spans="1:8" x14ac:dyDescent="0.2">
      <c r="A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 t="str">
        <f>_xlfn.CONCAT(Averages!N991,"/",Averages!O991+Averages!N991)</f>
        <v>/0</v>
      </c>
    </row>
    <row r="992" spans="1:8" x14ac:dyDescent="0.2">
      <c r="A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 t="str">
        <f>_xlfn.CONCAT(Averages!N992,"/",Averages!O992+Averages!N992)</f>
        <v>/0</v>
      </c>
    </row>
    <row r="993" spans="1:8" x14ac:dyDescent="0.2">
      <c r="A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 t="str">
        <f>_xlfn.CONCAT(Averages!N993,"/",Averages!O993+Averages!N993)</f>
        <v>/0</v>
      </c>
    </row>
    <row r="994" spans="1:8" x14ac:dyDescent="0.2">
      <c r="A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 t="str">
        <f>_xlfn.CONCAT(Averages!N994,"/",Averages!O994+Averages!N994)</f>
        <v>/0</v>
      </c>
    </row>
    <row r="995" spans="1:8" x14ac:dyDescent="0.2">
      <c r="A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 t="str">
        <f>_xlfn.CONCAT(Averages!N995,"/",Averages!O995+Averages!N995)</f>
        <v>/0</v>
      </c>
    </row>
    <row r="996" spans="1:8" x14ac:dyDescent="0.2">
      <c r="A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 t="str">
        <f>_xlfn.CONCAT(Averages!N996,"/",Averages!O996+Averages!N996)</f>
        <v>/0</v>
      </c>
    </row>
    <row r="997" spans="1:8" x14ac:dyDescent="0.2">
      <c r="A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 t="str">
        <f>_xlfn.CONCAT(Averages!N997,"/",Averages!O997+Averages!N997)</f>
        <v>/0</v>
      </c>
    </row>
    <row r="998" spans="1:8" x14ac:dyDescent="0.2">
      <c r="A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 t="str">
        <f>_xlfn.CONCAT(Averages!N998,"/",Averages!O998+Averages!N998)</f>
        <v>/0</v>
      </c>
    </row>
    <row r="999" spans="1:8" x14ac:dyDescent="0.2">
      <c r="A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 t="str">
        <f>_xlfn.CONCAT(Averages!N999,"/",Averages!O999+Averages!N999)</f>
        <v>/0</v>
      </c>
    </row>
    <row r="1000" spans="1:8" x14ac:dyDescent="0.2">
      <c r="G1000"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BA705-15FA-4D82-B82F-AAC0AFC61D39}">
  <sheetPr codeName="Sheet5"/>
  <dimension ref="A1:E7"/>
  <sheetViews>
    <sheetView workbookViewId="0">
      <selection activeCell="F2" sqref="F2"/>
    </sheetView>
  </sheetViews>
  <sheetFormatPr baseColWidth="10" defaultColWidth="8.83203125" defaultRowHeight="15" x14ac:dyDescent="0.2"/>
  <sheetData>
    <row r="1" spans="1:5" x14ac:dyDescent="0.2">
      <c r="A1" t="s">
        <v>167</v>
      </c>
      <c r="C1" t="s">
        <v>168</v>
      </c>
      <c r="E1" t="s">
        <v>169</v>
      </c>
    </row>
    <row r="2" spans="1:5" x14ac:dyDescent="0.2">
      <c r="A2">
        <f>Prematch!A2</f>
        <v>1540</v>
      </c>
      <c r="C2">
        <f>'Auto Path Backend 3'!E2</f>
        <v>0</v>
      </c>
      <c r="E2" t="e" cm="1">
        <f t="array" ref="E2">MAX(_xlfn.BYCOL(5:5, _xlfn.LAMBDA(_xlpm.ARRAY,IF(_xlpm.ARRAY="teleOp", COLUMN(_xlpm.ARRAY), 0))))</f>
        <v>#VALUE!</v>
      </c>
    </row>
    <row r="3" spans="1:5" x14ac:dyDescent="0.2">
      <c r="B3">
        <f>COLUMN(B3)</f>
        <v>2</v>
      </c>
    </row>
    <row r="4" spans="1:5" x14ac:dyDescent="0.2">
      <c r="A4" t="s">
        <v>170</v>
      </c>
    </row>
    <row r="5" spans="1:5" x14ac:dyDescent="0.2">
      <c r="A5" t="e" cm="1">
        <f t="array" ref="A5">_xlfn.CHOOSEROWS(7:100,C2)</f>
        <v>#VALUE!</v>
      </c>
    </row>
    <row r="6" spans="1:5" x14ac:dyDescent="0.2">
      <c r="A6" t="s">
        <v>171</v>
      </c>
    </row>
    <row r="7" spans="1:5" x14ac:dyDescent="0.2">
      <c r="A7" t="e" cm="1">
        <f t="array" ref="A7">IF(_xlfn.CHOOSEROWS(Sheet1!AD:FN,getDataRows(Sheet1!D:D,Sheet1!E:E,'Prematch Backend 2A'!A2))=0,"",_xlfn.CHOOSEROWS(Sheet1!AD:FN,getDataRows(Sheet1!D:D,Sheet1!E:E,'Prematch Backend 2A'!A2)))</f>
        <v>#VALUE!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8F7FF-1515-4D40-B8B4-93FA4373D6FD}">
  <sheetPr codeName="Sheet9"/>
  <dimension ref="A1:E1004"/>
  <sheetViews>
    <sheetView zoomScaleNormal="86" workbookViewId="0">
      <selection activeCell="F2" sqref="F2"/>
    </sheetView>
  </sheetViews>
  <sheetFormatPr baseColWidth="10" defaultColWidth="8.83203125" defaultRowHeight="15" x14ac:dyDescent="0.2"/>
  <sheetData>
    <row r="1" spans="1:5" x14ac:dyDescent="0.2">
      <c r="A1" t="s">
        <v>167</v>
      </c>
      <c r="C1" t="s">
        <v>168</v>
      </c>
      <c r="E1" t="s">
        <v>169</v>
      </c>
    </row>
    <row r="2" spans="1:5" x14ac:dyDescent="0.2">
      <c r="A2">
        <f>Prematch!A2</f>
        <v>1540</v>
      </c>
      <c r="C2">
        <f>'Auto Path Backend 3'!E2</f>
        <v>0</v>
      </c>
      <c r="E2">
        <f>COUNTA(5:5)</f>
        <v>1</v>
      </c>
    </row>
    <row r="3" spans="1:5" x14ac:dyDescent="0.2">
      <c r="B3">
        <f>COLUMN(B3)</f>
        <v>2</v>
      </c>
    </row>
    <row r="4" spans="1:5" x14ac:dyDescent="0.2">
      <c r="A4" t="s">
        <v>170</v>
      </c>
    </row>
    <row r="5" spans="1:5" x14ac:dyDescent="0.2">
      <c r="A5" t="e" cm="1">
        <f t="array" ref="A5">_xlfn.TOROW(_xlfn.CHOOSEROWS(B7:AAA100,_xlfn.MAKEARRAY(1,COUNTA(C7:C100),_xlfn.LAMBDA(_xlpm.r,_xlpm.c,_xlpm.c))),1)</f>
        <v>#VALUE!</v>
      </c>
    </row>
    <row r="6" spans="1:5" x14ac:dyDescent="0.2">
      <c r="A6" t="s">
        <v>171</v>
      </c>
    </row>
    <row r="7" spans="1:5" x14ac:dyDescent="0.2">
      <c r="A7" t="e" cm="1">
        <f t="array" ref="A7">IF(MAX(_xlfn.BYCOL('Prematch Backend 2A'!7:7, _xlfn.LAMBDA(_xlpm.ARRAY,IF(_xlpm.ARRAY="teleOp", COLUMN(_xlpm.ARRAY), 0))))=0,"",MAX(_xlfn.BYCOL('Prematch Backend 2A'!7:7, _xlfn.LAMBDA(_xlpm.ARRAY,IF(_xlpm.ARRAY="teleOp", COLUMN(_xlpm.ARRAY), 0)))))</f>
        <v>#VALUE!</v>
      </c>
      <c r="B7" t="e" cm="1">
        <f t="array" ref="B7">IF(A7="","",_xlfn.CHOOSECOLS('Prematch Backend 2A'!7:7,_xlfn.MAKEARRAY(1,A7-2,_xlfn.LAMBDA(_xlpm.r,_xlpm.c,_xlpm.c))))</f>
        <v>#VALUE!</v>
      </c>
    </row>
    <row r="8" spans="1:5" x14ac:dyDescent="0.2">
      <c r="A8" t="str" cm="1">
        <f t="array" ref="A8">IF(MAX(_xlfn.BYCOL('Prematch Backend 2A'!8:8, _xlfn.LAMBDA(_xlpm.ARRAY,IF(_xlpm.ARRAY="teleOp", COLUMN(_xlpm.ARRAY), 0))))=0,"",MAX(_xlfn.BYCOL('Prematch Backend 2A'!8:8, _xlfn.LAMBDA(_xlpm.ARRAY,IF(_xlpm.ARRAY="teleOp", COLUMN(_xlpm.ARRAY), 0)))))</f>
        <v/>
      </c>
      <c r="B8" t="str" cm="1">
        <f t="array" ref="B8">IF(A8="","",_xlfn.CHOOSECOLS('Prematch Backend 2A'!8:8,_xlfn.MAKEARRAY(1,A8-2,_xlfn.LAMBDA(_xlpm.r,_xlpm.c,_xlpm.c))))</f>
        <v/>
      </c>
    </row>
    <row r="9" spans="1:5" x14ac:dyDescent="0.2">
      <c r="A9" t="str" cm="1">
        <f t="array" ref="A9">IF(MAX(_xlfn.BYCOL('Prematch Backend 2A'!9:9, _xlfn.LAMBDA(_xlpm.ARRAY,IF(_xlpm.ARRAY="teleOp", COLUMN(_xlpm.ARRAY), 0))))=0,"",MAX(_xlfn.BYCOL('Prematch Backend 2A'!9:9, _xlfn.LAMBDA(_xlpm.ARRAY,IF(_xlpm.ARRAY="teleOp", COLUMN(_xlpm.ARRAY), 0)))))</f>
        <v/>
      </c>
      <c r="B9" t="str" cm="1">
        <f t="array" ref="B9">IF(A9="","",_xlfn.CHOOSECOLS('Prematch Backend 2A'!9:9,_xlfn.MAKEARRAY(1,A9-2,_xlfn.LAMBDA(_xlpm.r,_xlpm.c,_xlpm.c))))</f>
        <v/>
      </c>
    </row>
    <row r="10" spans="1:5" x14ac:dyDescent="0.2">
      <c r="A10" t="str" cm="1">
        <f t="array" ref="A10">IF(MAX(_xlfn.BYCOL('Prematch Backend 2A'!10:10, _xlfn.LAMBDA(_xlpm.ARRAY,IF(_xlpm.ARRAY="teleOp", COLUMN(_xlpm.ARRAY), 0))))=0,"",MAX(_xlfn.BYCOL('Prematch Backend 2A'!10:10, _xlfn.LAMBDA(_xlpm.ARRAY,IF(_xlpm.ARRAY="teleOp", COLUMN(_xlpm.ARRAY), 0)))))</f>
        <v/>
      </c>
      <c r="B10" t="str" cm="1">
        <f t="array" ref="B10">IF(A10="","",_xlfn.CHOOSECOLS('Prematch Backend 2A'!10:10,_xlfn.MAKEARRAY(1,A10-2,_xlfn.LAMBDA(_xlpm.r,_xlpm.c,_xlpm.c))))</f>
        <v/>
      </c>
    </row>
    <row r="11" spans="1:5" x14ac:dyDescent="0.2">
      <c r="A11" t="str" cm="1">
        <f t="array" ref="A11">IF(MAX(_xlfn.BYCOL('Prematch Backend 2A'!11:11, _xlfn.LAMBDA(_xlpm.ARRAY,IF(_xlpm.ARRAY="teleOp", COLUMN(_xlpm.ARRAY), 0))))=0,"",MAX(_xlfn.BYCOL('Prematch Backend 2A'!11:11, _xlfn.LAMBDA(_xlpm.ARRAY,IF(_xlpm.ARRAY="teleOp", COLUMN(_xlpm.ARRAY), 0)))))</f>
        <v/>
      </c>
      <c r="B11" t="str" cm="1">
        <f t="array" ref="B11">IF(A11="","",_xlfn.CHOOSECOLS('Prematch Backend 2A'!11:11,_xlfn.MAKEARRAY(1,A11-2,_xlfn.LAMBDA(_xlpm.r,_xlpm.c,_xlpm.c))))</f>
        <v/>
      </c>
    </row>
    <row r="12" spans="1:5" x14ac:dyDescent="0.2">
      <c r="A12" t="str" cm="1">
        <f t="array" ref="A12">IF(MAX(_xlfn.BYCOL('Prematch Backend 2A'!12:12, _xlfn.LAMBDA(_xlpm.ARRAY,IF(_xlpm.ARRAY="teleOp", COLUMN(_xlpm.ARRAY), 0))))=0,"",MAX(_xlfn.BYCOL('Prematch Backend 2A'!12:12, _xlfn.LAMBDA(_xlpm.ARRAY,IF(_xlpm.ARRAY="teleOp", COLUMN(_xlpm.ARRAY), 0)))))</f>
        <v/>
      </c>
      <c r="B12" t="str" cm="1">
        <f t="array" ref="B12">IF(A12="","",_xlfn.CHOOSECOLS('Prematch Backend 2A'!12:12,_xlfn.MAKEARRAY(1,A12-2,_xlfn.LAMBDA(_xlpm.r,_xlpm.c,_xlpm.c))))</f>
        <v/>
      </c>
    </row>
    <row r="13" spans="1:5" x14ac:dyDescent="0.2">
      <c r="A13" t="str" cm="1">
        <f t="array" ref="A13">IF(MAX(_xlfn.BYCOL('Prematch Backend 2A'!13:13, _xlfn.LAMBDA(_xlpm.ARRAY,IF(_xlpm.ARRAY="teleOp", COLUMN(_xlpm.ARRAY), 0))))=0,"",MAX(_xlfn.BYCOL('Prematch Backend 2A'!13:13, _xlfn.LAMBDA(_xlpm.ARRAY,IF(_xlpm.ARRAY="teleOp", COLUMN(_xlpm.ARRAY), 0)))))</f>
        <v/>
      </c>
      <c r="B13" t="str" cm="1">
        <f t="array" ref="B13">IF(A13="","",_xlfn.CHOOSECOLS('Prematch Backend 2A'!13:13,_xlfn.MAKEARRAY(1,A13-2,_xlfn.LAMBDA(_xlpm.r,_xlpm.c,_xlpm.c))))</f>
        <v/>
      </c>
    </row>
    <row r="14" spans="1:5" x14ac:dyDescent="0.2">
      <c r="A14" t="str" cm="1">
        <f t="array" ref="A14">IF(MAX(_xlfn.BYCOL('Prematch Backend 2A'!14:14, _xlfn.LAMBDA(_xlpm.ARRAY,IF(_xlpm.ARRAY="teleOp", COLUMN(_xlpm.ARRAY), 0))))=0,"",MAX(_xlfn.BYCOL('Prematch Backend 2A'!14:14, _xlfn.LAMBDA(_xlpm.ARRAY,IF(_xlpm.ARRAY="teleOp", COLUMN(_xlpm.ARRAY), 0)))))</f>
        <v/>
      </c>
      <c r="B14" t="str" cm="1">
        <f t="array" ref="B14">IF(A14="","",_xlfn.CHOOSECOLS('Prematch Backend 2A'!14:14,_xlfn.MAKEARRAY(1,A14-2,_xlfn.LAMBDA(_xlpm.r,_xlpm.c,_xlpm.c))))</f>
        <v/>
      </c>
    </row>
    <row r="15" spans="1:5" x14ac:dyDescent="0.2">
      <c r="A15" t="str" cm="1">
        <f t="array" ref="A15">IF(MAX(_xlfn.BYCOL('Prematch Backend 2A'!15:15, _xlfn.LAMBDA(_xlpm.ARRAY,IF(_xlpm.ARRAY="teleOp", COLUMN(_xlpm.ARRAY), 0))))=0,"",MAX(_xlfn.BYCOL('Prematch Backend 2A'!15:15, _xlfn.LAMBDA(_xlpm.ARRAY,IF(_xlpm.ARRAY="teleOp", COLUMN(_xlpm.ARRAY), 0)))))</f>
        <v/>
      </c>
      <c r="B15" t="str" cm="1">
        <f t="array" ref="B15">IF(A15="","",_xlfn.CHOOSECOLS('Prematch Backend 2A'!15:15,_xlfn.MAKEARRAY(1,A15-2,_xlfn.LAMBDA(_xlpm.r,_xlpm.c,_xlpm.c))))</f>
        <v/>
      </c>
    </row>
    <row r="16" spans="1:5" x14ac:dyDescent="0.2">
      <c r="A16" t="str" cm="1">
        <f t="array" ref="A16">IF(MAX(_xlfn.BYCOL('Prematch Backend 2A'!16:16, _xlfn.LAMBDA(_xlpm.ARRAY,IF(_xlpm.ARRAY="teleOp", COLUMN(_xlpm.ARRAY), 0))))=0,"",MAX(_xlfn.BYCOL('Prematch Backend 2A'!16:16, _xlfn.LAMBDA(_xlpm.ARRAY,IF(_xlpm.ARRAY="teleOp", COLUMN(_xlpm.ARRAY), 0)))))</f>
        <v/>
      </c>
      <c r="B16" t="str" cm="1">
        <f t="array" ref="B16">IF(A16="","",_xlfn.CHOOSECOLS('Prematch Backend 2A'!16:16,_xlfn.MAKEARRAY(1,A16-2,_xlfn.LAMBDA(_xlpm.r,_xlpm.c,_xlpm.c))))</f>
        <v/>
      </c>
    </row>
    <row r="17" spans="1:2" x14ac:dyDescent="0.2">
      <c r="A17" t="str" cm="1">
        <f t="array" ref="A17">IF(MAX(_xlfn.BYCOL('Prematch Backend 2A'!17:17, _xlfn.LAMBDA(_xlpm.ARRAY,IF(_xlpm.ARRAY="teleOp", COLUMN(_xlpm.ARRAY), 0))))=0,"",MAX(_xlfn.BYCOL('Prematch Backend 2A'!17:17, _xlfn.LAMBDA(_xlpm.ARRAY,IF(_xlpm.ARRAY="teleOp", COLUMN(_xlpm.ARRAY), 0)))))</f>
        <v/>
      </c>
      <c r="B17" t="str" cm="1">
        <f t="array" ref="B17">IF(A17="","",_xlfn.CHOOSECOLS('Prematch Backend 2A'!17:17,_xlfn.MAKEARRAY(1,A17-2,_xlfn.LAMBDA(_xlpm.r,_xlpm.c,_xlpm.c))))</f>
        <v/>
      </c>
    </row>
    <row r="18" spans="1:2" x14ac:dyDescent="0.2">
      <c r="A18" t="str" cm="1">
        <f t="array" ref="A18">IF(MAX(_xlfn.BYCOL('Prematch Backend 2A'!18:18, _xlfn.LAMBDA(_xlpm.ARRAY,IF(_xlpm.ARRAY="teleOp", COLUMN(_xlpm.ARRAY), 0))))=0,"",MAX(_xlfn.BYCOL('Prematch Backend 2A'!18:18, _xlfn.LAMBDA(_xlpm.ARRAY,IF(_xlpm.ARRAY="teleOp", COLUMN(_xlpm.ARRAY), 0)))))</f>
        <v/>
      </c>
      <c r="B18" t="str" cm="1">
        <f t="array" ref="B18">IF(A18="","",_xlfn.CHOOSECOLS('Prematch Backend 2A'!18:18,_xlfn.MAKEARRAY(1,A18-2,_xlfn.LAMBDA(_xlpm.r,_xlpm.c,_xlpm.c))))</f>
        <v/>
      </c>
    </row>
    <row r="19" spans="1:2" x14ac:dyDescent="0.2">
      <c r="A19" t="str" cm="1">
        <f t="array" ref="A19">IF(MAX(_xlfn.BYCOL('Prematch Backend 2A'!19:19, _xlfn.LAMBDA(_xlpm.ARRAY,IF(_xlpm.ARRAY="teleOp", COLUMN(_xlpm.ARRAY), 0))))=0,"",MAX(_xlfn.BYCOL('Prematch Backend 2A'!19:19, _xlfn.LAMBDA(_xlpm.ARRAY,IF(_xlpm.ARRAY="teleOp", COLUMN(_xlpm.ARRAY), 0)))))</f>
        <v/>
      </c>
      <c r="B19" t="str" cm="1">
        <f t="array" ref="B19">IF(A19="","",_xlfn.CHOOSECOLS('Prematch Backend 2A'!19:19,_xlfn.MAKEARRAY(1,A19-2,_xlfn.LAMBDA(_xlpm.r,_xlpm.c,_xlpm.c))))</f>
        <v/>
      </c>
    </row>
    <row r="20" spans="1:2" x14ac:dyDescent="0.2">
      <c r="A20" t="str" cm="1">
        <f t="array" ref="A20">IF(MAX(_xlfn.BYCOL('Prematch Backend 2A'!20:20, _xlfn.LAMBDA(_xlpm.ARRAY,IF(_xlpm.ARRAY="teleOp", COLUMN(_xlpm.ARRAY), 0))))=0,"",MAX(_xlfn.BYCOL('Prematch Backend 2A'!20:20, _xlfn.LAMBDA(_xlpm.ARRAY,IF(_xlpm.ARRAY="teleOp", COLUMN(_xlpm.ARRAY), 0)))))</f>
        <v/>
      </c>
      <c r="B20" t="str" cm="1">
        <f t="array" ref="B20">IF(A20="","",_xlfn.CHOOSECOLS('Prematch Backend 2A'!20:20,_xlfn.MAKEARRAY(1,A20-2,_xlfn.LAMBDA(_xlpm.r,_xlpm.c,_xlpm.c))))</f>
        <v/>
      </c>
    </row>
    <row r="21" spans="1:2" x14ac:dyDescent="0.2">
      <c r="A21" t="str" cm="1">
        <f t="array" ref="A21">IF(MAX(_xlfn.BYCOL('Prematch Backend 2A'!21:21, _xlfn.LAMBDA(_xlpm.ARRAY,IF(_xlpm.ARRAY="teleOp", COLUMN(_xlpm.ARRAY), 0))))=0,"",MAX(_xlfn.BYCOL('Prematch Backend 2A'!21:21, _xlfn.LAMBDA(_xlpm.ARRAY,IF(_xlpm.ARRAY="teleOp", COLUMN(_xlpm.ARRAY), 0)))))</f>
        <v/>
      </c>
      <c r="B21" t="str" cm="1">
        <f t="array" ref="B21">IF(A21="","",_xlfn.CHOOSECOLS('Prematch Backend 2A'!21:21,_xlfn.MAKEARRAY(1,A21-2,_xlfn.LAMBDA(_xlpm.r,_xlpm.c,_xlpm.c))))</f>
        <v/>
      </c>
    </row>
    <row r="22" spans="1:2" x14ac:dyDescent="0.2">
      <c r="A22" t="str" cm="1">
        <f t="array" ref="A22">IF(MAX(_xlfn.BYCOL('Prematch Backend 2A'!22:22, _xlfn.LAMBDA(_xlpm.ARRAY,IF(_xlpm.ARRAY="teleOp", COLUMN(_xlpm.ARRAY), 0))))=0,"",MAX(_xlfn.BYCOL('Prematch Backend 2A'!22:22, _xlfn.LAMBDA(_xlpm.ARRAY,IF(_xlpm.ARRAY="teleOp", COLUMN(_xlpm.ARRAY), 0)))))</f>
        <v/>
      </c>
      <c r="B22" t="str" cm="1">
        <f t="array" ref="B22">IF(A22="","",_xlfn.CHOOSECOLS('Prematch Backend 2A'!22:22,_xlfn.MAKEARRAY(1,A22-2,_xlfn.LAMBDA(_xlpm.r,_xlpm.c,_xlpm.c))))</f>
        <v/>
      </c>
    </row>
    <row r="23" spans="1:2" x14ac:dyDescent="0.2">
      <c r="A23" t="str" cm="1">
        <f t="array" ref="A23">IF(MAX(_xlfn.BYCOL('Prematch Backend 2A'!23:23, _xlfn.LAMBDA(_xlpm.ARRAY,IF(_xlpm.ARRAY="teleOp", COLUMN(_xlpm.ARRAY), 0))))=0,"",MAX(_xlfn.BYCOL('Prematch Backend 2A'!23:23, _xlfn.LAMBDA(_xlpm.ARRAY,IF(_xlpm.ARRAY="teleOp", COLUMN(_xlpm.ARRAY), 0)))))</f>
        <v/>
      </c>
      <c r="B23" t="str" cm="1">
        <f t="array" ref="B23">IF(A23="","",_xlfn.CHOOSECOLS('Prematch Backend 2A'!23:23,_xlfn.MAKEARRAY(1,A23-2,_xlfn.LAMBDA(_xlpm.r,_xlpm.c,_xlpm.c))))</f>
        <v/>
      </c>
    </row>
    <row r="24" spans="1:2" x14ac:dyDescent="0.2">
      <c r="A24" t="str" cm="1">
        <f t="array" ref="A24">IF(MAX(_xlfn.BYCOL('Prematch Backend 2A'!24:24, _xlfn.LAMBDA(_xlpm.ARRAY,IF(_xlpm.ARRAY="teleOp", COLUMN(_xlpm.ARRAY), 0))))=0,"",MAX(_xlfn.BYCOL('Prematch Backend 2A'!24:24, _xlfn.LAMBDA(_xlpm.ARRAY,IF(_xlpm.ARRAY="teleOp", COLUMN(_xlpm.ARRAY), 0)))))</f>
        <v/>
      </c>
      <c r="B24" t="str" cm="1">
        <f t="array" ref="B24">IF(A24="","",_xlfn.CHOOSECOLS('Prematch Backend 2A'!24:24,_xlfn.MAKEARRAY(1,A24-2,_xlfn.LAMBDA(_xlpm.r,_xlpm.c,_xlpm.c))))</f>
        <v/>
      </c>
    </row>
    <row r="25" spans="1:2" x14ac:dyDescent="0.2">
      <c r="A25" t="str" cm="1">
        <f t="array" ref="A25">IF(MAX(_xlfn.BYCOL('Prematch Backend 2A'!25:25, _xlfn.LAMBDA(_xlpm.ARRAY,IF(_xlpm.ARRAY="teleOp", COLUMN(_xlpm.ARRAY), 0))))=0,"",MAX(_xlfn.BYCOL('Prematch Backend 2A'!25:25, _xlfn.LAMBDA(_xlpm.ARRAY,IF(_xlpm.ARRAY="teleOp", COLUMN(_xlpm.ARRAY), 0)))))</f>
        <v/>
      </c>
      <c r="B25" t="str" cm="1">
        <f t="array" ref="B25">IF(A25="","",_xlfn.CHOOSECOLS('Prematch Backend 2A'!25:25,_xlfn.MAKEARRAY(1,A25-2,_xlfn.LAMBDA(_xlpm.r,_xlpm.c,_xlpm.c))))</f>
        <v/>
      </c>
    </row>
    <row r="26" spans="1:2" x14ac:dyDescent="0.2">
      <c r="A26" t="str" cm="1">
        <f t="array" ref="A26">IF(MAX(_xlfn.BYCOL('Prematch Backend 2A'!26:26, _xlfn.LAMBDA(_xlpm.ARRAY,IF(_xlpm.ARRAY="teleOp", COLUMN(_xlpm.ARRAY), 0))))=0,"",MAX(_xlfn.BYCOL('Prematch Backend 2A'!26:26, _xlfn.LAMBDA(_xlpm.ARRAY,IF(_xlpm.ARRAY="teleOp", COLUMN(_xlpm.ARRAY), 0)))))</f>
        <v/>
      </c>
      <c r="B26" t="str" cm="1">
        <f t="array" ref="B26">IF(A26="","",_xlfn.CHOOSECOLS('Prematch Backend 2A'!26:26,_xlfn.MAKEARRAY(1,A26-2,_xlfn.LAMBDA(_xlpm.r,_xlpm.c,_xlpm.c))))</f>
        <v/>
      </c>
    </row>
    <row r="27" spans="1:2" x14ac:dyDescent="0.2">
      <c r="A27" t="str" cm="1">
        <f t="array" ref="A27">IF(MAX(_xlfn.BYCOL('Prematch Backend 2A'!27:27, _xlfn.LAMBDA(_xlpm.ARRAY,IF(_xlpm.ARRAY="teleOp", COLUMN(_xlpm.ARRAY), 0))))=0,"",MAX(_xlfn.BYCOL('Prematch Backend 2A'!27:27, _xlfn.LAMBDA(_xlpm.ARRAY,IF(_xlpm.ARRAY="teleOp", COLUMN(_xlpm.ARRAY), 0)))))</f>
        <v/>
      </c>
      <c r="B27" t="str" cm="1">
        <f t="array" ref="B27">IF(A27="","",_xlfn.CHOOSECOLS('Prematch Backend 2A'!27:27,_xlfn.MAKEARRAY(1,A27-2,_xlfn.LAMBDA(_xlpm.r,_xlpm.c,_xlpm.c))))</f>
        <v/>
      </c>
    </row>
    <row r="28" spans="1:2" x14ac:dyDescent="0.2">
      <c r="A28" t="str" cm="1">
        <f t="array" ref="A28">IF(MAX(_xlfn.BYCOL('Prematch Backend 2A'!28:28, _xlfn.LAMBDA(_xlpm.ARRAY,IF(_xlpm.ARRAY="teleOp", COLUMN(_xlpm.ARRAY), 0))))=0,"",MAX(_xlfn.BYCOL('Prematch Backend 2A'!28:28, _xlfn.LAMBDA(_xlpm.ARRAY,IF(_xlpm.ARRAY="teleOp", COLUMN(_xlpm.ARRAY), 0)))))</f>
        <v/>
      </c>
      <c r="B28" t="str" cm="1">
        <f t="array" ref="B28">IF(A28="","",_xlfn.CHOOSECOLS('Prematch Backend 2A'!28:28,_xlfn.MAKEARRAY(1,A28-2,_xlfn.LAMBDA(_xlpm.r,_xlpm.c,_xlpm.c))))</f>
        <v/>
      </c>
    </row>
    <row r="29" spans="1:2" x14ac:dyDescent="0.2">
      <c r="A29" t="str" cm="1">
        <f t="array" ref="A29">IF(MAX(_xlfn.BYCOL('Prematch Backend 2A'!29:29, _xlfn.LAMBDA(_xlpm.ARRAY,IF(_xlpm.ARRAY="teleOp", COLUMN(_xlpm.ARRAY), 0))))=0,"",MAX(_xlfn.BYCOL('Prematch Backend 2A'!29:29, _xlfn.LAMBDA(_xlpm.ARRAY,IF(_xlpm.ARRAY="teleOp", COLUMN(_xlpm.ARRAY), 0)))))</f>
        <v/>
      </c>
      <c r="B29" t="str" cm="1">
        <f t="array" ref="B29">IF(A29="","",_xlfn.CHOOSECOLS('Prematch Backend 2A'!29:29,_xlfn.MAKEARRAY(1,A29-2,_xlfn.LAMBDA(_xlpm.r,_xlpm.c,_xlpm.c))))</f>
        <v/>
      </c>
    </row>
    <row r="30" spans="1:2" x14ac:dyDescent="0.2">
      <c r="A30" t="str" cm="1">
        <f t="array" ref="A30">IF(MAX(_xlfn.BYCOL('Prematch Backend 2A'!30:30, _xlfn.LAMBDA(_xlpm.ARRAY,IF(_xlpm.ARRAY="teleOp", COLUMN(_xlpm.ARRAY), 0))))=0,"",MAX(_xlfn.BYCOL('Prematch Backend 2A'!30:30, _xlfn.LAMBDA(_xlpm.ARRAY,IF(_xlpm.ARRAY="teleOp", COLUMN(_xlpm.ARRAY), 0)))))</f>
        <v/>
      </c>
      <c r="B30" t="str" cm="1">
        <f t="array" ref="B30">IF(A30="","",_xlfn.CHOOSECOLS('Prematch Backend 2A'!30:30,_xlfn.MAKEARRAY(1,A30-2,_xlfn.LAMBDA(_xlpm.r,_xlpm.c,_xlpm.c))))</f>
        <v/>
      </c>
    </row>
    <row r="31" spans="1:2" x14ac:dyDescent="0.2">
      <c r="A31" t="str" cm="1">
        <f t="array" ref="A31">IF(MAX(_xlfn.BYCOL('Prematch Backend 2A'!31:31, _xlfn.LAMBDA(_xlpm.ARRAY,IF(_xlpm.ARRAY="teleOp", COLUMN(_xlpm.ARRAY), 0))))=0,"",MAX(_xlfn.BYCOL('Prematch Backend 2A'!31:31, _xlfn.LAMBDA(_xlpm.ARRAY,IF(_xlpm.ARRAY="teleOp", COLUMN(_xlpm.ARRAY), 0)))))</f>
        <v/>
      </c>
      <c r="B31" t="str" cm="1">
        <f t="array" ref="B31">IF(A31="","",_xlfn.CHOOSECOLS('Prematch Backend 2A'!31:31,_xlfn.MAKEARRAY(1,A31-2,_xlfn.LAMBDA(_xlpm.r,_xlpm.c,_xlpm.c))))</f>
        <v/>
      </c>
    </row>
    <row r="32" spans="1:2" x14ac:dyDescent="0.2">
      <c r="A32" t="str" cm="1">
        <f t="array" ref="A32">IF(MAX(_xlfn.BYCOL('Prematch Backend 2A'!32:32, _xlfn.LAMBDA(_xlpm.ARRAY,IF(_xlpm.ARRAY="teleOp", COLUMN(_xlpm.ARRAY), 0))))=0,"",MAX(_xlfn.BYCOL('Prematch Backend 2A'!32:32, _xlfn.LAMBDA(_xlpm.ARRAY,IF(_xlpm.ARRAY="teleOp", COLUMN(_xlpm.ARRAY), 0)))))</f>
        <v/>
      </c>
      <c r="B32" t="str" cm="1">
        <f t="array" ref="B32">IF(A32="","",_xlfn.CHOOSECOLS('Prematch Backend 2A'!32:32,_xlfn.MAKEARRAY(1,A32-2,_xlfn.LAMBDA(_xlpm.r,_xlpm.c,_xlpm.c))))</f>
        <v/>
      </c>
    </row>
    <row r="33" spans="1:2" x14ac:dyDescent="0.2">
      <c r="A33" t="str" cm="1">
        <f t="array" ref="A33">IF(MAX(_xlfn.BYCOL('Prematch Backend 2A'!33:33, _xlfn.LAMBDA(_xlpm.ARRAY,IF(_xlpm.ARRAY="teleOp", COLUMN(_xlpm.ARRAY), 0))))=0,"",MAX(_xlfn.BYCOL('Prematch Backend 2A'!33:33, _xlfn.LAMBDA(_xlpm.ARRAY,IF(_xlpm.ARRAY="teleOp", COLUMN(_xlpm.ARRAY), 0)))))</f>
        <v/>
      </c>
      <c r="B33" t="str" cm="1">
        <f t="array" ref="B33">IF(A33="","",_xlfn.CHOOSECOLS('Prematch Backend 2A'!33:33,_xlfn.MAKEARRAY(1,A33-2,_xlfn.LAMBDA(_xlpm.r,_xlpm.c,_xlpm.c))))</f>
        <v/>
      </c>
    </row>
    <row r="34" spans="1:2" x14ac:dyDescent="0.2">
      <c r="A34" t="str" cm="1">
        <f t="array" ref="A34">IF(MAX(_xlfn.BYCOL('Prematch Backend 2A'!34:34, _xlfn.LAMBDA(_xlpm.ARRAY,IF(_xlpm.ARRAY="teleOp", COLUMN(_xlpm.ARRAY), 0))))=0,"",MAX(_xlfn.BYCOL('Prematch Backend 2A'!34:34, _xlfn.LAMBDA(_xlpm.ARRAY,IF(_xlpm.ARRAY="teleOp", COLUMN(_xlpm.ARRAY), 0)))))</f>
        <v/>
      </c>
      <c r="B34" t="str" cm="1">
        <f t="array" ref="B34">IF(A34="","",_xlfn.CHOOSECOLS('Prematch Backend 2A'!34:34,_xlfn.MAKEARRAY(1,A34-2,_xlfn.LAMBDA(_xlpm.r,_xlpm.c,_xlpm.c))))</f>
        <v/>
      </c>
    </row>
    <row r="35" spans="1:2" x14ac:dyDescent="0.2">
      <c r="A35" t="str" cm="1">
        <f t="array" ref="A35">IF(MAX(_xlfn.BYCOL('Prematch Backend 2A'!35:35, _xlfn.LAMBDA(_xlpm.ARRAY,IF(_xlpm.ARRAY="teleOp", COLUMN(_xlpm.ARRAY), 0))))=0,"",MAX(_xlfn.BYCOL('Prematch Backend 2A'!35:35, _xlfn.LAMBDA(_xlpm.ARRAY,IF(_xlpm.ARRAY="teleOp", COLUMN(_xlpm.ARRAY), 0)))))</f>
        <v/>
      </c>
      <c r="B35" t="str" cm="1">
        <f t="array" ref="B35">IF(A35="","",_xlfn.CHOOSECOLS('Prematch Backend 2A'!35:35,_xlfn.MAKEARRAY(1,A35-2,_xlfn.LAMBDA(_xlpm.r,_xlpm.c,_xlpm.c))))</f>
        <v/>
      </c>
    </row>
    <row r="36" spans="1:2" x14ac:dyDescent="0.2">
      <c r="A36" t="str" cm="1">
        <f t="array" ref="A36">IF(MAX(_xlfn.BYCOL('Prematch Backend 2A'!36:36, _xlfn.LAMBDA(_xlpm.ARRAY,IF(_xlpm.ARRAY="teleOp", COLUMN(_xlpm.ARRAY), 0))))=0,"",MAX(_xlfn.BYCOL('Prematch Backend 2A'!36:36, _xlfn.LAMBDA(_xlpm.ARRAY,IF(_xlpm.ARRAY="teleOp", COLUMN(_xlpm.ARRAY), 0)))))</f>
        <v/>
      </c>
      <c r="B36" t="str" cm="1">
        <f t="array" ref="B36">IF(A36="","",_xlfn.CHOOSECOLS('Prematch Backend 2A'!36:36,_xlfn.MAKEARRAY(1,A36-2,_xlfn.LAMBDA(_xlpm.r,_xlpm.c,_xlpm.c))))</f>
        <v/>
      </c>
    </row>
    <row r="37" spans="1:2" x14ac:dyDescent="0.2">
      <c r="A37" t="str" cm="1">
        <f t="array" ref="A37">IF(MAX(_xlfn.BYCOL('Prematch Backend 2A'!37:37, _xlfn.LAMBDA(_xlpm.ARRAY,IF(_xlpm.ARRAY="teleOp", COLUMN(_xlpm.ARRAY), 0))))=0,"",MAX(_xlfn.BYCOL('Prematch Backend 2A'!37:37, _xlfn.LAMBDA(_xlpm.ARRAY,IF(_xlpm.ARRAY="teleOp", COLUMN(_xlpm.ARRAY), 0)))))</f>
        <v/>
      </c>
      <c r="B37" t="str" cm="1">
        <f t="array" ref="B37">IF(A37="","",_xlfn.CHOOSECOLS('Prematch Backend 2A'!37:37,_xlfn.MAKEARRAY(1,A37-2,_xlfn.LAMBDA(_xlpm.r,_xlpm.c,_xlpm.c))))</f>
        <v/>
      </c>
    </row>
    <row r="38" spans="1:2" x14ac:dyDescent="0.2">
      <c r="A38" t="str" cm="1">
        <f t="array" ref="A38">IF(MAX(_xlfn.BYCOL('Prematch Backend 2A'!38:38, _xlfn.LAMBDA(_xlpm.ARRAY,IF(_xlpm.ARRAY="teleOp", COLUMN(_xlpm.ARRAY), 0))))=0,"",MAX(_xlfn.BYCOL('Prematch Backend 2A'!38:38, _xlfn.LAMBDA(_xlpm.ARRAY,IF(_xlpm.ARRAY="teleOp", COLUMN(_xlpm.ARRAY), 0)))))</f>
        <v/>
      </c>
      <c r="B38" t="str" cm="1">
        <f t="array" ref="B38">IF(A38="","",_xlfn.CHOOSECOLS('Prematch Backend 2A'!38:38,_xlfn.MAKEARRAY(1,A38-2,_xlfn.LAMBDA(_xlpm.r,_xlpm.c,_xlpm.c))))</f>
        <v/>
      </c>
    </row>
    <row r="39" spans="1:2" x14ac:dyDescent="0.2">
      <c r="A39" t="str" cm="1">
        <f t="array" ref="A39">IF(MAX(_xlfn.BYCOL('Prematch Backend 2A'!39:39, _xlfn.LAMBDA(_xlpm.ARRAY,IF(_xlpm.ARRAY="teleOp", COLUMN(_xlpm.ARRAY), 0))))=0,"",MAX(_xlfn.BYCOL('Prematch Backend 2A'!39:39, _xlfn.LAMBDA(_xlpm.ARRAY,IF(_xlpm.ARRAY="teleOp", COLUMN(_xlpm.ARRAY), 0)))))</f>
        <v/>
      </c>
      <c r="B39" t="str" cm="1">
        <f t="array" ref="B39">IF(A39="","",_xlfn.CHOOSECOLS('Prematch Backend 2A'!39:39,_xlfn.MAKEARRAY(1,A39-2,_xlfn.LAMBDA(_xlpm.r,_xlpm.c,_xlpm.c))))</f>
        <v/>
      </c>
    </row>
    <row r="40" spans="1:2" x14ac:dyDescent="0.2">
      <c r="A40" t="str" cm="1">
        <f t="array" ref="A40">IF(MAX(_xlfn.BYCOL('Prematch Backend 2A'!40:40, _xlfn.LAMBDA(_xlpm.ARRAY,IF(_xlpm.ARRAY="teleOp", COLUMN(_xlpm.ARRAY), 0))))=0,"",MAX(_xlfn.BYCOL('Prematch Backend 2A'!40:40, _xlfn.LAMBDA(_xlpm.ARRAY,IF(_xlpm.ARRAY="teleOp", COLUMN(_xlpm.ARRAY), 0)))))</f>
        <v/>
      </c>
      <c r="B40" t="str" cm="1">
        <f t="array" ref="B40">IF(A40="","",_xlfn.CHOOSECOLS('Prematch Backend 2A'!40:40,_xlfn.MAKEARRAY(1,A40-2,_xlfn.LAMBDA(_xlpm.r,_xlpm.c,_xlpm.c))))</f>
        <v/>
      </c>
    </row>
    <row r="41" spans="1:2" x14ac:dyDescent="0.2">
      <c r="A41" t="str" cm="1">
        <f t="array" ref="A41">IF(MAX(_xlfn.BYCOL('Prematch Backend 2A'!41:41, _xlfn.LAMBDA(_xlpm.ARRAY,IF(_xlpm.ARRAY="teleOp", COLUMN(_xlpm.ARRAY), 0))))=0,"",MAX(_xlfn.BYCOL('Prematch Backend 2A'!41:41, _xlfn.LAMBDA(_xlpm.ARRAY,IF(_xlpm.ARRAY="teleOp", COLUMN(_xlpm.ARRAY), 0)))))</f>
        <v/>
      </c>
      <c r="B41" t="str" cm="1">
        <f t="array" ref="B41">IF(A41="","",_xlfn.CHOOSECOLS('Prematch Backend 2A'!41:41,_xlfn.MAKEARRAY(1,A41-2,_xlfn.LAMBDA(_xlpm.r,_xlpm.c,_xlpm.c))))</f>
        <v/>
      </c>
    </row>
    <row r="42" spans="1:2" x14ac:dyDescent="0.2">
      <c r="A42" t="str" cm="1">
        <f t="array" ref="A42">IF(MAX(_xlfn.BYCOL('Prematch Backend 2A'!42:42, _xlfn.LAMBDA(_xlpm.ARRAY,IF(_xlpm.ARRAY="teleOp", COLUMN(_xlpm.ARRAY), 0))))=0,"",MAX(_xlfn.BYCOL('Prematch Backend 2A'!42:42, _xlfn.LAMBDA(_xlpm.ARRAY,IF(_xlpm.ARRAY="teleOp", COLUMN(_xlpm.ARRAY), 0)))))</f>
        <v/>
      </c>
      <c r="B42" t="str" cm="1">
        <f t="array" ref="B42">IF(A42="","",_xlfn.CHOOSECOLS('Prematch Backend 2A'!42:42,_xlfn.MAKEARRAY(1,A42-2,_xlfn.LAMBDA(_xlpm.r,_xlpm.c,_xlpm.c))))</f>
        <v/>
      </c>
    </row>
    <row r="43" spans="1:2" x14ac:dyDescent="0.2">
      <c r="A43" t="str" cm="1">
        <f t="array" ref="A43">IF(MAX(_xlfn.BYCOL('Prematch Backend 2A'!43:43, _xlfn.LAMBDA(_xlpm.ARRAY,IF(_xlpm.ARRAY="teleOp", COLUMN(_xlpm.ARRAY), 0))))=0,"",MAX(_xlfn.BYCOL('Prematch Backend 2A'!43:43, _xlfn.LAMBDA(_xlpm.ARRAY,IF(_xlpm.ARRAY="teleOp", COLUMN(_xlpm.ARRAY), 0)))))</f>
        <v/>
      </c>
      <c r="B43" t="str" cm="1">
        <f t="array" ref="B43">IF(A43="","",_xlfn.CHOOSECOLS('Prematch Backend 2A'!43:43,_xlfn.MAKEARRAY(1,A43-2,_xlfn.LAMBDA(_xlpm.r,_xlpm.c,_xlpm.c))))</f>
        <v/>
      </c>
    </row>
    <row r="44" spans="1:2" x14ac:dyDescent="0.2">
      <c r="A44" t="str" cm="1">
        <f t="array" ref="A44">IF(MAX(_xlfn.BYCOL('Prematch Backend 2A'!44:44, _xlfn.LAMBDA(_xlpm.ARRAY,IF(_xlpm.ARRAY="teleOp", COLUMN(_xlpm.ARRAY), 0))))=0,"",MAX(_xlfn.BYCOL('Prematch Backend 2A'!44:44, _xlfn.LAMBDA(_xlpm.ARRAY,IF(_xlpm.ARRAY="teleOp", COLUMN(_xlpm.ARRAY), 0)))))</f>
        <v/>
      </c>
      <c r="B44" t="str" cm="1">
        <f t="array" ref="B44">IF(A44="","",_xlfn.CHOOSECOLS('Prematch Backend 2A'!44:44,_xlfn.MAKEARRAY(1,A44-2,_xlfn.LAMBDA(_xlpm.r,_xlpm.c,_xlpm.c))))</f>
        <v/>
      </c>
    </row>
    <row r="45" spans="1:2" x14ac:dyDescent="0.2">
      <c r="A45" t="str" cm="1">
        <f t="array" ref="A45">IF(MAX(_xlfn.BYCOL('Prematch Backend 2A'!45:45, _xlfn.LAMBDA(_xlpm.ARRAY,IF(_xlpm.ARRAY="teleOp", COLUMN(_xlpm.ARRAY), 0))))=0,"",MAX(_xlfn.BYCOL('Prematch Backend 2A'!45:45, _xlfn.LAMBDA(_xlpm.ARRAY,IF(_xlpm.ARRAY="teleOp", COLUMN(_xlpm.ARRAY), 0)))))</f>
        <v/>
      </c>
      <c r="B45" t="str" cm="1">
        <f t="array" ref="B45">IF(A45="","",_xlfn.CHOOSECOLS('Prematch Backend 2A'!45:45,_xlfn.MAKEARRAY(1,A45-2,_xlfn.LAMBDA(_xlpm.r,_xlpm.c,_xlpm.c))))</f>
        <v/>
      </c>
    </row>
    <row r="46" spans="1:2" x14ac:dyDescent="0.2">
      <c r="A46" t="str" cm="1">
        <f t="array" ref="A46">IF(MAX(_xlfn.BYCOL('Prematch Backend 2A'!46:46, _xlfn.LAMBDA(_xlpm.ARRAY,IF(_xlpm.ARRAY="teleOp", COLUMN(_xlpm.ARRAY), 0))))=0,"",MAX(_xlfn.BYCOL('Prematch Backend 2A'!46:46, _xlfn.LAMBDA(_xlpm.ARRAY,IF(_xlpm.ARRAY="teleOp", COLUMN(_xlpm.ARRAY), 0)))))</f>
        <v/>
      </c>
      <c r="B46" t="str" cm="1">
        <f t="array" ref="B46">IF(A46="","",_xlfn.CHOOSECOLS('Prematch Backend 2A'!46:46,_xlfn.MAKEARRAY(1,A46-2,_xlfn.LAMBDA(_xlpm.r,_xlpm.c,_xlpm.c))))</f>
        <v/>
      </c>
    </row>
    <row r="47" spans="1:2" x14ac:dyDescent="0.2">
      <c r="A47" t="str" cm="1">
        <f t="array" ref="A47">IF(MAX(_xlfn.BYCOL('Prematch Backend 2A'!47:47, _xlfn.LAMBDA(_xlpm.ARRAY,IF(_xlpm.ARRAY="teleOp", COLUMN(_xlpm.ARRAY), 0))))=0,"",MAX(_xlfn.BYCOL('Prematch Backend 2A'!47:47, _xlfn.LAMBDA(_xlpm.ARRAY,IF(_xlpm.ARRAY="teleOp", COLUMN(_xlpm.ARRAY), 0)))))</f>
        <v/>
      </c>
      <c r="B47" t="str" cm="1">
        <f t="array" ref="B47">IF(A47="","",_xlfn.CHOOSECOLS('Prematch Backend 2A'!47:47,_xlfn.MAKEARRAY(1,A47-2,_xlfn.LAMBDA(_xlpm.r,_xlpm.c,_xlpm.c))))</f>
        <v/>
      </c>
    </row>
    <row r="48" spans="1:2" x14ac:dyDescent="0.2">
      <c r="A48" t="str" cm="1">
        <f t="array" ref="A48">IF(MAX(_xlfn.BYCOL('Prematch Backend 2A'!48:48, _xlfn.LAMBDA(_xlpm.ARRAY,IF(_xlpm.ARRAY="teleOp", COLUMN(_xlpm.ARRAY), 0))))=0,"",MAX(_xlfn.BYCOL('Prematch Backend 2A'!48:48, _xlfn.LAMBDA(_xlpm.ARRAY,IF(_xlpm.ARRAY="teleOp", COLUMN(_xlpm.ARRAY), 0)))))</f>
        <v/>
      </c>
      <c r="B48" t="str" cm="1">
        <f t="array" ref="B48">IF(A48="","",_xlfn.CHOOSECOLS('Prematch Backend 2A'!48:48,_xlfn.MAKEARRAY(1,A48-2,_xlfn.LAMBDA(_xlpm.r,_xlpm.c,_xlpm.c))))</f>
        <v/>
      </c>
    </row>
    <row r="49" spans="1:2" x14ac:dyDescent="0.2">
      <c r="A49" t="str" cm="1">
        <f t="array" ref="A49">IF(MAX(_xlfn.BYCOL('Prematch Backend 2A'!49:49, _xlfn.LAMBDA(_xlpm.ARRAY,IF(_xlpm.ARRAY="teleOp", COLUMN(_xlpm.ARRAY), 0))))=0,"",MAX(_xlfn.BYCOL('Prematch Backend 2A'!49:49, _xlfn.LAMBDA(_xlpm.ARRAY,IF(_xlpm.ARRAY="teleOp", COLUMN(_xlpm.ARRAY), 0)))))</f>
        <v/>
      </c>
      <c r="B49" t="str" cm="1">
        <f t="array" ref="B49">IF(A49="","",_xlfn.CHOOSECOLS('Prematch Backend 2A'!49:49,_xlfn.MAKEARRAY(1,A49-2,_xlfn.LAMBDA(_xlpm.r,_xlpm.c,_xlpm.c))))</f>
        <v/>
      </c>
    </row>
    <row r="50" spans="1:2" x14ac:dyDescent="0.2">
      <c r="A50" t="str" cm="1">
        <f t="array" ref="A50">IF(MAX(_xlfn.BYCOL('Prematch Backend 2A'!50:50, _xlfn.LAMBDA(_xlpm.ARRAY,IF(_xlpm.ARRAY="teleOp", COLUMN(_xlpm.ARRAY), 0))))=0,"",MAX(_xlfn.BYCOL('Prematch Backend 2A'!50:50, _xlfn.LAMBDA(_xlpm.ARRAY,IF(_xlpm.ARRAY="teleOp", COLUMN(_xlpm.ARRAY), 0)))))</f>
        <v/>
      </c>
      <c r="B50" t="str" cm="1">
        <f t="array" ref="B50">IF(A50="","",_xlfn.CHOOSECOLS('Prematch Backend 2A'!50:50,_xlfn.MAKEARRAY(1,A50-2,_xlfn.LAMBDA(_xlpm.r,_xlpm.c,_xlpm.c))))</f>
        <v/>
      </c>
    </row>
    <row r="51" spans="1:2" x14ac:dyDescent="0.2">
      <c r="A51" t="str" cm="1">
        <f t="array" ref="A51">IF(MAX(_xlfn.BYCOL('Prematch Backend 2A'!51:51, _xlfn.LAMBDA(_xlpm.ARRAY,IF(_xlpm.ARRAY="teleOp", COLUMN(_xlpm.ARRAY), 0))))=0,"",MAX(_xlfn.BYCOL('Prematch Backend 2A'!51:51, _xlfn.LAMBDA(_xlpm.ARRAY,IF(_xlpm.ARRAY="teleOp", COLUMN(_xlpm.ARRAY), 0)))))</f>
        <v/>
      </c>
      <c r="B51" t="str" cm="1">
        <f t="array" ref="B51">IF(A51="","",_xlfn.CHOOSECOLS('Prematch Backend 2A'!51:51,_xlfn.MAKEARRAY(1,A51-2,_xlfn.LAMBDA(_xlpm.r,_xlpm.c,_xlpm.c))))</f>
        <v/>
      </c>
    </row>
    <row r="52" spans="1:2" x14ac:dyDescent="0.2">
      <c r="A52" t="str" cm="1">
        <f t="array" ref="A52">IF(MAX(_xlfn.BYCOL('Prematch Backend 2A'!52:52, _xlfn.LAMBDA(_xlpm.ARRAY,IF(_xlpm.ARRAY="teleOp", COLUMN(_xlpm.ARRAY), 0))))=0,"",MAX(_xlfn.BYCOL('Prematch Backend 2A'!52:52, _xlfn.LAMBDA(_xlpm.ARRAY,IF(_xlpm.ARRAY="teleOp", COLUMN(_xlpm.ARRAY), 0)))))</f>
        <v/>
      </c>
      <c r="B52" t="str" cm="1">
        <f t="array" ref="B52">IF(A52="","",_xlfn.CHOOSECOLS('Prematch Backend 2A'!52:52,_xlfn.MAKEARRAY(1,A52-2,_xlfn.LAMBDA(_xlpm.r,_xlpm.c,_xlpm.c))))</f>
        <v/>
      </c>
    </row>
    <row r="53" spans="1:2" x14ac:dyDescent="0.2">
      <c r="A53" t="str" cm="1">
        <f t="array" ref="A53">IF(MAX(_xlfn.BYCOL('Prematch Backend 2A'!53:53, _xlfn.LAMBDA(_xlpm.ARRAY,IF(_xlpm.ARRAY="teleOp", COLUMN(_xlpm.ARRAY), 0))))=0,"",MAX(_xlfn.BYCOL('Prematch Backend 2A'!53:53, _xlfn.LAMBDA(_xlpm.ARRAY,IF(_xlpm.ARRAY="teleOp", COLUMN(_xlpm.ARRAY), 0)))))</f>
        <v/>
      </c>
      <c r="B53" t="str" cm="1">
        <f t="array" ref="B53">IF(A53="","",_xlfn.CHOOSECOLS('Prematch Backend 2A'!53:53,_xlfn.MAKEARRAY(1,A53-2,_xlfn.LAMBDA(_xlpm.r,_xlpm.c,_xlpm.c))))</f>
        <v/>
      </c>
    </row>
    <row r="54" spans="1:2" x14ac:dyDescent="0.2">
      <c r="A54" t="str" cm="1">
        <f t="array" ref="A54">IF(MAX(_xlfn.BYCOL('Prematch Backend 2A'!54:54, _xlfn.LAMBDA(_xlpm.ARRAY,IF(_xlpm.ARRAY="teleOp", COLUMN(_xlpm.ARRAY), 0))))=0,"",MAX(_xlfn.BYCOL('Prematch Backend 2A'!54:54, _xlfn.LAMBDA(_xlpm.ARRAY,IF(_xlpm.ARRAY="teleOp", COLUMN(_xlpm.ARRAY), 0)))))</f>
        <v/>
      </c>
      <c r="B54" t="str" cm="1">
        <f t="array" ref="B54">IF(A54="","",_xlfn.CHOOSECOLS('Prematch Backend 2A'!54:54,_xlfn.MAKEARRAY(1,A54-2,_xlfn.LAMBDA(_xlpm.r,_xlpm.c,_xlpm.c))))</f>
        <v/>
      </c>
    </row>
    <row r="55" spans="1:2" x14ac:dyDescent="0.2">
      <c r="A55" t="str" cm="1">
        <f t="array" ref="A55">IF(MAX(_xlfn.BYCOL('Prematch Backend 2A'!55:55, _xlfn.LAMBDA(_xlpm.ARRAY,IF(_xlpm.ARRAY="teleOp", COLUMN(_xlpm.ARRAY), 0))))=0,"",MAX(_xlfn.BYCOL('Prematch Backend 2A'!55:55, _xlfn.LAMBDA(_xlpm.ARRAY,IF(_xlpm.ARRAY="teleOp", COLUMN(_xlpm.ARRAY), 0)))))</f>
        <v/>
      </c>
      <c r="B55" t="str" cm="1">
        <f t="array" ref="B55">IF(A55="","",_xlfn.CHOOSECOLS('Prematch Backend 2A'!55:55,_xlfn.MAKEARRAY(1,A55-2,_xlfn.LAMBDA(_xlpm.r,_xlpm.c,_xlpm.c))))</f>
        <v/>
      </c>
    </row>
    <row r="56" spans="1:2" x14ac:dyDescent="0.2">
      <c r="A56" t="str" cm="1">
        <f t="array" ref="A56">IF(MAX(_xlfn.BYCOL('Prematch Backend 2A'!56:56, _xlfn.LAMBDA(_xlpm.ARRAY,IF(_xlpm.ARRAY="teleOp", COLUMN(_xlpm.ARRAY), 0))))=0,"",MAX(_xlfn.BYCOL('Prematch Backend 2A'!56:56, _xlfn.LAMBDA(_xlpm.ARRAY,IF(_xlpm.ARRAY="teleOp", COLUMN(_xlpm.ARRAY), 0)))))</f>
        <v/>
      </c>
      <c r="B56" t="str" cm="1">
        <f t="array" ref="B56">IF(A56="","",_xlfn.CHOOSECOLS('Prematch Backend 2A'!56:56,_xlfn.MAKEARRAY(1,A56-2,_xlfn.LAMBDA(_xlpm.r,_xlpm.c,_xlpm.c))))</f>
        <v/>
      </c>
    </row>
    <row r="57" spans="1:2" x14ac:dyDescent="0.2">
      <c r="A57" t="str" cm="1">
        <f t="array" ref="A57">IF(MAX(_xlfn.BYCOL('Prematch Backend 2A'!57:57, _xlfn.LAMBDA(_xlpm.ARRAY,IF(_xlpm.ARRAY="teleOp", COLUMN(_xlpm.ARRAY), 0))))=0,"",MAX(_xlfn.BYCOL('Prematch Backend 2A'!57:57, _xlfn.LAMBDA(_xlpm.ARRAY,IF(_xlpm.ARRAY="teleOp", COLUMN(_xlpm.ARRAY), 0)))))</f>
        <v/>
      </c>
      <c r="B57" t="str" cm="1">
        <f t="array" ref="B57">IF(A57="","",_xlfn.CHOOSECOLS('Prematch Backend 2A'!57:57,_xlfn.MAKEARRAY(1,A57-2,_xlfn.LAMBDA(_xlpm.r,_xlpm.c,_xlpm.c))))</f>
        <v/>
      </c>
    </row>
    <row r="58" spans="1:2" x14ac:dyDescent="0.2">
      <c r="A58" t="str" cm="1">
        <f t="array" ref="A58">IF(MAX(_xlfn.BYCOL('Prematch Backend 2A'!58:58, _xlfn.LAMBDA(_xlpm.ARRAY,IF(_xlpm.ARRAY="teleOp", COLUMN(_xlpm.ARRAY), 0))))=0,"",MAX(_xlfn.BYCOL('Prematch Backend 2A'!58:58, _xlfn.LAMBDA(_xlpm.ARRAY,IF(_xlpm.ARRAY="teleOp", COLUMN(_xlpm.ARRAY), 0)))))</f>
        <v/>
      </c>
      <c r="B58" t="str" cm="1">
        <f t="array" ref="B58">IF(A58="","",_xlfn.CHOOSECOLS('Prematch Backend 2A'!58:58,_xlfn.MAKEARRAY(1,A58-2,_xlfn.LAMBDA(_xlpm.r,_xlpm.c,_xlpm.c))))</f>
        <v/>
      </c>
    </row>
    <row r="59" spans="1:2" x14ac:dyDescent="0.2">
      <c r="A59" t="str" cm="1">
        <f t="array" ref="A59">IF(MAX(_xlfn.BYCOL('Prematch Backend 2A'!59:59, _xlfn.LAMBDA(_xlpm.ARRAY,IF(_xlpm.ARRAY="teleOp", COLUMN(_xlpm.ARRAY), 0))))=0,"",MAX(_xlfn.BYCOL('Prematch Backend 2A'!59:59, _xlfn.LAMBDA(_xlpm.ARRAY,IF(_xlpm.ARRAY="teleOp", COLUMN(_xlpm.ARRAY), 0)))))</f>
        <v/>
      </c>
      <c r="B59" t="str" cm="1">
        <f t="array" ref="B59">IF(A59="","",_xlfn.CHOOSECOLS('Prematch Backend 2A'!59:59,_xlfn.MAKEARRAY(1,A59-2,_xlfn.LAMBDA(_xlpm.r,_xlpm.c,_xlpm.c))))</f>
        <v/>
      </c>
    </row>
    <row r="60" spans="1:2" x14ac:dyDescent="0.2">
      <c r="A60" t="str" cm="1">
        <f t="array" ref="A60">IF(MAX(_xlfn.BYCOL('Prematch Backend 2A'!60:60, _xlfn.LAMBDA(_xlpm.ARRAY,IF(_xlpm.ARRAY="teleOp", COLUMN(_xlpm.ARRAY), 0))))=0,"",MAX(_xlfn.BYCOL('Prematch Backend 2A'!60:60, _xlfn.LAMBDA(_xlpm.ARRAY,IF(_xlpm.ARRAY="teleOp", COLUMN(_xlpm.ARRAY), 0)))))</f>
        <v/>
      </c>
      <c r="B60" t="str" cm="1">
        <f t="array" ref="B60">IF(A60="","",_xlfn.CHOOSECOLS('Prematch Backend 2A'!60:60,_xlfn.MAKEARRAY(1,A60-2,_xlfn.LAMBDA(_xlpm.r,_xlpm.c,_xlpm.c))))</f>
        <v/>
      </c>
    </row>
    <row r="61" spans="1:2" x14ac:dyDescent="0.2">
      <c r="A61" t="str" cm="1">
        <f t="array" ref="A61">IF(MAX(_xlfn.BYCOL('Prematch Backend 2A'!61:61, _xlfn.LAMBDA(_xlpm.ARRAY,IF(_xlpm.ARRAY="teleOp", COLUMN(_xlpm.ARRAY), 0))))=0,"",MAX(_xlfn.BYCOL('Prematch Backend 2A'!61:61, _xlfn.LAMBDA(_xlpm.ARRAY,IF(_xlpm.ARRAY="teleOp", COLUMN(_xlpm.ARRAY), 0)))))</f>
        <v/>
      </c>
      <c r="B61" t="str" cm="1">
        <f t="array" ref="B61">IF(A61="","",_xlfn.CHOOSECOLS('Prematch Backend 2A'!61:61,_xlfn.MAKEARRAY(1,A61-2,_xlfn.LAMBDA(_xlpm.r,_xlpm.c,_xlpm.c))))</f>
        <v/>
      </c>
    </row>
    <row r="62" spans="1:2" x14ac:dyDescent="0.2">
      <c r="A62" t="str" cm="1">
        <f t="array" ref="A62">IF(MAX(_xlfn.BYCOL('Prematch Backend 2A'!62:62, _xlfn.LAMBDA(_xlpm.ARRAY,IF(_xlpm.ARRAY="teleOp", COLUMN(_xlpm.ARRAY), 0))))=0,"",MAX(_xlfn.BYCOL('Prematch Backend 2A'!62:62, _xlfn.LAMBDA(_xlpm.ARRAY,IF(_xlpm.ARRAY="teleOp", COLUMN(_xlpm.ARRAY), 0)))))</f>
        <v/>
      </c>
      <c r="B62" t="str" cm="1">
        <f t="array" ref="B62">IF(A62="","",_xlfn.CHOOSECOLS('Prematch Backend 2A'!62:62,_xlfn.MAKEARRAY(1,A62-2,_xlfn.LAMBDA(_xlpm.r,_xlpm.c,_xlpm.c))))</f>
        <v/>
      </c>
    </row>
    <row r="63" spans="1:2" x14ac:dyDescent="0.2">
      <c r="A63" t="str" cm="1">
        <f t="array" ref="A63">IF(MAX(_xlfn.BYCOL('Prematch Backend 2A'!63:63, _xlfn.LAMBDA(_xlpm.ARRAY,IF(_xlpm.ARRAY="teleOp", COLUMN(_xlpm.ARRAY), 0))))=0,"",MAX(_xlfn.BYCOL('Prematch Backend 2A'!63:63, _xlfn.LAMBDA(_xlpm.ARRAY,IF(_xlpm.ARRAY="teleOp", COLUMN(_xlpm.ARRAY), 0)))))</f>
        <v/>
      </c>
      <c r="B63" t="str" cm="1">
        <f t="array" ref="B63">IF(A63="","",_xlfn.CHOOSECOLS('Prematch Backend 2A'!63:63,_xlfn.MAKEARRAY(1,A63-2,_xlfn.LAMBDA(_xlpm.r,_xlpm.c,_xlpm.c))))</f>
        <v/>
      </c>
    </row>
    <row r="64" spans="1:2" x14ac:dyDescent="0.2">
      <c r="A64" t="str" cm="1">
        <f t="array" ref="A64">IF(MAX(_xlfn.BYCOL('Prematch Backend 2A'!64:64, _xlfn.LAMBDA(_xlpm.ARRAY,IF(_xlpm.ARRAY="teleOp", COLUMN(_xlpm.ARRAY), 0))))=0,"",MAX(_xlfn.BYCOL('Prematch Backend 2A'!64:64, _xlfn.LAMBDA(_xlpm.ARRAY,IF(_xlpm.ARRAY="teleOp", COLUMN(_xlpm.ARRAY), 0)))))</f>
        <v/>
      </c>
      <c r="B64" t="str" cm="1">
        <f t="array" ref="B64">IF(A64="","",_xlfn.CHOOSECOLS('Prematch Backend 2A'!64:64,_xlfn.MAKEARRAY(1,A64-2,_xlfn.LAMBDA(_xlpm.r,_xlpm.c,_xlpm.c))))</f>
        <v/>
      </c>
    </row>
    <row r="65" spans="1:2" x14ac:dyDescent="0.2">
      <c r="A65" t="str" cm="1">
        <f t="array" ref="A65">IF(MAX(_xlfn.BYCOL('Prematch Backend 2A'!65:65, _xlfn.LAMBDA(_xlpm.ARRAY,IF(_xlpm.ARRAY="teleOp", COLUMN(_xlpm.ARRAY), 0))))=0,"",MAX(_xlfn.BYCOL('Prematch Backend 2A'!65:65, _xlfn.LAMBDA(_xlpm.ARRAY,IF(_xlpm.ARRAY="teleOp", COLUMN(_xlpm.ARRAY), 0)))))</f>
        <v/>
      </c>
      <c r="B65" t="str" cm="1">
        <f t="array" ref="B65">IF(A65="","",_xlfn.CHOOSECOLS('Prematch Backend 2A'!65:65,_xlfn.MAKEARRAY(1,A65-2,_xlfn.LAMBDA(_xlpm.r,_xlpm.c,_xlpm.c))))</f>
        <v/>
      </c>
    </row>
    <row r="66" spans="1:2" x14ac:dyDescent="0.2">
      <c r="A66" t="str" cm="1">
        <f t="array" ref="A66">IF(MAX(_xlfn.BYCOL('Prematch Backend 2A'!66:66, _xlfn.LAMBDA(_xlpm.ARRAY,IF(_xlpm.ARRAY="teleOp", COLUMN(_xlpm.ARRAY), 0))))=0,"",MAX(_xlfn.BYCOL('Prematch Backend 2A'!66:66, _xlfn.LAMBDA(_xlpm.ARRAY,IF(_xlpm.ARRAY="teleOp", COLUMN(_xlpm.ARRAY), 0)))))</f>
        <v/>
      </c>
      <c r="B66" t="str" cm="1">
        <f t="array" ref="B66">IF(A66="","",_xlfn.CHOOSECOLS('Prematch Backend 2A'!66:66,_xlfn.MAKEARRAY(1,A66-2,_xlfn.LAMBDA(_xlpm.r,_xlpm.c,_xlpm.c))))</f>
        <v/>
      </c>
    </row>
    <row r="67" spans="1:2" x14ac:dyDescent="0.2">
      <c r="A67" t="str" cm="1">
        <f t="array" ref="A67">IF(MAX(_xlfn.BYCOL('Prematch Backend 2A'!67:67, _xlfn.LAMBDA(_xlpm.ARRAY,IF(_xlpm.ARRAY="teleOp", COLUMN(_xlpm.ARRAY), 0))))=0,"",MAX(_xlfn.BYCOL('Prematch Backend 2A'!67:67, _xlfn.LAMBDA(_xlpm.ARRAY,IF(_xlpm.ARRAY="teleOp", COLUMN(_xlpm.ARRAY), 0)))))</f>
        <v/>
      </c>
      <c r="B67" t="str" cm="1">
        <f t="array" ref="B67">IF(A67="","",_xlfn.CHOOSECOLS('Prematch Backend 2A'!67:67,_xlfn.MAKEARRAY(1,A67-2,_xlfn.LAMBDA(_xlpm.r,_xlpm.c,_xlpm.c))))</f>
        <v/>
      </c>
    </row>
    <row r="68" spans="1:2" x14ac:dyDescent="0.2">
      <c r="A68" t="str" cm="1">
        <f t="array" ref="A68">IF(MAX(_xlfn.BYCOL('Prematch Backend 2A'!68:68, _xlfn.LAMBDA(_xlpm.ARRAY,IF(_xlpm.ARRAY="teleOp", COLUMN(_xlpm.ARRAY), 0))))=0,"",MAX(_xlfn.BYCOL('Prematch Backend 2A'!68:68, _xlfn.LAMBDA(_xlpm.ARRAY,IF(_xlpm.ARRAY="teleOp", COLUMN(_xlpm.ARRAY), 0)))))</f>
        <v/>
      </c>
      <c r="B68" t="str" cm="1">
        <f t="array" ref="B68">IF(A68="","",_xlfn.CHOOSECOLS('Prematch Backend 2A'!68:68,_xlfn.MAKEARRAY(1,A68-2,_xlfn.LAMBDA(_xlpm.r,_xlpm.c,_xlpm.c))))</f>
        <v/>
      </c>
    </row>
    <row r="69" spans="1:2" x14ac:dyDescent="0.2">
      <c r="A69" t="str" cm="1">
        <f t="array" ref="A69">IF(MAX(_xlfn.BYCOL('Prematch Backend 2A'!69:69, _xlfn.LAMBDA(_xlpm.ARRAY,IF(_xlpm.ARRAY="teleOp", COLUMN(_xlpm.ARRAY), 0))))=0,"",MAX(_xlfn.BYCOL('Prematch Backend 2A'!69:69, _xlfn.LAMBDA(_xlpm.ARRAY,IF(_xlpm.ARRAY="teleOp", COLUMN(_xlpm.ARRAY), 0)))))</f>
        <v/>
      </c>
      <c r="B69" t="str" cm="1">
        <f t="array" ref="B69">IF(A69="","",_xlfn.CHOOSECOLS('Prematch Backend 2A'!69:69,_xlfn.MAKEARRAY(1,A69-2,_xlfn.LAMBDA(_xlpm.r,_xlpm.c,_xlpm.c))))</f>
        <v/>
      </c>
    </row>
    <row r="70" spans="1:2" x14ac:dyDescent="0.2">
      <c r="A70" t="str" cm="1">
        <f t="array" ref="A70">IF(MAX(_xlfn.BYCOL('Prematch Backend 2A'!70:70, _xlfn.LAMBDA(_xlpm.ARRAY,IF(_xlpm.ARRAY="teleOp", COLUMN(_xlpm.ARRAY), 0))))=0,"",MAX(_xlfn.BYCOL('Prematch Backend 2A'!70:70, _xlfn.LAMBDA(_xlpm.ARRAY,IF(_xlpm.ARRAY="teleOp", COLUMN(_xlpm.ARRAY), 0)))))</f>
        <v/>
      </c>
      <c r="B70" t="str" cm="1">
        <f t="array" ref="B70">IF(A70="","",_xlfn.CHOOSECOLS('Prematch Backend 2A'!70:70,_xlfn.MAKEARRAY(1,A70-2,_xlfn.LAMBDA(_xlpm.r,_xlpm.c,_xlpm.c))))</f>
        <v/>
      </c>
    </row>
    <row r="71" spans="1:2" x14ac:dyDescent="0.2">
      <c r="A71" t="str" cm="1">
        <f t="array" ref="A71">IF(MAX(_xlfn.BYCOL('Prematch Backend 2A'!71:71, _xlfn.LAMBDA(_xlpm.ARRAY,IF(_xlpm.ARRAY="teleOp", COLUMN(_xlpm.ARRAY), 0))))=0,"",MAX(_xlfn.BYCOL('Prematch Backend 2A'!71:71, _xlfn.LAMBDA(_xlpm.ARRAY,IF(_xlpm.ARRAY="teleOp", COLUMN(_xlpm.ARRAY), 0)))))</f>
        <v/>
      </c>
      <c r="B71" t="str" cm="1">
        <f t="array" ref="B71">IF(A71="","",_xlfn.CHOOSECOLS('Prematch Backend 2A'!71:71,_xlfn.MAKEARRAY(1,A71-2,_xlfn.LAMBDA(_xlpm.r,_xlpm.c,_xlpm.c))))</f>
        <v/>
      </c>
    </row>
    <row r="72" spans="1:2" x14ac:dyDescent="0.2">
      <c r="A72" t="str" cm="1">
        <f t="array" ref="A72">IF(MAX(_xlfn.BYCOL('Prematch Backend 2A'!72:72, _xlfn.LAMBDA(_xlpm.ARRAY,IF(_xlpm.ARRAY="teleOp", COLUMN(_xlpm.ARRAY), 0))))=0,"",MAX(_xlfn.BYCOL('Prematch Backend 2A'!72:72, _xlfn.LAMBDA(_xlpm.ARRAY,IF(_xlpm.ARRAY="teleOp", COLUMN(_xlpm.ARRAY), 0)))))</f>
        <v/>
      </c>
      <c r="B72" t="str" cm="1">
        <f t="array" ref="B72">IF(A72="","",_xlfn.CHOOSECOLS('Prematch Backend 2A'!72:72,_xlfn.MAKEARRAY(1,A72-2,_xlfn.LAMBDA(_xlpm.r,_xlpm.c,_xlpm.c))))</f>
        <v/>
      </c>
    </row>
    <row r="73" spans="1:2" x14ac:dyDescent="0.2">
      <c r="A73" t="str" cm="1">
        <f t="array" ref="A73">IF(MAX(_xlfn.BYCOL('Prematch Backend 2A'!73:73, _xlfn.LAMBDA(_xlpm.ARRAY,IF(_xlpm.ARRAY="teleOp", COLUMN(_xlpm.ARRAY), 0))))=0,"",MAX(_xlfn.BYCOL('Prematch Backend 2A'!73:73, _xlfn.LAMBDA(_xlpm.ARRAY,IF(_xlpm.ARRAY="teleOp", COLUMN(_xlpm.ARRAY), 0)))))</f>
        <v/>
      </c>
      <c r="B73" t="str" cm="1">
        <f t="array" ref="B73">IF(A73="","",_xlfn.CHOOSECOLS('Prematch Backend 2A'!73:73,_xlfn.MAKEARRAY(1,A73-2,_xlfn.LAMBDA(_xlpm.r,_xlpm.c,_xlpm.c))))</f>
        <v/>
      </c>
    </row>
    <row r="74" spans="1:2" x14ac:dyDescent="0.2">
      <c r="A74" t="str" cm="1">
        <f t="array" ref="A74">IF(MAX(_xlfn.BYCOL('Prematch Backend 2A'!74:74, _xlfn.LAMBDA(_xlpm.ARRAY,IF(_xlpm.ARRAY="teleOp", COLUMN(_xlpm.ARRAY), 0))))=0,"",MAX(_xlfn.BYCOL('Prematch Backend 2A'!74:74, _xlfn.LAMBDA(_xlpm.ARRAY,IF(_xlpm.ARRAY="teleOp", COLUMN(_xlpm.ARRAY), 0)))))</f>
        <v/>
      </c>
      <c r="B74" t="str" cm="1">
        <f t="array" ref="B74">IF(A74="","",_xlfn.CHOOSECOLS('Prematch Backend 2A'!74:74,_xlfn.MAKEARRAY(1,A74-2,_xlfn.LAMBDA(_xlpm.r,_xlpm.c,_xlpm.c))))</f>
        <v/>
      </c>
    </row>
    <row r="75" spans="1:2" x14ac:dyDescent="0.2">
      <c r="A75" t="str" cm="1">
        <f t="array" ref="A75">IF(MAX(_xlfn.BYCOL('Prematch Backend 2A'!75:75, _xlfn.LAMBDA(_xlpm.ARRAY,IF(_xlpm.ARRAY="teleOp", COLUMN(_xlpm.ARRAY), 0))))=0,"",MAX(_xlfn.BYCOL('Prematch Backend 2A'!75:75, _xlfn.LAMBDA(_xlpm.ARRAY,IF(_xlpm.ARRAY="teleOp", COLUMN(_xlpm.ARRAY), 0)))))</f>
        <v/>
      </c>
      <c r="B75" t="str" cm="1">
        <f t="array" ref="B75">IF(A75="","",_xlfn.CHOOSECOLS('Prematch Backend 2A'!75:75,_xlfn.MAKEARRAY(1,A75-2,_xlfn.LAMBDA(_xlpm.r,_xlpm.c,_xlpm.c))))</f>
        <v/>
      </c>
    </row>
    <row r="76" spans="1:2" x14ac:dyDescent="0.2">
      <c r="A76" t="str" cm="1">
        <f t="array" ref="A76">IF(MAX(_xlfn.BYCOL('Prematch Backend 2A'!76:76, _xlfn.LAMBDA(_xlpm.ARRAY,IF(_xlpm.ARRAY="teleOp", COLUMN(_xlpm.ARRAY), 0))))=0,"",MAX(_xlfn.BYCOL('Prematch Backend 2A'!76:76, _xlfn.LAMBDA(_xlpm.ARRAY,IF(_xlpm.ARRAY="teleOp", COLUMN(_xlpm.ARRAY), 0)))))</f>
        <v/>
      </c>
      <c r="B76" t="str" cm="1">
        <f t="array" ref="B76">IF(A76="","",_xlfn.CHOOSECOLS('Prematch Backend 2A'!76:76,_xlfn.MAKEARRAY(1,A76-2,_xlfn.LAMBDA(_xlpm.r,_xlpm.c,_xlpm.c))))</f>
        <v/>
      </c>
    </row>
    <row r="77" spans="1:2" x14ac:dyDescent="0.2">
      <c r="A77" t="str" cm="1">
        <f t="array" ref="A77">IF(MAX(_xlfn.BYCOL('Prematch Backend 2A'!77:77, _xlfn.LAMBDA(_xlpm.ARRAY,IF(_xlpm.ARRAY="teleOp", COLUMN(_xlpm.ARRAY), 0))))=0,"",MAX(_xlfn.BYCOL('Prematch Backend 2A'!77:77, _xlfn.LAMBDA(_xlpm.ARRAY,IF(_xlpm.ARRAY="teleOp", COLUMN(_xlpm.ARRAY), 0)))))</f>
        <v/>
      </c>
      <c r="B77" t="str" cm="1">
        <f t="array" ref="B77">IF(A77="","",_xlfn.CHOOSECOLS('Prematch Backend 2A'!77:77,_xlfn.MAKEARRAY(1,A77-2,_xlfn.LAMBDA(_xlpm.r,_xlpm.c,_xlpm.c))))</f>
        <v/>
      </c>
    </row>
    <row r="78" spans="1:2" x14ac:dyDescent="0.2">
      <c r="A78" t="str" cm="1">
        <f t="array" ref="A78">IF(MAX(_xlfn.BYCOL('Prematch Backend 2A'!78:78, _xlfn.LAMBDA(_xlpm.ARRAY,IF(_xlpm.ARRAY="teleOp", COLUMN(_xlpm.ARRAY), 0))))=0,"",MAX(_xlfn.BYCOL('Prematch Backend 2A'!78:78, _xlfn.LAMBDA(_xlpm.ARRAY,IF(_xlpm.ARRAY="teleOp", COLUMN(_xlpm.ARRAY), 0)))))</f>
        <v/>
      </c>
      <c r="B78" t="str" cm="1">
        <f t="array" ref="B78">IF(A78="","",_xlfn.CHOOSECOLS('Prematch Backend 2A'!78:78,_xlfn.MAKEARRAY(1,A78-2,_xlfn.LAMBDA(_xlpm.r,_xlpm.c,_xlpm.c))))</f>
        <v/>
      </c>
    </row>
    <row r="79" spans="1:2" x14ac:dyDescent="0.2">
      <c r="A79" t="str" cm="1">
        <f t="array" ref="A79">IF(MAX(_xlfn.BYCOL('Prematch Backend 2A'!79:79, _xlfn.LAMBDA(_xlpm.ARRAY,IF(_xlpm.ARRAY="teleOp", COLUMN(_xlpm.ARRAY), 0))))=0,"",MAX(_xlfn.BYCOL('Prematch Backend 2A'!79:79, _xlfn.LAMBDA(_xlpm.ARRAY,IF(_xlpm.ARRAY="teleOp", COLUMN(_xlpm.ARRAY), 0)))))</f>
        <v/>
      </c>
      <c r="B79" t="str" cm="1">
        <f t="array" ref="B79">IF(A79="","",_xlfn.CHOOSECOLS('Prematch Backend 2A'!79:79,_xlfn.MAKEARRAY(1,A79-2,_xlfn.LAMBDA(_xlpm.r,_xlpm.c,_xlpm.c))))</f>
        <v/>
      </c>
    </row>
    <row r="80" spans="1:2" x14ac:dyDescent="0.2">
      <c r="A80" t="str" cm="1">
        <f t="array" ref="A80">IF(MAX(_xlfn.BYCOL('Prematch Backend 2A'!80:80, _xlfn.LAMBDA(_xlpm.ARRAY,IF(_xlpm.ARRAY="teleOp", COLUMN(_xlpm.ARRAY), 0))))=0,"",MAX(_xlfn.BYCOL('Prematch Backend 2A'!80:80, _xlfn.LAMBDA(_xlpm.ARRAY,IF(_xlpm.ARRAY="teleOp", COLUMN(_xlpm.ARRAY), 0)))))</f>
        <v/>
      </c>
      <c r="B80" t="str" cm="1">
        <f t="array" ref="B80">IF(A80="","",_xlfn.CHOOSECOLS('Prematch Backend 2A'!80:80,_xlfn.MAKEARRAY(1,A80-2,_xlfn.LAMBDA(_xlpm.r,_xlpm.c,_xlpm.c))))</f>
        <v/>
      </c>
    </row>
    <row r="81" spans="1:2" x14ac:dyDescent="0.2">
      <c r="A81" t="str" cm="1">
        <f t="array" ref="A81">IF(MAX(_xlfn.BYCOL('Prematch Backend 2A'!81:81, _xlfn.LAMBDA(_xlpm.ARRAY,IF(_xlpm.ARRAY="teleOp", COLUMN(_xlpm.ARRAY), 0))))=0,"",MAX(_xlfn.BYCOL('Prematch Backend 2A'!81:81, _xlfn.LAMBDA(_xlpm.ARRAY,IF(_xlpm.ARRAY="teleOp", COLUMN(_xlpm.ARRAY), 0)))))</f>
        <v/>
      </c>
      <c r="B81" t="str" cm="1">
        <f t="array" ref="B81">IF(A81="","",_xlfn.CHOOSECOLS('Prematch Backend 2A'!81:81,_xlfn.MAKEARRAY(1,A81-2,_xlfn.LAMBDA(_xlpm.r,_xlpm.c,_xlpm.c))))</f>
        <v/>
      </c>
    </row>
    <row r="82" spans="1:2" x14ac:dyDescent="0.2">
      <c r="A82" t="str" cm="1">
        <f t="array" ref="A82">IF(MAX(_xlfn.BYCOL('Prematch Backend 2A'!82:82, _xlfn.LAMBDA(_xlpm.ARRAY,IF(_xlpm.ARRAY="teleOp", COLUMN(_xlpm.ARRAY), 0))))=0,"",MAX(_xlfn.BYCOL('Prematch Backend 2A'!82:82, _xlfn.LAMBDA(_xlpm.ARRAY,IF(_xlpm.ARRAY="teleOp", COLUMN(_xlpm.ARRAY), 0)))))</f>
        <v/>
      </c>
      <c r="B82" t="str" cm="1">
        <f t="array" ref="B82">IF(A82="","",_xlfn.CHOOSECOLS('Prematch Backend 2A'!82:82,_xlfn.MAKEARRAY(1,A82-2,_xlfn.LAMBDA(_xlpm.r,_xlpm.c,_xlpm.c))))</f>
        <v/>
      </c>
    </row>
    <row r="83" spans="1:2" x14ac:dyDescent="0.2">
      <c r="A83" t="str" cm="1">
        <f t="array" ref="A83">IF(MAX(_xlfn.BYCOL('Prematch Backend 2A'!83:83, _xlfn.LAMBDA(_xlpm.ARRAY,IF(_xlpm.ARRAY="teleOp", COLUMN(_xlpm.ARRAY), 0))))=0,"",MAX(_xlfn.BYCOL('Prematch Backend 2A'!83:83, _xlfn.LAMBDA(_xlpm.ARRAY,IF(_xlpm.ARRAY="teleOp", COLUMN(_xlpm.ARRAY), 0)))))</f>
        <v/>
      </c>
      <c r="B83" t="str" cm="1">
        <f t="array" ref="B83">IF(A83="","",_xlfn.CHOOSECOLS('Prematch Backend 2A'!83:83,_xlfn.MAKEARRAY(1,A83-2,_xlfn.LAMBDA(_xlpm.r,_xlpm.c,_xlpm.c))))</f>
        <v/>
      </c>
    </row>
    <row r="84" spans="1:2" x14ac:dyDescent="0.2">
      <c r="A84" t="str" cm="1">
        <f t="array" ref="A84">IF(MAX(_xlfn.BYCOL('Prematch Backend 2A'!84:84, _xlfn.LAMBDA(_xlpm.ARRAY,IF(_xlpm.ARRAY="teleOp", COLUMN(_xlpm.ARRAY), 0))))=0,"",MAX(_xlfn.BYCOL('Prematch Backend 2A'!84:84, _xlfn.LAMBDA(_xlpm.ARRAY,IF(_xlpm.ARRAY="teleOp", COLUMN(_xlpm.ARRAY), 0)))))</f>
        <v/>
      </c>
      <c r="B84" t="str" cm="1">
        <f t="array" ref="B84">IF(A84="","",_xlfn.CHOOSECOLS('Prematch Backend 2A'!84:84,_xlfn.MAKEARRAY(1,A84-2,_xlfn.LAMBDA(_xlpm.r,_xlpm.c,_xlpm.c))))</f>
        <v/>
      </c>
    </row>
    <row r="85" spans="1:2" x14ac:dyDescent="0.2">
      <c r="A85" t="str" cm="1">
        <f t="array" ref="A85">IF(MAX(_xlfn.BYCOL('Prematch Backend 2A'!85:85, _xlfn.LAMBDA(_xlpm.ARRAY,IF(_xlpm.ARRAY="teleOp", COLUMN(_xlpm.ARRAY), 0))))=0,"",MAX(_xlfn.BYCOL('Prematch Backend 2A'!85:85, _xlfn.LAMBDA(_xlpm.ARRAY,IF(_xlpm.ARRAY="teleOp", COLUMN(_xlpm.ARRAY), 0)))))</f>
        <v/>
      </c>
      <c r="B85" t="str" cm="1">
        <f t="array" ref="B85">IF(A85="","",_xlfn.CHOOSECOLS('Prematch Backend 2A'!85:85,_xlfn.MAKEARRAY(1,A85-2,_xlfn.LAMBDA(_xlpm.r,_xlpm.c,_xlpm.c))))</f>
        <v/>
      </c>
    </row>
    <row r="86" spans="1:2" x14ac:dyDescent="0.2">
      <c r="A86" t="str" cm="1">
        <f t="array" ref="A86">IF(MAX(_xlfn.BYCOL('Prematch Backend 2A'!86:86, _xlfn.LAMBDA(_xlpm.ARRAY,IF(_xlpm.ARRAY="teleOp", COLUMN(_xlpm.ARRAY), 0))))=0,"",MAX(_xlfn.BYCOL('Prematch Backend 2A'!86:86, _xlfn.LAMBDA(_xlpm.ARRAY,IF(_xlpm.ARRAY="teleOp", COLUMN(_xlpm.ARRAY), 0)))))</f>
        <v/>
      </c>
      <c r="B86" t="str" cm="1">
        <f t="array" ref="B86">IF(A86="","",_xlfn.CHOOSECOLS('Prematch Backend 2A'!86:86,_xlfn.MAKEARRAY(1,A86-2,_xlfn.LAMBDA(_xlpm.r,_xlpm.c,_xlpm.c))))</f>
        <v/>
      </c>
    </row>
    <row r="87" spans="1:2" x14ac:dyDescent="0.2">
      <c r="A87" t="str" cm="1">
        <f t="array" ref="A87">IF(MAX(_xlfn.BYCOL('Prematch Backend 2A'!87:87, _xlfn.LAMBDA(_xlpm.ARRAY,IF(_xlpm.ARRAY="teleOp", COLUMN(_xlpm.ARRAY), 0))))=0,"",MAX(_xlfn.BYCOL('Prematch Backend 2A'!87:87, _xlfn.LAMBDA(_xlpm.ARRAY,IF(_xlpm.ARRAY="teleOp", COLUMN(_xlpm.ARRAY), 0)))))</f>
        <v/>
      </c>
      <c r="B87" t="str" cm="1">
        <f t="array" ref="B87">IF(A87="","",_xlfn.CHOOSECOLS('Prematch Backend 2A'!87:87,_xlfn.MAKEARRAY(1,A87-2,_xlfn.LAMBDA(_xlpm.r,_xlpm.c,_xlpm.c))))</f>
        <v/>
      </c>
    </row>
    <row r="88" spans="1:2" x14ac:dyDescent="0.2">
      <c r="A88" t="str" cm="1">
        <f t="array" ref="A88">IF(MAX(_xlfn.BYCOL('Prematch Backend 2A'!88:88, _xlfn.LAMBDA(_xlpm.ARRAY,IF(_xlpm.ARRAY="teleOp", COLUMN(_xlpm.ARRAY), 0))))=0,"",MAX(_xlfn.BYCOL('Prematch Backend 2A'!88:88, _xlfn.LAMBDA(_xlpm.ARRAY,IF(_xlpm.ARRAY="teleOp", COLUMN(_xlpm.ARRAY), 0)))))</f>
        <v/>
      </c>
      <c r="B88" t="str" cm="1">
        <f t="array" ref="B88">IF(A88="","",_xlfn.CHOOSECOLS('Prematch Backend 2A'!88:88,_xlfn.MAKEARRAY(1,A88-2,_xlfn.LAMBDA(_xlpm.r,_xlpm.c,_xlpm.c))))</f>
        <v/>
      </c>
    </row>
    <row r="89" spans="1:2" x14ac:dyDescent="0.2">
      <c r="A89" t="str" cm="1">
        <f t="array" ref="A89">IF(MAX(_xlfn.BYCOL('Prematch Backend 2A'!89:89, _xlfn.LAMBDA(_xlpm.ARRAY,IF(_xlpm.ARRAY="teleOp", COLUMN(_xlpm.ARRAY), 0))))=0,"",MAX(_xlfn.BYCOL('Prematch Backend 2A'!89:89, _xlfn.LAMBDA(_xlpm.ARRAY,IF(_xlpm.ARRAY="teleOp", COLUMN(_xlpm.ARRAY), 0)))))</f>
        <v/>
      </c>
      <c r="B89" t="str" cm="1">
        <f t="array" ref="B89">IF(A89="","",_xlfn.CHOOSECOLS('Prematch Backend 2A'!89:89,_xlfn.MAKEARRAY(1,A89-2,_xlfn.LAMBDA(_xlpm.r,_xlpm.c,_xlpm.c))))</f>
        <v/>
      </c>
    </row>
    <row r="90" spans="1:2" x14ac:dyDescent="0.2">
      <c r="A90" t="str" cm="1">
        <f t="array" ref="A90">IF(MAX(_xlfn.BYCOL('Prematch Backend 2A'!90:90, _xlfn.LAMBDA(_xlpm.ARRAY,IF(_xlpm.ARRAY="teleOp", COLUMN(_xlpm.ARRAY), 0))))=0,"",MAX(_xlfn.BYCOL('Prematch Backend 2A'!90:90, _xlfn.LAMBDA(_xlpm.ARRAY,IF(_xlpm.ARRAY="teleOp", COLUMN(_xlpm.ARRAY), 0)))))</f>
        <v/>
      </c>
      <c r="B90" t="str" cm="1">
        <f t="array" ref="B90">IF(A90="","",_xlfn.CHOOSECOLS('Prematch Backend 2A'!90:90,_xlfn.MAKEARRAY(1,A90-2,_xlfn.LAMBDA(_xlpm.r,_xlpm.c,_xlpm.c))))</f>
        <v/>
      </c>
    </row>
    <row r="91" spans="1:2" x14ac:dyDescent="0.2">
      <c r="A91" t="str" cm="1">
        <f t="array" ref="A91">IF(MAX(_xlfn.BYCOL('Prematch Backend 2A'!91:91, _xlfn.LAMBDA(_xlpm.ARRAY,IF(_xlpm.ARRAY="teleOp", COLUMN(_xlpm.ARRAY), 0))))=0,"",MAX(_xlfn.BYCOL('Prematch Backend 2A'!91:91, _xlfn.LAMBDA(_xlpm.ARRAY,IF(_xlpm.ARRAY="teleOp", COLUMN(_xlpm.ARRAY), 0)))))</f>
        <v/>
      </c>
      <c r="B91" t="str" cm="1">
        <f t="array" ref="B91">IF(A91="","",_xlfn.CHOOSECOLS('Prematch Backend 2A'!91:91,_xlfn.MAKEARRAY(1,A91-2,_xlfn.LAMBDA(_xlpm.r,_xlpm.c,_xlpm.c))))</f>
        <v/>
      </c>
    </row>
    <row r="92" spans="1:2" x14ac:dyDescent="0.2">
      <c r="A92" t="str" cm="1">
        <f t="array" ref="A92">IF(MAX(_xlfn.BYCOL('Prematch Backend 2A'!92:92, _xlfn.LAMBDA(_xlpm.ARRAY,IF(_xlpm.ARRAY="teleOp", COLUMN(_xlpm.ARRAY), 0))))=0,"",MAX(_xlfn.BYCOL('Prematch Backend 2A'!92:92, _xlfn.LAMBDA(_xlpm.ARRAY,IF(_xlpm.ARRAY="teleOp", COLUMN(_xlpm.ARRAY), 0)))))</f>
        <v/>
      </c>
      <c r="B92" t="str" cm="1">
        <f t="array" ref="B92">IF(A92="","",_xlfn.CHOOSECOLS('Prematch Backend 2A'!92:92,_xlfn.MAKEARRAY(1,A92-2,_xlfn.LAMBDA(_xlpm.r,_xlpm.c,_xlpm.c))))</f>
        <v/>
      </c>
    </row>
    <row r="93" spans="1:2" x14ac:dyDescent="0.2">
      <c r="A93" t="str" cm="1">
        <f t="array" ref="A93">IF(MAX(_xlfn.BYCOL('Prematch Backend 2A'!93:93, _xlfn.LAMBDA(_xlpm.ARRAY,IF(_xlpm.ARRAY="teleOp", COLUMN(_xlpm.ARRAY), 0))))=0,"",MAX(_xlfn.BYCOL('Prematch Backend 2A'!93:93, _xlfn.LAMBDA(_xlpm.ARRAY,IF(_xlpm.ARRAY="teleOp", COLUMN(_xlpm.ARRAY), 0)))))</f>
        <v/>
      </c>
      <c r="B93" t="str" cm="1">
        <f t="array" ref="B93">IF(A93="","",_xlfn.CHOOSECOLS('Prematch Backend 2A'!93:93,_xlfn.MAKEARRAY(1,A93-2,_xlfn.LAMBDA(_xlpm.r,_xlpm.c,_xlpm.c))))</f>
        <v/>
      </c>
    </row>
    <row r="94" spans="1:2" x14ac:dyDescent="0.2">
      <c r="A94" t="str" cm="1">
        <f t="array" ref="A94">IF(MAX(_xlfn.BYCOL('Prematch Backend 2A'!94:94, _xlfn.LAMBDA(_xlpm.ARRAY,IF(_xlpm.ARRAY="teleOp", COLUMN(_xlpm.ARRAY), 0))))=0,"",MAX(_xlfn.BYCOL('Prematch Backend 2A'!94:94, _xlfn.LAMBDA(_xlpm.ARRAY,IF(_xlpm.ARRAY="teleOp", COLUMN(_xlpm.ARRAY), 0)))))</f>
        <v/>
      </c>
      <c r="B94" t="str" cm="1">
        <f t="array" ref="B94">IF(A94="","",_xlfn.CHOOSECOLS('Prematch Backend 2A'!94:94,_xlfn.MAKEARRAY(1,A94-2,_xlfn.LAMBDA(_xlpm.r,_xlpm.c,_xlpm.c))))</f>
        <v/>
      </c>
    </row>
    <row r="95" spans="1:2" x14ac:dyDescent="0.2">
      <c r="A95" t="str" cm="1">
        <f t="array" ref="A95">IF(MAX(_xlfn.BYCOL('Prematch Backend 2A'!95:95, _xlfn.LAMBDA(_xlpm.ARRAY,IF(_xlpm.ARRAY="teleOp", COLUMN(_xlpm.ARRAY), 0))))=0,"",MAX(_xlfn.BYCOL('Prematch Backend 2A'!95:95, _xlfn.LAMBDA(_xlpm.ARRAY,IF(_xlpm.ARRAY="teleOp", COLUMN(_xlpm.ARRAY), 0)))))</f>
        <v/>
      </c>
      <c r="B95" t="str" cm="1">
        <f t="array" ref="B95">IF(A95="","",_xlfn.CHOOSECOLS('Prematch Backend 2A'!95:95,_xlfn.MAKEARRAY(1,A95-2,_xlfn.LAMBDA(_xlpm.r,_xlpm.c,_xlpm.c))))</f>
        <v/>
      </c>
    </row>
    <row r="96" spans="1:2" x14ac:dyDescent="0.2">
      <c r="A96" t="str" cm="1">
        <f t="array" ref="A96">IF(MAX(_xlfn.BYCOL('Prematch Backend 2A'!96:96, _xlfn.LAMBDA(_xlpm.ARRAY,IF(_xlpm.ARRAY="teleOp", COLUMN(_xlpm.ARRAY), 0))))=0,"",MAX(_xlfn.BYCOL('Prematch Backend 2A'!96:96, _xlfn.LAMBDA(_xlpm.ARRAY,IF(_xlpm.ARRAY="teleOp", COLUMN(_xlpm.ARRAY), 0)))))</f>
        <v/>
      </c>
      <c r="B96" t="str" cm="1">
        <f t="array" ref="B96">IF(A96="","",_xlfn.CHOOSECOLS('Prematch Backend 2A'!96:96,_xlfn.MAKEARRAY(1,A96-2,_xlfn.LAMBDA(_xlpm.r,_xlpm.c,_xlpm.c))))</f>
        <v/>
      </c>
    </row>
    <row r="97" spans="1:2" x14ac:dyDescent="0.2">
      <c r="A97" t="str" cm="1">
        <f t="array" ref="A97">IF(MAX(_xlfn.BYCOL('Prematch Backend 2A'!97:97, _xlfn.LAMBDA(_xlpm.ARRAY,IF(_xlpm.ARRAY="teleOp", COLUMN(_xlpm.ARRAY), 0))))=0,"",MAX(_xlfn.BYCOL('Prematch Backend 2A'!97:97, _xlfn.LAMBDA(_xlpm.ARRAY,IF(_xlpm.ARRAY="teleOp", COLUMN(_xlpm.ARRAY), 0)))))</f>
        <v/>
      </c>
      <c r="B97" t="str" cm="1">
        <f t="array" ref="B97">IF(A97="","",_xlfn.CHOOSECOLS('Prematch Backend 2A'!97:97,_xlfn.MAKEARRAY(1,A97-2,_xlfn.LAMBDA(_xlpm.r,_xlpm.c,_xlpm.c))))</f>
        <v/>
      </c>
    </row>
    <row r="98" spans="1:2" x14ac:dyDescent="0.2">
      <c r="A98" t="str" cm="1">
        <f t="array" ref="A98">IF(MAX(_xlfn.BYCOL('Prematch Backend 2A'!98:98, _xlfn.LAMBDA(_xlpm.ARRAY,IF(_xlpm.ARRAY="teleOp", COLUMN(_xlpm.ARRAY), 0))))=0,"",MAX(_xlfn.BYCOL('Prematch Backend 2A'!98:98, _xlfn.LAMBDA(_xlpm.ARRAY,IF(_xlpm.ARRAY="teleOp", COLUMN(_xlpm.ARRAY), 0)))))</f>
        <v/>
      </c>
      <c r="B98" t="str" cm="1">
        <f t="array" ref="B98">IF(A98="","",_xlfn.CHOOSECOLS('Prematch Backend 2A'!98:98,_xlfn.MAKEARRAY(1,A98-2,_xlfn.LAMBDA(_xlpm.r,_xlpm.c,_xlpm.c))))</f>
        <v/>
      </c>
    </row>
    <row r="99" spans="1:2" x14ac:dyDescent="0.2">
      <c r="A99" t="str" cm="1">
        <f t="array" ref="A99">IF(MAX(_xlfn.BYCOL('Prematch Backend 2A'!99:99, _xlfn.LAMBDA(_xlpm.ARRAY,IF(_xlpm.ARRAY="teleOp", COLUMN(_xlpm.ARRAY), 0))))=0,"",MAX(_xlfn.BYCOL('Prematch Backend 2A'!99:99, _xlfn.LAMBDA(_xlpm.ARRAY,IF(_xlpm.ARRAY="teleOp", COLUMN(_xlpm.ARRAY), 0)))))</f>
        <v/>
      </c>
      <c r="B99" t="str" cm="1">
        <f t="array" ref="B99">IF(A99="","",_xlfn.CHOOSECOLS('Prematch Backend 2A'!99:99,_xlfn.MAKEARRAY(1,A99-2,_xlfn.LAMBDA(_xlpm.r,_xlpm.c,_xlpm.c))))</f>
        <v/>
      </c>
    </row>
    <row r="100" spans="1:2" x14ac:dyDescent="0.2">
      <c r="A100" t="str" cm="1">
        <f t="array" ref="A100">IF(MAX(_xlfn.BYCOL('Prematch Backend 2A'!100:100, _xlfn.LAMBDA(_xlpm.ARRAY,IF(_xlpm.ARRAY="teleOp", COLUMN(_xlpm.ARRAY), 0))))=0,"",MAX(_xlfn.BYCOL('Prematch Backend 2A'!100:100, _xlfn.LAMBDA(_xlpm.ARRAY,IF(_xlpm.ARRAY="teleOp", COLUMN(_xlpm.ARRAY), 0)))))</f>
        <v/>
      </c>
      <c r="B100" t="str" cm="1">
        <f t="array" ref="B100">IF(A100="","",_xlfn.CHOOSECOLS('Prematch Backend 2A'!100:100,_xlfn.MAKEARRAY(1,A100-2,_xlfn.LAMBDA(_xlpm.r,_xlpm.c,_xlpm.c))))</f>
        <v/>
      </c>
    </row>
    <row r="101" spans="1:2" x14ac:dyDescent="0.2">
      <c r="A101" t="str" cm="1">
        <f t="array" ref="A101">IF(MAX(_xlfn.BYCOL('Prematch Backend 2A'!101:101, _xlfn.LAMBDA(_xlpm.ARRAY,IF(_xlpm.ARRAY="teleOp", COLUMN(_xlpm.ARRAY), 0))))=0,"",MAX(_xlfn.BYCOL('Prematch Backend 2A'!101:101, _xlfn.LAMBDA(_xlpm.ARRAY,IF(_xlpm.ARRAY="teleOp", COLUMN(_xlpm.ARRAY), 0)))))</f>
        <v/>
      </c>
      <c r="B101" t="str" cm="1">
        <f t="array" ref="B101">IF(A101="","",_xlfn.CHOOSECOLS('Prematch Backend 2A'!101:101,_xlfn.MAKEARRAY(1,A101-2,_xlfn.LAMBDA(_xlpm.r,_xlpm.c,_xlpm.c))))</f>
        <v/>
      </c>
    </row>
    <row r="102" spans="1:2" x14ac:dyDescent="0.2">
      <c r="A102" t="str" cm="1">
        <f t="array" ref="A102">IF(MAX(_xlfn.BYCOL('Prematch Backend 2A'!102:102, _xlfn.LAMBDA(_xlpm.ARRAY,IF(_xlpm.ARRAY="teleOp", COLUMN(_xlpm.ARRAY), 0))))=0,"",MAX(_xlfn.BYCOL('Prematch Backend 2A'!102:102, _xlfn.LAMBDA(_xlpm.ARRAY,IF(_xlpm.ARRAY="teleOp", COLUMN(_xlpm.ARRAY), 0)))))</f>
        <v/>
      </c>
      <c r="B102" t="str" cm="1">
        <f t="array" ref="B102">IF(A102="","",_xlfn.CHOOSECOLS('Prematch Backend 2A'!102:102,_xlfn.MAKEARRAY(1,A102-2,_xlfn.LAMBDA(_xlpm.r,_xlpm.c,_xlpm.c))))</f>
        <v/>
      </c>
    </row>
    <row r="103" spans="1:2" x14ac:dyDescent="0.2">
      <c r="A103" t="str" cm="1">
        <f t="array" ref="A103">IF(MAX(_xlfn.BYCOL('Prematch Backend 2A'!103:103, _xlfn.LAMBDA(_xlpm.ARRAY,IF(_xlpm.ARRAY="teleOp", COLUMN(_xlpm.ARRAY), 0))))=0,"",MAX(_xlfn.BYCOL('Prematch Backend 2A'!103:103, _xlfn.LAMBDA(_xlpm.ARRAY,IF(_xlpm.ARRAY="teleOp", COLUMN(_xlpm.ARRAY), 0)))))</f>
        <v/>
      </c>
      <c r="B103" t="str" cm="1">
        <f t="array" ref="B103">IF(A103="","",_xlfn.CHOOSECOLS('Prematch Backend 2A'!103:103,_xlfn.MAKEARRAY(1,A103-2,_xlfn.LAMBDA(_xlpm.r,_xlpm.c,_xlpm.c))))</f>
        <v/>
      </c>
    </row>
    <row r="104" spans="1:2" x14ac:dyDescent="0.2">
      <c r="A104" t="str" cm="1">
        <f t="array" ref="A104">IF(MAX(_xlfn.BYCOL('Prematch Backend 2A'!104:104, _xlfn.LAMBDA(_xlpm.ARRAY,IF(_xlpm.ARRAY="teleOp", COLUMN(_xlpm.ARRAY), 0))))=0,"",MAX(_xlfn.BYCOL('Prematch Backend 2A'!104:104, _xlfn.LAMBDA(_xlpm.ARRAY,IF(_xlpm.ARRAY="teleOp", COLUMN(_xlpm.ARRAY), 0)))))</f>
        <v/>
      </c>
      <c r="B104" t="str" cm="1">
        <f t="array" ref="B104">IF(A104="","",_xlfn.CHOOSECOLS('Prematch Backend 2A'!104:104,_xlfn.MAKEARRAY(1,A104-2,_xlfn.LAMBDA(_xlpm.r,_xlpm.c,_xlpm.c))))</f>
        <v/>
      </c>
    </row>
    <row r="105" spans="1:2" x14ac:dyDescent="0.2">
      <c r="A105" t="str" cm="1">
        <f t="array" ref="A105">IF(MAX(_xlfn.BYCOL('Prematch Backend 2A'!105:105, _xlfn.LAMBDA(_xlpm.ARRAY,IF(_xlpm.ARRAY="teleOp", COLUMN(_xlpm.ARRAY), 0))))=0,"",MAX(_xlfn.BYCOL('Prematch Backend 2A'!105:105, _xlfn.LAMBDA(_xlpm.ARRAY,IF(_xlpm.ARRAY="teleOp", COLUMN(_xlpm.ARRAY), 0)))))</f>
        <v/>
      </c>
      <c r="B105" t="str" cm="1">
        <f t="array" ref="B105">IF(A105="","",_xlfn.CHOOSECOLS('Prematch Backend 2A'!105:105,_xlfn.MAKEARRAY(1,A105-2,_xlfn.LAMBDA(_xlpm.r,_xlpm.c,_xlpm.c))))</f>
        <v/>
      </c>
    </row>
    <row r="106" spans="1:2" x14ac:dyDescent="0.2">
      <c r="A106" t="str" cm="1">
        <f t="array" ref="A106">IF(MAX(_xlfn.BYCOL('Prematch Backend 2A'!106:106, _xlfn.LAMBDA(_xlpm.ARRAY,IF(_xlpm.ARRAY="teleOp", COLUMN(_xlpm.ARRAY), 0))))=0,"",MAX(_xlfn.BYCOL('Prematch Backend 2A'!106:106, _xlfn.LAMBDA(_xlpm.ARRAY,IF(_xlpm.ARRAY="teleOp", COLUMN(_xlpm.ARRAY), 0)))))</f>
        <v/>
      </c>
      <c r="B106" t="str" cm="1">
        <f t="array" ref="B106">IF(A106="","",_xlfn.CHOOSECOLS('Prematch Backend 2A'!106:106,_xlfn.MAKEARRAY(1,A106-2,_xlfn.LAMBDA(_xlpm.r,_xlpm.c,_xlpm.c))))</f>
        <v/>
      </c>
    </row>
    <row r="107" spans="1:2" x14ac:dyDescent="0.2">
      <c r="A107" t="str" cm="1">
        <f t="array" ref="A107">IF(MAX(_xlfn.BYCOL('Prematch Backend 2A'!107:107, _xlfn.LAMBDA(_xlpm.ARRAY,IF(_xlpm.ARRAY="teleOp", COLUMN(_xlpm.ARRAY), 0))))=0,"",MAX(_xlfn.BYCOL('Prematch Backend 2A'!107:107, _xlfn.LAMBDA(_xlpm.ARRAY,IF(_xlpm.ARRAY="teleOp", COLUMN(_xlpm.ARRAY), 0)))))</f>
        <v/>
      </c>
      <c r="B107" t="str" cm="1">
        <f t="array" ref="B107">IF(A107="","",_xlfn.CHOOSECOLS('Prematch Backend 2A'!107:107,_xlfn.MAKEARRAY(1,A107-2,_xlfn.LAMBDA(_xlpm.r,_xlpm.c,_xlpm.c))))</f>
        <v/>
      </c>
    </row>
    <row r="108" spans="1:2" x14ac:dyDescent="0.2">
      <c r="A108" t="str" cm="1">
        <f t="array" ref="A108">IF(MAX(_xlfn.BYCOL('Prematch Backend 2A'!108:108, _xlfn.LAMBDA(_xlpm.ARRAY,IF(_xlpm.ARRAY="teleOp", COLUMN(_xlpm.ARRAY), 0))))=0,"",MAX(_xlfn.BYCOL('Prematch Backend 2A'!108:108, _xlfn.LAMBDA(_xlpm.ARRAY,IF(_xlpm.ARRAY="teleOp", COLUMN(_xlpm.ARRAY), 0)))))</f>
        <v/>
      </c>
      <c r="B108" t="str" cm="1">
        <f t="array" ref="B108">IF(A108="","",_xlfn.CHOOSECOLS('Prematch Backend 2A'!108:108,_xlfn.MAKEARRAY(1,A108-2,_xlfn.LAMBDA(_xlpm.r,_xlpm.c,_xlpm.c))))</f>
        <v/>
      </c>
    </row>
    <row r="109" spans="1:2" x14ac:dyDescent="0.2">
      <c r="A109" t="str" cm="1">
        <f t="array" ref="A109">IF(MAX(_xlfn.BYCOL('Prematch Backend 2A'!109:109, _xlfn.LAMBDA(_xlpm.ARRAY,IF(_xlpm.ARRAY="teleOp", COLUMN(_xlpm.ARRAY), 0))))=0,"",MAX(_xlfn.BYCOL('Prematch Backend 2A'!109:109, _xlfn.LAMBDA(_xlpm.ARRAY,IF(_xlpm.ARRAY="teleOp", COLUMN(_xlpm.ARRAY), 0)))))</f>
        <v/>
      </c>
      <c r="B109" t="str" cm="1">
        <f t="array" ref="B109">IF(A109="","",_xlfn.CHOOSECOLS('Prematch Backend 2A'!109:109,_xlfn.MAKEARRAY(1,A109-2,_xlfn.LAMBDA(_xlpm.r,_xlpm.c,_xlpm.c))))</f>
        <v/>
      </c>
    </row>
    <row r="110" spans="1:2" x14ac:dyDescent="0.2">
      <c r="A110" t="str" cm="1">
        <f t="array" ref="A110">IF(MAX(_xlfn.BYCOL('Prematch Backend 2A'!110:110, _xlfn.LAMBDA(_xlpm.ARRAY,IF(_xlpm.ARRAY="teleOp", COLUMN(_xlpm.ARRAY), 0))))=0,"",MAX(_xlfn.BYCOL('Prematch Backend 2A'!110:110, _xlfn.LAMBDA(_xlpm.ARRAY,IF(_xlpm.ARRAY="teleOp", COLUMN(_xlpm.ARRAY), 0)))))</f>
        <v/>
      </c>
      <c r="B110" t="str" cm="1">
        <f t="array" ref="B110">IF(A110="","",_xlfn.CHOOSECOLS('Prematch Backend 2A'!110:110,_xlfn.MAKEARRAY(1,A110-2,_xlfn.LAMBDA(_xlpm.r,_xlpm.c,_xlpm.c))))</f>
        <v/>
      </c>
    </row>
    <row r="111" spans="1:2" x14ac:dyDescent="0.2">
      <c r="A111" t="str" cm="1">
        <f t="array" ref="A111">IF(MAX(_xlfn.BYCOL('Prematch Backend 2A'!111:111, _xlfn.LAMBDA(_xlpm.ARRAY,IF(_xlpm.ARRAY="teleOp", COLUMN(_xlpm.ARRAY), 0))))=0,"",MAX(_xlfn.BYCOL('Prematch Backend 2A'!111:111, _xlfn.LAMBDA(_xlpm.ARRAY,IF(_xlpm.ARRAY="teleOp", COLUMN(_xlpm.ARRAY), 0)))))</f>
        <v/>
      </c>
      <c r="B111" t="str" cm="1">
        <f t="array" ref="B111">IF(A111="","",_xlfn.CHOOSECOLS('Prematch Backend 2A'!111:111,_xlfn.MAKEARRAY(1,A111-2,_xlfn.LAMBDA(_xlpm.r,_xlpm.c,_xlpm.c))))</f>
        <v/>
      </c>
    </row>
    <row r="112" spans="1:2" x14ac:dyDescent="0.2">
      <c r="A112" t="str" cm="1">
        <f t="array" ref="A112">IF(MAX(_xlfn.BYCOL('Prematch Backend 2A'!112:112, _xlfn.LAMBDA(_xlpm.ARRAY,IF(_xlpm.ARRAY="teleOp", COLUMN(_xlpm.ARRAY), 0))))=0,"",MAX(_xlfn.BYCOL('Prematch Backend 2A'!112:112, _xlfn.LAMBDA(_xlpm.ARRAY,IF(_xlpm.ARRAY="teleOp", COLUMN(_xlpm.ARRAY), 0)))))</f>
        <v/>
      </c>
      <c r="B112" t="str" cm="1">
        <f t="array" ref="B112">IF(A112="","",_xlfn.CHOOSECOLS('Prematch Backend 2A'!112:112,_xlfn.MAKEARRAY(1,A112-2,_xlfn.LAMBDA(_xlpm.r,_xlpm.c,_xlpm.c))))</f>
        <v/>
      </c>
    </row>
    <row r="113" spans="1:2" x14ac:dyDescent="0.2">
      <c r="A113" t="str" cm="1">
        <f t="array" ref="A113">IF(MAX(_xlfn.BYCOL('Prematch Backend 2A'!113:113, _xlfn.LAMBDA(_xlpm.ARRAY,IF(_xlpm.ARRAY="teleOp", COLUMN(_xlpm.ARRAY), 0))))=0,"",MAX(_xlfn.BYCOL('Prematch Backend 2A'!113:113, _xlfn.LAMBDA(_xlpm.ARRAY,IF(_xlpm.ARRAY="teleOp", COLUMN(_xlpm.ARRAY), 0)))))</f>
        <v/>
      </c>
      <c r="B113" t="str" cm="1">
        <f t="array" ref="B113">IF(A113="","",_xlfn.CHOOSECOLS('Prematch Backend 2A'!113:113,_xlfn.MAKEARRAY(1,A113-2,_xlfn.LAMBDA(_xlpm.r,_xlpm.c,_xlpm.c))))</f>
        <v/>
      </c>
    </row>
    <row r="114" spans="1:2" x14ac:dyDescent="0.2">
      <c r="A114" t="str" cm="1">
        <f t="array" ref="A114">IF(MAX(_xlfn.BYCOL('Prematch Backend 2A'!114:114, _xlfn.LAMBDA(_xlpm.ARRAY,IF(_xlpm.ARRAY="teleOp", COLUMN(_xlpm.ARRAY), 0))))=0,"",MAX(_xlfn.BYCOL('Prematch Backend 2A'!114:114, _xlfn.LAMBDA(_xlpm.ARRAY,IF(_xlpm.ARRAY="teleOp", COLUMN(_xlpm.ARRAY), 0)))))</f>
        <v/>
      </c>
      <c r="B114" t="str" cm="1">
        <f t="array" ref="B114">IF(A114="","",_xlfn.CHOOSECOLS('Prematch Backend 2A'!114:114,_xlfn.MAKEARRAY(1,A114-2,_xlfn.LAMBDA(_xlpm.r,_xlpm.c,_xlpm.c))))</f>
        <v/>
      </c>
    </row>
    <row r="115" spans="1:2" x14ac:dyDescent="0.2">
      <c r="A115" t="str" cm="1">
        <f t="array" ref="A115">IF(MAX(_xlfn.BYCOL('Prematch Backend 2A'!115:115, _xlfn.LAMBDA(_xlpm.ARRAY,IF(_xlpm.ARRAY="teleOp", COLUMN(_xlpm.ARRAY), 0))))=0,"",MAX(_xlfn.BYCOL('Prematch Backend 2A'!115:115, _xlfn.LAMBDA(_xlpm.ARRAY,IF(_xlpm.ARRAY="teleOp", COLUMN(_xlpm.ARRAY), 0)))))</f>
        <v/>
      </c>
      <c r="B115" t="str" cm="1">
        <f t="array" ref="B115">IF(A115="","",_xlfn.CHOOSECOLS('Prematch Backend 2A'!115:115,_xlfn.MAKEARRAY(1,A115-2,_xlfn.LAMBDA(_xlpm.r,_xlpm.c,_xlpm.c))))</f>
        <v/>
      </c>
    </row>
    <row r="116" spans="1:2" x14ac:dyDescent="0.2">
      <c r="A116" t="str" cm="1">
        <f t="array" ref="A116">IF(MAX(_xlfn.BYCOL('Prematch Backend 2A'!116:116, _xlfn.LAMBDA(_xlpm.ARRAY,IF(_xlpm.ARRAY="teleOp", COLUMN(_xlpm.ARRAY), 0))))=0,"",MAX(_xlfn.BYCOL('Prematch Backend 2A'!116:116, _xlfn.LAMBDA(_xlpm.ARRAY,IF(_xlpm.ARRAY="teleOp", COLUMN(_xlpm.ARRAY), 0)))))</f>
        <v/>
      </c>
      <c r="B116" t="str" cm="1">
        <f t="array" ref="B116">IF(A116="","",_xlfn.CHOOSECOLS('Prematch Backend 2A'!116:116,_xlfn.MAKEARRAY(1,A116-2,_xlfn.LAMBDA(_xlpm.r,_xlpm.c,_xlpm.c))))</f>
        <v/>
      </c>
    </row>
    <row r="117" spans="1:2" x14ac:dyDescent="0.2">
      <c r="A117" t="str" cm="1">
        <f t="array" ref="A117">IF(MAX(_xlfn.BYCOL('Prematch Backend 2A'!117:117, _xlfn.LAMBDA(_xlpm.ARRAY,IF(_xlpm.ARRAY="teleOp", COLUMN(_xlpm.ARRAY), 0))))=0,"",MAX(_xlfn.BYCOL('Prematch Backend 2A'!117:117, _xlfn.LAMBDA(_xlpm.ARRAY,IF(_xlpm.ARRAY="teleOp", COLUMN(_xlpm.ARRAY), 0)))))</f>
        <v/>
      </c>
      <c r="B117" t="str" cm="1">
        <f t="array" ref="B117">IF(A117="","",_xlfn.CHOOSECOLS('Prematch Backend 2A'!117:117,_xlfn.MAKEARRAY(1,A117-2,_xlfn.LAMBDA(_xlpm.r,_xlpm.c,_xlpm.c))))</f>
        <v/>
      </c>
    </row>
    <row r="118" spans="1:2" x14ac:dyDescent="0.2">
      <c r="A118" t="str" cm="1">
        <f t="array" ref="A118">IF(MAX(_xlfn.BYCOL('Prematch Backend 2A'!118:118, _xlfn.LAMBDA(_xlpm.ARRAY,IF(_xlpm.ARRAY="teleOp", COLUMN(_xlpm.ARRAY), 0))))=0,"",MAX(_xlfn.BYCOL('Prematch Backend 2A'!118:118, _xlfn.LAMBDA(_xlpm.ARRAY,IF(_xlpm.ARRAY="teleOp", COLUMN(_xlpm.ARRAY), 0)))))</f>
        <v/>
      </c>
      <c r="B118" t="str" cm="1">
        <f t="array" ref="B118">IF(A118="","",_xlfn.CHOOSECOLS('Prematch Backend 2A'!118:118,_xlfn.MAKEARRAY(1,A118-2,_xlfn.LAMBDA(_xlpm.r,_xlpm.c,_xlpm.c))))</f>
        <v/>
      </c>
    </row>
    <row r="119" spans="1:2" x14ac:dyDescent="0.2">
      <c r="A119" t="str" cm="1">
        <f t="array" ref="A119">IF(MAX(_xlfn.BYCOL('Prematch Backend 2A'!119:119, _xlfn.LAMBDA(_xlpm.ARRAY,IF(_xlpm.ARRAY="teleOp", COLUMN(_xlpm.ARRAY), 0))))=0,"",MAX(_xlfn.BYCOL('Prematch Backend 2A'!119:119, _xlfn.LAMBDA(_xlpm.ARRAY,IF(_xlpm.ARRAY="teleOp", COLUMN(_xlpm.ARRAY), 0)))))</f>
        <v/>
      </c>
      <c r="B119" t="str" cm="1">
        <f t="array" ref="B119">IF(A119="","",_xlfn.CHOOSECOLS('Prematch Backend 2A'!119:119,_xlfn.MAKEARRAY(1,A119-2,_xlfn.LAMBDA(_xlpm.r,_xlpm.c,_xlpm.c))))</f>
        <v/>
      </c>
    </row>
    <row r="120" spans="1:2" x14ac:dyDescent="0.2">
      <c r="A120" t="str" cm="1">
        <f t="array" ref="A120">IF(MAX(_xlfn.BYCOL('Prematch Backend 2A'!120:120, _xlfn.LAMBDA(_xlpm.ARRAY,IF(_xlpm.ARRAY="teleOp", COLUMN(_xlpm.ARRAY), 0))))=0,"",MAX(_xlfn.BYCOL('Prematch Backend 2A'!120:120, _xlfn.LAMBDA(_xlpm.ARRAY,IF(_xlpm.ARRAY="teleOp", COLUMN(_xlpm.ARRAY), 0)))))</f>
        <v/>
      </c>
      <c r="B120" t="str" cm="1">
        <f t="array" ref="B120">IF(A120="","",_xlfn.CHOOSECOLS('Prematch Backend 2A'!120:120,_xlfn.MAKEARRAY(1,A120-2,_xlfn.LAMBDA(_xlpm.r,_xlpm.c,_xlpm.c))))</f>
        <v/>
      </c>
    </row>
    <row r="121" spans="1:2" x14ac:dyDescent="0.2">
      <c r="A121" t="str" cm="1">
        <f t="array" ref="A121">IF(MAX(_xlfn.BYCOL('Prematch Backend 2A'!121:121, _xlfn.LAMBDA(_xlpm.ARRAY,IF(_xlpm.ARRAY="teleOp", COLUMN(_xlpm.ARRAY), 0))))=0,"",MAX(_xlfn.BYCOL('Prematch Backend 2A'!121:121, _xlfn.LAMBDA(_xlpm.ARRAY,IF(_xlpm.ARRAY="teleOp", COLUMN(_xlpm.ARRAY), 0)))))</f>
        <v/>
      </c>
      <c r="B121" t="str" cm="1">
        <f t="array" ref="B121">IF(A121="","",_xlfn.CHOOSECOLS('Prematch Backend 2A'!121:121,_xlfn.MAKEARRAY(1,A121-2,_xlfn.LAMBDA(_xlpm.r,_xlpm.c,_xlpm.c))))</f>
        <v/>
      </c>
    </row>
    <row r="122" spans="1:2" x14ac:dyDescent="0.2">
      <c r="A122" t="str" cm="1">
        <f t="array" ref="A122">IF(MAX(_xlfn.BYCOL('Prematch Backend 2A'!122:122, _xlfn.LAMBDA(_xlpm.ARRAY,IF(_xlpm.ARRAY="teleOp", COLUMN(_xlpm.ARRAY), 0))))=0,"",MAX(_xlfn.BYCOL('Prematch Backend 2A'!122:122, _xlfn.LAMBDA(_xlpm.ARRAY,IF(_xlpm.ARRAY="teleOp", COLUMN(_xlpm.ARRAY), 0)))))</f>
        <v/>
      </c>
      <c r="B122" t="str" cm="1">
        <f t="array" ref="B122">IF(A122="","",_xlfn.CHOOSECOLS('Prematch Backend 2A'!122:122,_xlfn.MAKEARRAY(1,A122-2,_xlfn.LAMBDA(_xlpm.r,_xlpm.c,_xlpm.c))))</f>
        <v/>
      </c>
    </row>
    <row r="123" spans="1:2" x14ac:dyDescent="0.2">
      <c r="B123" t="str" cm="1">
        <f t="array" ref="B123">IF(A123="","",_xlfn.CHOOSECOLS('Prematch Backend 2A'!123:123,_xlfn.MAKEARRAY(1,A123-2,_xlfn.LAMBDA(_xlpm.r,_xlpm.c,_xlpm.c))))</f>
        <v/>
      </c>
    </row>
    <row r="124" spans="1:2" x14ac:dyDescent="0.2">
      <c r="B124" t="str" cm="1">
        <f t="array" ref="B124">IF(A124="","",_xlfn.CHOOSECOLS('Prematch Backend 2A'!124:124,_xlfn.MAKEARRAY(1,A124-2,_xlfn.LAMBDA(_xlpm.r,_xlpm.c,_xlpm.c))))</f>
        <v/>
      </c>
    </row>
    <row r="125" spans="1:2" x14ac:dyDescent="0.2">
      <c r="B125" t="str" cm="1">
        <f t="array" ref="B125">IF(A125="","",_xlfn.CHOOSECOLS('Prematch Backend 2A'!125:125,_xlfn.MAKEARRAY(1,A125-2,_xlfn.LAMBDA(_xlpm.r,_xlpm.c,_xlpm.c))))</f>
        <v/>
      </c>
    </row>
    <row r="126" spans="1:2" x14ac:dyDescent="0.2">
      <c r="B126" t="str" cm="1">
        <f t="array" ref="B126">IF(A126="","",_xlfn.CHOOSECOLS('Prematch Backend 2A'!126:126,_xlfn.MAKEARRAY(1,A126-2,_xlfn.LAMBDA(_xlpm.r,_xlpm.c,_xlpm.c))))</f>
        <v/>
      </c>
    </row>
    <row r="127" spans="1:2" x14ac:dyDescent="0.2">
      <c r="B127" t="str" cm="1">
        <f t="array" ref="B127">IF(A127="","",_xlfn.CHOOSECOLS('Prematch Backend 2A'!127:127,_xlfn.MAKEARRAY(1,A127-2,_xlfn.LAMBDA(_xlpm.r,_xlpm.c,_xlpm.c))))</f>
        <v/>
      </c>
    </row>
    <row r="128" spans="1:2" x14ac:dyDescent="0.2">
      <c r="B128" t="str" cm="1">
        <f t="array" ref="B128">IF(A128="","",_xlfn.CHOOSECOLS('Prematch Backend 2A'!128:128,_xlfn.MAKEARRAY(1,A128-2,_xlfn.LAMBDA(_xlpm.r,_xlpm.c,_xlpm.c))))</f>
        <v/>
      </c>
    </row>
    <row r="129" spans="2:2" x14ac:dyDescent="0.2">
      <c r="B129" t="str" cm="1">
        <f t="array" ref="B129">IF(A129="","",_xlfn.CHOOSECOLS('Prematch Backend 2A'!129:129,_xlfn.MAKEARRAY(1,A129-2,_xlfn.LAMBDA(_xlpm.r,_xlpm.c,_xlpm.c))))</f>
        <v/>
      </c>
    </row>
    <row r="130" spans="2:2" x14ac:dyDescent="0.2">
      <c r="B130" t="str" cm="1">
        <f t="array" ref="B130">IF(A130="","",_xlfn.CHOOSECOLS('Prematch Backend 2A'!130:130,_xlfn.MAKEARRAY(1,A130-2,_xlfn.LAMBDA(_xlpm.r,_xlpm.c,_xlpm.c))))</f>
        <v/>
      </c>
    </row>
    <row r="131" spans="2:2" x14ac:dyDescent="0.2">
      <c r="B131" t="str" cm="1">
        <f t="array" ref="B131">IF(A131="","",_xlfn.CHOOSECOLS('Prematch Backend 2A'!131:131,_xlfn.MAKEARRAY(1,A131-2,_xlfn.LAMBDA(_xlpm.r,_xlpm.c,_xlpm.c))))</f>
        <v/>
      </c>
    </row>
    <row r="132" spans="2:2" x14ac:dyDescent="0.2">
      <c r="B132" t="str" cm="1">
        <f t="array" ref="B132">IF(A132="","",_xlfn.CHOOSECOLS('Prematch Backend 2A'!132:132,_xlfn.MAKEARRAY(1,A132-2,_xlfn.LAMBDA(_xlpm.r,_xlpm.c,_xlpm.c))))</f>
        <v/>
      </c>
    </row>
    <row r="133" spans="2:2" x14ac:dyDescent="0.2">
      <c r="B133" t="str" cm="1">
        <f t="array" ref="B133">IF(A133="","",_xlfn.CHOOSECOLS('Prematch Backend 2A'!133:133,_xlfn.MAKEARRAY(1,A133-2,_xlfn.LAMBDA(_xlpm.r,_xlpm.c,_xlpm.c))))</f>
        <v/>
      </c>
    </row>
    <row r="134" spans="2:2" x14ac:dyDescent="0.2">
      <c r="B134" t="str" cm="1">
        <f t="array" ref="B134">IF(A134="","",_xlfn.CHOOSECOLS('Prematch Backend 2A'!134:134,_xlfn.MAKEARRAY(1,A134-2,_xlfn.LAMBDA(_xlpm.r,_xlpm.c,_xlpm.c))))</f>
        <v/>
      </c>
    </row>
    <row r="135" spans="2:2" x14ac:dyDescent="0.2">
      <c r="B135" t="str" cm="1">
        <f t="array" ref="B135">IF(A135="","",_xlfn.CHOOSECOLS('Prematch Backend 2A'!135:135,_xlfn.MAKEARRAY(1,A135-2,_xlfn.LAMBDA(_xlpm.r,_xlpm.c,_xlpm.c))))</f>
        <v/>
      </c>
    </row>
    <row r="136" spans="2:2" x14ac:dyDescent="0.2">
      <c r="B136" t="str" cm="1">
        <f t="array" ref="B136">IF(A136="","",_xlfn.CHOOSECOLS('Prematch Backend 2A'!136:136,_xlfn.MAKEARRAY(1,A136-2,_xlfn.LAMBDA(_xlpm.r,_xlpm.c,_xlpm.c))))</f>
        <v/>
      </c>
    </row>
    <row r="137" spans="2:2" x14ac:dyDescent="0.2">
      <c r="B137" t="str" cm="1">
        <f t="array" ref="B137">IF(A137="","",_xlfn.CHOOSECOLS('Prematch Backend 2A'!137:137,_xlfn.MAKEARRAY(1,A137-2,_xlfn.LAMBDA(_xlpm.r,_xlpm.c,_xlpm.c))))</f>
        <v/>
      </c>
    </row>
    <row r="138" spans="2:2" x14ac:dyDescent="0.2">
      <c r="B138" t="str" cm="1">
        <f t="array" ref="B138">IF(A138="","",_xlfn.CHOOSECOLS('Prematch Backend 2A'!138:138,_xlfn.MAKEARRAY(1,A138-2,_xlfn.LAMBDA(_xlpm.r,_xlpm.c,_xlpm.c))))</f>
        <v/>
      </c>
    </row>
    <row r="139" spans="2:2" x14ac:dyDescent="0.2">
      <c r="B139" t="str" cm="1">
        <f t="array" ref="B139">IF(A139="","",_xlfn.CHOOSECOLS('Prematch Backend 2A'!139:139,_xlfn.MAKEARRAY(1,A139-2,_xlfn.LAMBDA(_xlpm.r,_xlpm.c,_xlpm.c))))</f>
        <v/>
      </c>
    </row>
    <row r="140" spans="2:2" x14ac:dyDescent="0.2">
      <c r="B140" t="str" cm="1">
        <f t="array" ref="B140">IF(A140="","",_xlfn.CHOOSECOLS('Prematch Backend 2A'!140:140,_xlfn.MAKEARRAY(1,A140-2,_xlfn.LAMBDA(_xlpm.r,_xlpm.c,_xlpm.c))))</f>
        <v/>
      </c>
    </row>
    <row r="141" spans="2:2" x14ac:dyDescent="0.2">
      <c r="B141" t="str" cm="1">
        <f t="array" ref="B141">IF(A141="","",_xlfn.CHOOSECOLS('Prematch Backend 2A'!141:141,_xlfn.MAKEARRAY(1,A141-2,_xlfn.LAMBDA(_xlpm.r,_xlpm.c,_xlpm.c))))</f>
        <v/>
      </c>
    </row>
    <row r="142" spans="2:2" x14ac:dyDescent="0.2">
      <c r="B142" t="str" cm="1">
        <f t="array" ref="B142">IF(A142="","",_xlfn.CHOOSECOLS('Prematch Backend 2A'!142:142,_xlfn.MAKEARRAY(1,A142-2,_xlfn.LAMBDA(_xlpm.r,_xlpm.c,_xlpm.c))))</f>
        <v/>
      </c>
    </row>
    <row r="143" spans="2:2" x14ac:dyDescent="0.2">
      <c r="B143" t="str" cm="1">
        <f t="array" ref="B143">IF(A143="","",_xlfn.CHOOSECOLS('Prematch Backend 2A'!143:143,_xlfn.MAKEARRAY(1,A143-2,_xlfn.LAMBDA(_xlpm.r,_xlpm.c,_xlpm.c))))</f>
        <v/>
      </c>
    </row>
    <row r="144" spans="2:2" x14ac:dyDescent="0.2">
      <c r="B144" t="str" cm="1">
        <f t="array" ref="B144">IF(A144="","",_xlfn.CHOOSECOLS('Prematch Backend 2A'!144:144,_xlfn.MAKEARRAY(1,A144-2,_xlfn.LAMBDA(_xlpm.r,_xlpm.c,_xlpm.c))))</f>
        <v/>
      </c>
    </row>
    <row r="145" spans="2:2" x14ac:dyDescent="0.2">
      <c r="B145" t="str" cm="1">
        <f t="array" ref="B145">IF(A145="","",_xlfn.CHOOSECOLS('Prematch Backend 2A'!145:145,_xlfn.MAKEARRAY(1,A145-2,_xlfn.LAMBDA(_xlpm.r,_xlpm.c,_xlpm.c))))</f>
        <v/>
      </c>
    </row>
    <row r="146" spans="2:2" x14ac:dyDescent="0.2">
      <c r="B146" t="str" cm="1">
        <f t="array" ref="B146">IF(A146="","",_xlfn.CHOOSECOLS('Prematch Backend 2A'!146:146,_xlfn.MAKEARRAY(1,A146-2,_xlfn.LAMBDA(_xlpm.r,_xlpm.c,_xlpm.c))))</f>
        <v/>
      </c>
    </row>
    <row r="147" spans="2:2" x14ac:dyDescent="0.2">
      <c r="B147" t="str" cm="1">
        <f t="array" ref="B147">IF(A147="","",_xlfn.CHOOSECOLS('Prematch Backend 2A'!147:147,_xlfn.MAKEARRAY(1,A147-2,_xlfn.LAMBDA(_xlpm.r,_xlpm.c,_xlpm.c))))</f>
        <v/>
      </c>
    </row>
    <row r="148" spans="2:2" x14ac:dyDescent="0.2">
      <c r="B148" t="str" cm="1">
        <f t="array" ref="B148">IF(A148="","",_xlfn.CHOOSECOLS('Prematch Backend 2A'!148:148,_xlfn.MAKEARRAY(1,A148-2,_xlfn.LAMBDA(_xlpm.r,_xlpm.c,_xlpm.c))))</f>
        <v/>
      </c>
    </row>
    <row r="149" spans="2:2" x14ac:dyDescent="0.2">
      <c r="B149" t="str" cm="1">
        <f t="array" ref="B149">IF(A149="","",_xlfn.CHOOSECOLS('Prematch Backend 2A'!149:149,_xlfn.MAKEARRAY(1,A149-2,_xlfn.LAMBDA(_xlpm.r,_xlpm.c,_xlpm.c))))</f>
        <v/>
      </c>
    </row>
    <row r="150" spans="2:2" x14ac:dyDescent="0.2">
      <c r="B150" t="str" cm="1">
        <f t="array" ref="B150">IF(A150="","",_xlfn.CHOOSECOLS('Prematch Backend 2A'!150:150,_xlfn.MAKEARRAY(1,A150-2,_xlfn.LAMBDA(_xlpm.r,_xlpm.c,_xlpm.c))))</f>
        <v/>
      </c>
    </row>
    <row r="151" spans="2:2" x14ac:dyDescent="0.2">
      <c r="B151" t="str" cm="1">
        <f t="array" ref="B151">IF(A151="","",_xlfn.CHOOSECOLS('Prematch Backend 2A'!151:151,_xlfn.MAKEARRAY(1,A151-2,_xlfn.LAMBDA(_xlpm.r,_xlpm.c,_xlpm.c))))</f>
        <v/>
      </c>
    </row>
    <row r="152" spans="2:2" x14ac:dyDescent="0.2">
      <c r="B152" t="str" cm="1">
        <f t="array" ref="B152">IF(A152="","",_xlfn.CHOOSECOLS('Prematch Backend 2A'!152:152,_xlfn.MAKEARRAY(1,A152-2,_xlfn.LAMBDA(_xlpm.r,_xlpm.c,_xlpm.c))))</f>
        <v/>
      </c>
    </row>
    <row r="153" spans="2:2" x14ac:dyDescent="0.2">
      <c r="B153" t="str" cm="1">
        <f t="array" ref="B153">IF(A153="","",_xlfn.CHOOSECOLS('Prematch Backend 2A'!153:153,_xlfn.MAKEARRAY(1,A153-2,_xlfn.LAMBDA(_xlpm.r,_xlpm.c,_xlpm.c))))</f>
        <v/>
      </c>
    </row>
    <row r="154" spans="2:2" x14ac:dyDescent="0.2">
      <c r="B154" t="str" cm="1">
        <f t="array" ref="B154">IF(A154="","",_xlfn.CHOOSECOLS('Prematch Backend 2A'!154:154,_xlfn.MAKEARRAY(1,A154-2,_xlfn.LAMBDA(_xlpm.r,_xlpm.c,_xlpm.c))))</f>
        <v/>
      </c>
    </row>
    <row r="155" spans="2:2" x14ac:dyDescent="0.2">
      <c r="B155" t="str" cm="1">
        <f t="array" ref="B155">IF(A155="","",_xlfn.CHOOSECOLS('Prematch Backend 2A'!155:155,_xlfn.MAKEARRAY(1,A155-2,_xlfn.LAMBDA(_xlpm.r,_xlpm.c,_xlpm.c))))</f>
        <v/>
      </c>
    </row>
    <row r="156" spans="2:2" x14ac:dyDescent="0.2">
      <c r="B156" t="str" cm="1">
        <f t="array" ref="B156">IF(A156="","",_xlfn.CHOOSECOLS('Prematch Backend 2A'!156:156,_xlfn.MAKEARRAY(1,A156-2,_xlfn.LAMBDA(_xlpm.r,_xlpm.c,_xlpm.c))))</f>
        <v/>
      </c>
    </row>
    <row r="157" spans="2:2" x14ac:dyDescent="0.2">
      <c r="B157" t="str" cm="1">
        <f t="array" ref="B157">IF(A157="","",_xlfn.CHOOSECOLS('Prematch Backend 2A'!157:157,_xlfn.MAKEARRAY(1,A157-2,_xlfn.LAMBDA(_xlpm.r,_xlpm.c,_xlpm.c))))</f>
        <v/>
      </c>
    </row>
    <row r="158" spans="2:2" x14ac:dyDescent="0.2">
      <c r="B158" t="str" cm="1">
        <f t="array" ref="B158">IF(A158="","",_xlfn.CHOOSECOLS('Prematch Backend 2A'!158:158,_xlfn.MAKEARRAY(1,A158-2,_xlfn.LAMBDA(_xlpm.r,_xlpm.c,_xlpm.c))))</f>
        <v/>
      </c>
    </row>
    <row r="159" spans="2:2" x14ac:dyDescent="0.2">
      <c r="B159" t="str" cm="1">
        <f t="array" ref="B159">IF(A159="","",_xlfn.CHOOSECOLS('Prematch Backend 2A'!159:159,_xlfn.MAKEARRAY(1,A159-2,_xlfn.LAMBDA(_xlpm.r,_xlpm.c,_xlpm.c))))</f>
        <v/>
      </c>
    </row>
    <row r="160" spans="2:2" x14ac:dyDescent="0.2">
      <c r="B160" t="str" cm="1">
        <f t="array" ref="B160">IF(A160="","",_xlfn.CHOOSECOLS('Prematch Backend 2A'!160:160,_xlfn.MAKEARRAY(1,A160-2,_xlfn.LAMBDA(_xlpm.r,_xlpm.c,_xlpm.c))))</f>
        <v/>
      </c>
    </row>
    <row r="161" spans="2:2" x14ac:dyDescent="0.2">
      <c r="B161" t="str" cm="1">
        <f t="array" ref="B161">IF(A161="","",_xlfn.CHOOSECOLS('Prematch Backend 2A'!161:161,_xlfn.MAKEARRAY(1,A161-2,_xlfn.LAMBDA(_xlpm.r,_xlpm.c,_xlpm.c))))</f>
        <v/>
      </c>
    </row>
    <row r="162" spans="2:2" x14ac:dyDescent="0.2">
      <c r="B162" t="str" cm="1">
        <f t="array" ref="B162">IF(A162="","",_xlfn.CHOOSECOLS('Prematch Backend 2A'!162:162,_xlfn.MAKEARRAY(1,A162-2,_xlfn.LAMBDA(_xlpm.r,_xlpm.c,_xlpm.c))))</f>
        <v/>
      </c>
    </row>
    <row r="163" spans="2:2" x14ac:dyDescent="0.2">
      <c r="B163" t="str" cm="1">
        <f t="array" ref="B163">IF(A163="","",_xlfn.CHOOSECOLS('Prematch Backend 2A'!163:163,_xlfn.MAKEARRAY(1,A163-2,_xlfn.LAMBDA(_xlpm.r,_xlpm.c,_xlpm.c))))</f>
        <v/>
      </c>
    </row>
    <row r="164" spans="2:2" x14ac:dyDescent="0.2">
      <c r="B164" t="str" cm="1">
        <f t="array" ref="B164">IF(A164="","",_xlfn.CHOOSECOLS('Prematch Backend 2A'!164:164,_xlfn.MAKEARRAY(1,A164-2,_xlfn.LAMBDA(_xlpm.r,_xlpm.c,_xlpm.c))))</f>
        <v/>
      </c>
    </row>
    <row r="165" spans="2:2" x14ac:dyDescent="0.2">
      <c r="B165" t="str" cm="1">
        <f t="array" ref="B165">IF(A165="","",_xlfn.CHOOSECOLS('Prematch Backend 2A'!165:165,_xlfn.MAKEARRAY(1,A165-2,_xlfn.LAMBDA(_xlpm.r,_xlpm.c,_xlpm.c))))</f>
        <v/>
      </c>
    </row>
    <row r="166" spans="2:2" x14ac:dyDescent="0.2">
      <c r="B166" t="str" cm="1">
        <f t="array" ref="B166">IF(A166="","",_xlfn.CHOOSECOLS('Prematch Backend 2A'!166:166,_xlfn.MAKEARRAY(1,A166-2,_xlfn.LAMBDA(_xlpm.r,_xlpm.c,_xlpm.c))))</f>
        <v/>
      </c>
    </row>
    <row r="167" spans="2:2" x14ac:dyDescent="0.2">
      <c r="B167" t="str" cm="1">
        <f t="array" ref="B167">IF(A167="","",_xlfn.CHOOSECOLS('Prematch Backend 2A'!167:167,_xlfn.MAKEARRAY(1,A167-2,_xlfn.LAMBDA(_xlpm.r,_xlpm.c,_xlpm.c))))</f>
        <v/>
      </c>
    </row>
    <row r="168" spans="2:2" x14ac:dyDescent="0.2">
      <c r="B168" t="str" cm="1">
        <f t="array" ref="B168">IF(A168="","",_xlfn.CHOOSECOLS('Prematch Backend 2A'!168:168,_xlfn.MAKEARRAY(1,A168-2,_xlfn.LAMBDA(_xlpm.r,_xlpm.c,_xlpm.c))))</f>
        <v/>
      </c>
    </row>
    <row r="169" spans="2:2" x14ac:dyDescent="0.2">
      <c r="B169" t="str" cm="1">
        <f t="array" ref="B169">IF(A169="","",_xlfn.CHOOSECOLS('Prematch Backend 2A'!169:169,_xlfn.MAKEARRAY(1,A169-2,_xlfn.LAMBDA(_xlpm.r,_xlpm.c,_xlpm.c))))</f>
        <v/>
      </c>
    </row>
    <row r="170" spans="2:2" x14ac:dyDescent="0.2">
      <c r="B170" t="str" cm="1">
        <f t="array" ref="B170">IF(A170="","",_xlfn.CHOOSECOLS('Prematch Backend 2A'!170:170,_xlfn.MAKEARRAY(1,A170-2,_xlfn.LAMBDA(_xlpm.r,_xlpm.c,_xlpm.c))))</f>
        <v/>
      </c>
    </row>
    <row r="171" spans="2:2" x14ac:dyDescent="0.2">
      <c r="B171" t="str" cm="1">
        <f t="array" ref="B171">IF(A171="","",_xlfn.CHOOSECOLS('Prematch Backend 2A'!171:171,_xlfn.MAKEARRAY(1,A171-2,_xlfn.LAMBDA(_xlpm.r,_xlpm.c,_xlpm.c))))</f>
        <v/>
      </c>
    </row>
    <row r="172" spans="2:2" x14ac:dyDescent="0.2">
      <c r="B172" t="str" cm="1">
        <f t="array" ref="B172">IF(A172="","",_xlfn.CHOOSECOLS('Prematch Backend 2A'!172:172,_xlfn.MAKEARRAY(1,A172-2,_xlfn.LAMBDA(_xlpm.r,_xlpm.c,_xlpm.c))))</f>
        <v/>
      </c>
    </row>
    <row r="173" spans="2:2" x14ac:dyDescent="0.2">
      <c r="B173" t="str" cm="1">
        <f t="array" ref="B173">IF(A173="","",_xlfn.CHOOSECOLS('Prematch Backend 2A'!173:173,_xlfn.MAKEARRAY(1,A173-2,_xlfn.LAMBDA(_xlpm.r,_xlpm.c,_xlpm.c))))</f>
        <v/>
      </c>
    </row>
    <row r="174" spans="2:2" x14ac:dyDescent="0.2">
      <c r="B174" t="str" cm="1">
        <f t="array" ref="B174">IF(A174="","",_xlfn.CHOOSECOLS('Prematch Backend 2A'!174:174,_xlfn.MAKEARRAY(1,A174-2,_xlfn.LAMBDA(_xlpm.r,_xlpm.c,_xlpm.c))))</f>
        <v/>
      </c>
    </row>
    <row r="175" spans="2:2" x14ac:dyDescent="0.2">
      <c r="B175" t="str" cm="1">
        <f t="array" ref="B175">IF(A175="","",_xlfn.CHOOSECOLS('Prematch Backend 2A'!175:175,_xlfn.MAKEARRAY(1,A175-2,_xlfn.LAMBDA(_xlpm.r,_xlpm.c,_xlpm.c))))</f>
        <v/>
      </c>
    </row>
    <row r="176" spans="2:2" x14ac:dyDescent="0.2">
      <c r="B176" t="str" cm="1">
        <f t="array" ref="B176">IF(A176="","",_xlfn.CHOOSECOLS('Prematch Backend 2A'!176:176,_xlfn.MAKEARRAY(1,A176-2,_xlfn.LAMBDA(_xlpm.r,_xlpm.c,_xlpm.c))))</f>
        <v/>
      </c>
    </row>
    <row r="177" spans="2:2" x14ac:dyDescent="0.2">
      <c r="B177" t="str" cm="1">
        <f t="array" ref="B177">IF(A177="","",_xlfn.CHOOSECOLS('Prematch Backend 2A'!177:177,_xlfn.MAKEARRAY(1,A177-2,_xlfn.LAMBDA(_xlpm.r,_xlpm.c,_xlpm.c))))</f>
        <v/>
      </c>
    </row>
    <row r="178" spans="2:2" x14ac:dyDescent="0.2">
      <c r="B178" t="str" cm="1">
        <f t="array" ref="B178">IF(A178="","",_xlfn.CHOOSECOLS('Prematch Backend 2A'!178:178,_xlfn.MAKEARRAY(1,A178-2,_xlfn.LAMBDA(_xlpm.r,_xlpm.c,_xlpm.c))))</f>
        <v/>
      </c>
    </row>
    <row r="179" spans="2:2" x14ac:dyDescent="0.2">
      <c r="B179" t="str" cm="1">
        <f t="array" ref="B179">IF(A179="","",_xlfn.CHOOSECOLS('Prematch Backend 2A'!179:179,_xlfn.MAKEARRAY(1,A179-2,_xlfn.LAMBDA(_xlpm.r,_xlpm.c,_xlpm.c))))</f>
        <v/>
      </c>
    </row>
    <row r="180" spans="2:2" x14ac:dyDescent="0.2">
      <c r="B180" t="str" cm="1">
        <f t="array" ref="B180">IF(A180="","",_xlfn.CHOOSECOLS('Prematch Backend 2A'!180:180,_xlfn.MAKEARRAY(1,A180-2,_xlfn.LAMBDA(_xlpm.r,_xlpm.c,_xlpm.c))))</f>
        <v/>
      </c>
    </row>
    <row r="181" spans="2:2" x14ac:dyDescent="0.2">
      <c r="B181" t="str" cm="1">
        <f t="array" ref="B181">IF(A181="","",_xlfn.CHOOSECOLS('Prematch Backend 2A'!181:181,_xlfn.MAKEARRAY(1,A181-2,_xlfn.LAMBDA(_xlpm.r,_xlpm.c,_xlpm.c))))</f>
        <v/>
      </c>
    </row>
    <row r="182" spans="2:2" x14ac:dyDescent="0.2">
      <c r="B182" t="str" cm="1">
        <f t="array" ref="B182">IF(A182="","",_xlfn.CHOOSECOLS('Prematch Backend 2A'!182:182,_xlfn.MAKEARRAY(1,A182-2,_xlfn.LAMBDA(_xlpm.r,_xlpm.c,_xlpm.c))))</f>
        <v/>
      </c>
    </row>
    <row r="183" spans="2:2" x14ac:dyDescent="0.2">
      <c r="B183" t="str" cm="1">
        <f t="array" ref="B183">IF(A183="","",_xlfn.CHOOSECOLS('Prematch Backend 2A'!183:183,_xlfn.MAKEARRAY(1,A183-2,_xlfn.LAMBDA(_xlpm.r,_xlpm.c,_xlpm.c))))</f>
        <v/>
      </c>
    </row>
    <row r="184" spans="2:2" x14ac:dyDescent="0.2">
      <c r="B184" t="str" cm="1">
        <f t="array" ref="B184">IF(A184="","",_xlfn.CHOOSECOLS('Prematch Backend 2A'!184:184,_xlfn.MAKEARRAY(1,A184-2,_xlfn.LAMBDA(_xlpm.r,_xlpm.c,_xlpm.c))))</f>
        <v/>
      </c>
    </row>
    <row r="185" spans="2:2" x14ac:dyDescent="0.2">
      <c r="B185" t="str" cm="1">
        <f t="array" ref="B185">IF(A185="","",_xlfn.CHOOSECOLS('Prematch Backend 2A'!185:185,_xlfn.MAKEARRAY(1,A185-2,_xlfn.LAMBDA(_xlpm.r,_xlpm.c,_xlpm.c))))</f>
        <v/>
      </c>
    </row>
    <row r="186" spans="2:2" x14ac:dyDescent="0.2">
      <c r="B186" t="str" cm="1">
        <f t="array" ref="B186">IF(A186="","",_xlfn.CHOOSECOLS('Prematch Backend 2A'!186:186,_xlfn.MAKEARRAY(1,A186-2,_xlfn.LAMBDA(_xlpm.r,_xlpm.c,_xlpm.c))))</f>
        <v/>
      </c>
    </row>
    <row r="187" spans="2:2" x14ac:dyDescent="0.2">
      <c r="B187" t="str" cm="1">
        <f t="array" ref="B187">IF(A187="","",_xlfn.CHOOSECOLS('Prematch Backend 2A'!187:187,_xlfn.MAKEARRAY(1,A187-2,_xlfn.LAMBDA(_xlpm.r,_xlpm.c,_xlpm.c))))</f>
        <v/>
      </c>
    </row>
    <row r="188" spans="2:2" x14ac:dyDescent="0.2">
      <c r="B188" t="str" cm="1">
        <f t="array" ref="B188">IF(A188="","",_xlfn.CHOOSECOLS('Prematch Backend 2A'!188:188,_xlfn.MAKEARRAY(1,A188-2,_xlfn.LAMBDA(_xlpm.r,_xlpm.c,_xlpm.c))))</f>
        <v/>
      </c>
    </row>
    <row r="189" spans="2:2" x14ac:dyDescent="0.2">
      <c r="B189" t="str" cm="1">
        <f t="array" ref="B189">IF(A189="","",_xlfn.CHOOSECOLS('Prematch Backend 2A'!189:189,_xlfn.MAKEARRAY(1,A189-2,_xlfn.LAMBDA(_xlpm.r,_xlpm.c,_xlpm.c))))</f>
        <v/>
      </c>
    </row>
    <row r="190" spans="2:2" x14ac:dyDescent="0.2">
      <c r="B190" t="str" cm="1">
        <f t="array" ref="B190">IF(A190="","",_xlfn.CHOOSECOLS('Prematch Backend 2A'!190:190,_xlfn.MAKEARRAY(1,A190-2,_xlfn.LAMBDA(_xlpm.r,_xlpm.c,_xlpm.c))))</f>
        <v/>
      </c>
    </row>
    <row r="191" spans="2:2" x14ac:dyDescent="0.2">
      <c r="B191" t="str" cm="1">
        <f t="array" ref="B191">IF(A191="","",_xlfn.CHOOSECOLS('Prematch Backend 2A'!191:191,_xlfn.MAKEARRAY(1,A191-2,_xlfn.LAMBDA(_xlpm.r,_xlpm.c,_xlpm.c))))</f>
        <v/>
      </c>
    </row>
    <row r="192" spans="2:2" x14ac:dyDescent="0.2">
      <c r="B192" t="str" cm="1">
        <f t="array" ref="B192">IF(A192="","",_xlfn.CHOOSECOLS('Prematch Backend 2A'!192:192,_xlfn.MAKEARRAY(1,A192-2,_xlfn.LAMBDA(_xlpm.r,_xlpm.c,_xlpm.c))))</f>
        <v/>
      </c>
    </row>
    <row r="193" spans="2:2" x14ac:dyDescent="0.2">
      <c r="B193" t="str" cm="1">
        <f t="array" ref="B193">IF(A193="","",_xlfn.CHOOSECOLS('Prematch Backend 2A'!193:193,_xlfn.MAKEARRAY(1,A193-2,_xlfn.LAMBDA(_xlpm.r,_xlpm.c,_xlpm.c))))</f>
        <v/>
      </c>
    </row>
    <row r="194" spans="2:2" x14ac:dyDescent="0.2">
      <c r="B194" t="str" cm="1">
        <f t="array" ref="B194">IF(A194="","",_xlfn.CHOOSECOLS('Prematch Backend 2A'!194:194,_xlfn.MAKEARRAY(1,A194-2,_xlfn.LAMBDA(_xlpm.r,_xlpm.c,_xlpm.c))))</f>
        <v/>
      </c>
    </row>
    <row r="195" spans="2:2" x14ac:dyDescent="0.2">
      <c r="B195" t="str" cm="1">
        <f t="array" ref="B195">IF(A195="","",_xlfn.CHOOSECOLS('Prematch Backend 2A'!195:195,_xlfn.MAKEARRAY(1,A195-2,_xlfn.LAMBDA(_xlpm.r,_xlpm.c,_xlpm.c))))</f>
        <v/>
      </c>
    </row>
    <row r="196" spans="2:2" x14ac:dyDescent="0.2">
      <c r="B196" t="str" cm="1">
        <f t="array" ref="B196">IF(A196="","",_xlfn.CHOOSECOLS('Prematch Backend 2A'!196:196,_xlfn.MAKEARRAY(1,A196-2,_xlfn.LAMBDA(_xlpm.r,_xlpm.c,_xlpm.c))))</f>
        <v/>
      </c>
    </row>
    <row r="197" spans="2:2" x14ac:dyDescent="0.2">
      <c r="B197" t="str" cm="1">
        <f t="array" ref="B197">IF(A197="","",_xlfn.CHOOSECOLS('Prematch Backend 2A'!197:197,_xlfn.MAKEARRAY(1,A197-2,_xlfn.LAMBDA(_xlpm.r,_xlpm.c,_xlpm.c))))</f>
        <v/>
      </c>
    </row>
    <row r="198" spans="2:2" x14ac:dyDescent="0.2">
      <c r="B198" t="str" cm="1">
        <f t="array" ref="B198">IF(A198="","",_xlfn.CHOOSECOLS('Prematch Backend 2A'!198:198,_xlfn.MAKEARRAY(1,A198-2,_xlfn.LAMBDA(_xlpm.r,_xlpm.c,_xlpm.c))))</f>
        <v/>
      </c>
    </row>
    <row r="199" spans="2:2" x14ac:dyDescent="0.2">
      <c r="B199" t="str" cm="1">
        <f t="array" ref="B199">IF(A199="","",_xlfn.CHOOSECOLS('Prematch Backend 2A'!199:199,_xlfn.MAKEARRAY(1,A199-2,_xlfn.LAMBDA(_xlpm.r,_xlpm.c,_xlpm.c))))</f>
        <v/>
      </c>
    </row>
    <row r="200" spans="2:2" x14ac:dyDescent="0.2">
      <c r="B200" t="str" cm="1">
        <f t="array" ref="B200">IF(A200="","",_xlfn.CHOOSECOLS('Prematch Backend 2A'!200:200,_xlfn.MAKEARRAY(1,A200-2,_xlfn.LAMBDA(_xlpm.r,_xlpm.c,_xlpm.c))))</f>
        <v/>
      </c>
    </row>
    <row r="201" spans="2:2" x14ac:dyDescent="0.2">
      <c r="B201" t="str" cm="1">
        <f t="array" ref="B201">IF(A201="","",_xlfn.CHOOSECOLS('Prematch Backend 2A'!201:201,_xlfn.MAKEARRAY(1,A201-2,_xlfn.LAMBDA(_xlpm.r,_xlpm.c,_xlpm.c))))</f>
        <v/>
      </c>
    </row>
    <row r="202" spans="2:2" x14ac:dyDescent="0.2">
      <c r="B202" t="str" cm="1">
        <f t="array" ref="B202">IF(A202="","",_xlfn.CHOOSECOLS('Prematch Backend 2A'!202:202,_xlfn.MAKEARRAY(1,A202-2,_xlfn.LAMBDA(_xlpm.r,_xlpm.c,_xlpm.c))))</f>
        <v/>
      </c>
    </row>
    <row r="203" spans="2:2" x14ac:dyDescent="0.2">
      <c r="B203" t="str" cm="1">
        <f t="array" ref="B203">IF(A203="","",_xlfn.CHOOSECOLS('Prematch Backend 2A'!203:203,_xlfn.MAKEARRAY(1,A203-2,_xlfn.LAMBDA(_xlpm.r,_xlpm.c,_xlpm.c))))</f>
        <v/>
      </c>
    </row>
    <row r="204" spans="2:2" x14ac:dyDescent="0.2">
      <c r="B204" t="str" cm="1">
        <f t="array" ref="B204">IF(A204="","",_xlfn.CHOOSECOLS('Prematch Backend 2A'!204:204,_xlfn.MAKEARRAY(1,A204-2,_xlfn.LAMBDA(_xlpm.r,_xlpm.c,_xlpm.c))))</f>
        <v/>
      </c>
    </row>
    <row r="205" spans="2:2" x14ac:dyDescent="0.2">
      <c r="B205" t="str" cm="1">
        <f t="array" ref="B205">IF(A205="","",_xlfn.CHOOSECOLS('Prematch Backend 2A'!205:205,_xlfn.MAKEARRAY(1,A205-2,_xlfn.LAMBDA(_xlpm.r,_xlpm.c,_xlpm.c))))</f>
        <v/>
      </c>
    </row>
    <row r="206" spans="2:2" x14ac:dyDescent="0.2">
      <c r="B206" t="str" cm="1">
        <f t="array" ref="B206">IF(A206="","",_xlfn.CHOOSECOLS('Prematch Backend 2A'!206:206,_xlfn.MAKEARRAY(1,A206-2,_xlfn.LAMBDA(_xlpm.r,_xlpm.c,_xlpm.c))))</f>
        <v/>
      </c>
    </row>
    <row r="207" spans="2:2" x14ac:dyDescent="0.2">
      <c r="B207" t="str" cm="1">
        <f t="array" ref="B207">IF(A207="","",_xlfn.CHOOSECOLS('Prematch Backend 2A'!207:207,_xlfn.MAKEARRAY(1,A207-2,_xlfn.LAMBDA(_xlpm.r,_xlpm.c,_xlpm.c))))</f>
        <v/>
      </c>
    </row>
    <row r="208" spans="2:2" x14ac:dyDescent="0.2">
      <c r="B208" t="str" cm="1">
        <f t="array" ref="B208">IF(A208="","",_xlfn.CHOOSECOLS('Prematch Backend 2A'!208:208,_xlfn.MAKEARRAY(1,A208-2,_xlfn.LAMBDA(_xlpm.r,_xlpm.c,_xlpm.c))))</f>
        <v/>
      </c>
    </row>
    <row r="209" spans="2:2" x14ac:dyDescent="0.2">
      <c r="B209" t="str" cm="1">
        <f t="array" ref="B209">IF(A209="","",_xlfn.CHOOSECOLS('Prematch Backend 2A'!209:209,_xlfn.MAKEARRAY(1,A209-2,_xlfn.LAMBDA(_xlpm.r,_xlpm.c,_xlpm.c))))</f>
        <v/>
      </c>
    </row>
    <row r="210" spans="2:2" x14ac:dyDescent="0.2">
      <c r="B210" t="str" cm="1">
        <f t="array" ref="B210">IF(A210="","",_xlfn.CHOOSECOLS('Prematch Backend 2A'!210:210,_xlfn.MAKEARRAY(1,A210-2,_xlfn.LAMBDA(_xlpm.r,_xlpm.c,_xlpm.c))))</f>
        <v/>
      </c>
    </row>
    <row r="211" spans="2:2" x14ac:dyDescent="0.2">
      <c r="B211" t="str" cm="1">
        <f t="array" ref="B211">IF(A211="","",_xlfn.CHOOSECOLS('Prematch Backend 2A'!211:211,_xlfn.MAKEARRAY(1,A211-2,_xlfn.LAMBDA(_xlpm.r,_xlpm.c,_xlpm.c))))</f>
        <v/>
      </c>
    </row>
    <row r="212" spans="2:2" x14ac:dyDescent="0.2">
      <c r="B212" t="str" cm="1">
        <f t="array" ref="B212">IF(A212="","",_xlfn.CHOOSECOLS('Prematch Backend 2A'!212:212,_xlfn.MAKEARRAY(1,A212-2,_xlfn.LAMBDA(_xlpm.r,_xlpm.c,_xlpm.c))))</f>
        <v/>
      </c>
    </row>
    <row r="213" spans="2:2" x14ac:dyDescent="0.2">
      <c r="B213" t="str" cm="1">
        <f t="array" ref="B213">IF(A213="","",_xlfn.CHOOSECOLS('Prematch Backend 2A'!213:213,_xlfn.MAKEARRAY(1,A213-2,_xlfn.LAMBDA(_xlpm.r,_xlpm.c,_xlpm.c))))</f>
        <v/>
      </c>
    </row>
    <row r="214" spans="2:2" x14ac:dyDescent="0.2">
      <c r="B214" t="str" cm="1">
        <f t="array" ref="B214">IF(A214="","",_xlfn.CHOOSECOLS('Prematch Backend 2A'!214:214,_xlfn.MAKEARRAY(1,A214-2,_xlfn.LAMBDA(_xlpm.r,_xlpm.c,_xlpm.c))))</f>
        <v/>
      </c>
    </row>
    <row r="215" spans="2:2" x14ac:dyDescent="0.2">
      <c r="B215" t="str" cm="1">
        <f t="array" ref="B215">IF(A215="","",_xlfn.CHOOSECOLS('Prematch Backend 2A'!215:215,_xlfn.MAKEARRAY(1,A215-2,_xlfn.LAMBDA(_xlpm.r,_xlpm.c,_xlpm.c))))</f>
        <v/>
      </c>
    </row>
    <row r="216" spans="2:2" x14ac:dyDescent="0.2">
      <c r="B216" t="str" cm="1">
        <f t="array" ref="B216">IF(A216="","",_xlfn.CHOOSECOLS('Prematch Backend 2A'!216:216,_xlfn.MAKEARRAY(1,A216-2,_xlfn.LAMBDA(_xlpm.r,_xlpm.c,_xlpm.c))))</f>
        <v/>
      </c>
    </row>
    <row r="217" spans="2:2" x14ac:dyDescent="0.2">
      <c r="B217" t="str" cm="1">
        <f t="array" ref="B217">IF(A217="","",_xlfn.CHOOSECOLS('Prematch Backend 2A'!217:217,_xlfn.MAKEARRAY(1,A217-2,_xlfn.LAMBDA(_xlpm.r,_xlpm.c,_xlpm.c))))</f>
        <v/>
      </c>
    </row>
    <row r="218" spans="2:2" x14ac:dyDescent="0.2">
      <c r="B218" t="str" cm="1">
        <f t="array" ref="B218">IF(A218="","",_xlfn.CHOOSECOLS('Prematch Backend 2A'!218:218,_xlfn.MAKEARRAY(1,A218-2,_xlfn.LAMBDA(_xlpm.r,_xlpm.c,_xlpm.c))))</f>
        <v/>
      </c>
    </row>
    <row r="219" spans="2:2" x14ac:dyDescent="0.2">
      <c r="B219" t="str" cm="1">
        <f t="array" ref="B219">IF(A219="","",_xlfn.CHOOSECOLS('Prematch Backend 2A'!219:219,_xlfn.MAKEARRAY(1,A219-2,_xlfn.LAMBDA(_xlpm.r,_xlpm.c,_xlpm.c))))</f>
        <v/>
      </c>
    </row>
    <row r="220" spans="2:2" x14ac:dyDescent="0.2">
      <c r="B220" t="str" cm="1">
        <f t="array" ref="B220">IF(A220="","",_xlfn.CHOOSECOLS('Prematch Backend 2A'!220:220,_xlfn.MAKEARRAY(1,A220-2,_xlfn.LAMBDA(_xlpm.r,_xlpm.c,_xlpm.c))))</f>
        <v/>
      </c>
    </row>
    <row r="221" spans="2:2" x14ac:dyDescent="0.2">
      <c r="B221" t="str" cm="1">
        <f t="array" ref="B221">IF(A221="","",_xlfn.CHOOSECOLS('Prematch Backend 2A'!221:221,_xlfn.MAKEARRAY(1,A221-2,_xlfn.LAMBDA(_xlpm.r,_xlpm.c,_xlpm.c))))</f>
        <v/>
      </c>
    </row>
    <row r="222" spans="2:2" x14ac:dyDescent="0.2">
      <c r="B222" t="str" cm="1">
        <f t="array" ref="B222">IF(A222="","",_xlfn.CHOOSECOLS('Prematch Backend 2A'!222:222,_xlfn.MAKEARRAY(1,A222-2,_xlfn.LAMBDA(_xlpm.r,_xlpm.c,_xlpm.c))))</f>
        <v/>
      </c>
    </row>
    <row r="223" spans="2:2" x14ac:dyDescent="0.2">
      <c r="B223" t="str" cm="1">
        <f t="array" ref="B223">IF(A223="","",_xlfn.CHOOSECOLS('Prematch Backend 2A'!223:223,_xlfn.MAKEARRAY(1,A223-2,_xlfn.LAMBDA(_xlpm.r,_xlpm.c,_xlpm.c))))</f>
        <v/>
      </c>
    </row>
    <row r="224" spans="2:2" x14ac:dyDescent="0.2">
      <c r="B224" t="str" cm="1">
        <f t="array" ref="B224">IF(A224="","",_xlfn.CHOOSECOLS('Prematch Backend 2A'!224:224,_xlfn.MAKEARRAY(1,A224-2,_xlfn.LAMBDA(_xlpm.r,_xlpm.c,_xlpm.c))))</f>
        <v/>
      </c>
    </row>
    <row r="225" spans="2:2" x14ac:dyDescent="0.2">
      <c r="B225" t="str" cm="1">
        <f t="array" ref="B225">IF(A225="","",_xlfn.CHOOSECOLS('Prematch Backend 2A'!225:225,_xlfn.MAKEARRAY(1,A225-2,_xlfn.LAMBDA(_xlpm.r,_xlpm.c,_xlpm.c))))</f>
        <v/>
      </c>
    </row>
    <row r="226" spans="2:2" x14ac:dyDescent="0.2">
      <c r="B226" t="str" cm="1">
        <f t="array" ref="B226">IF(A226="","",_xlfn.CHOOSECOLS('Prematch Backend 2A'!226:226,_xlfn.MAKEARRAY(1,A226-2,_xlfn.LAMBDA(_xlpm.r,_xlpm.c,_xlpm.c))))</f>
        <v/>
      </c>
    </row>
    <row r="227" spans="2:2" x14ac:dyDescent="0.2">
      <c r="B227" t="str" cm="1">
        <f t="array" ref="B227">IF(A227="","",_xlfn.CHOOSECOLS('Prematch Backend 2A'!227:227,_xlfn.MAKEARRAY(1,A227-2,_xlfn.LAMBDA(_xlpm.r,_xlpm.c,_xlpm.c))))</f>
        <v/>
      </c>
    </row>
    <row r="228" spans="2:2" x14ac:dyDescent="0.2">
      <c r="B228" t="str" cm="1">
        <f t="array" ref="B228">IF(A228="","",_xlfn.CHOOSECOLS('Prematch Backend 2A'!228:228,_xlfn.MAKEARRAY(1,A228-2,_xlfn.LAMBDA(_xlpm.r,_xlpm.c,_xlpm.c))))</f>
        <v/>
      </c>
    </row>
    <row r="229" spans="2:2" x14ac:dyDescent="0.2">
      <c r="B229" t="str" cm="1">
        <f t="array" ref="B229">IF(A229="","",_xlfn.CHOOSECOLS('Prematch Backend 2A'!229:229,_xlfn.MAKEARRAY(1,A229-2,_xlfn.LAMBDA(_xlpm.r,_xlpm.c,_xlpm.c))))</f>
        <v/>
      </c>
    </row>
    <row r="230" spans="2:2" x14ac:dyDescent="0.2">
      <c r="B230" t="str" cm="1">
        <f t="array" ref="B230">IF(A230="","",_xlfn.CHOOSECOLS('Prematch Backend 2A'!230:230,_xlfn.MAKEARRAY(1,A230-2,_xlfn.LAMBDA(_xlpm.r,_xlpm.c,_xlpm.c))))</f>
        <v/>
      </c>
    </row>
    <row r="231" spans="2:2" x14ac:dyDescent="0.2">
      <c r="B231" t="str" cm="1">
        <f t="array" ref="B231">IF(A231="","",_xlfn.CHOOSECOLS('Prematch Backend 2A'!231:231,_xlfn.MAKEARRAY(1,A231-2,_xlfn.LAMBDA(_xlpm.r,_xlpm.c,_xlpm.c))))</f>
        <v/>
      </c>
    </row>
    <row r="232" spans="2:2" x14ac:dyDescent="0.2">
      <c r="B232" t="str" cm="1">
        <f t="array" ref="B232">IF(A232="","",_xlfn.CHOOSECOLS('Prematch Backend 2A'!232:232,_xlfn.MAKEARRAY(1,A232-2,_xlfn.LAMBDA(_xlpm.r,_xlpm.c,_xlpm.c))))</f>
        <v/>
      </c>
    </row>
    <row r="233" spans="2:2" x14ac:dyDescent="0.2">
      <c r="B233" t="str" cm="1">
        <f t="array" ref="B233">IF(A233="","",_xlfn.CHOOSECOLS('Prematch Backend 2A'!233:233,_xlfn.MAKEARRAY(1,A233-2,_xlfn.LAMBDA(_xlpm.r,_xlpm.c,_xlpm.c))))</f>
        <v/>
      </c>
    </row>
    <row r="234" spans="2:2" x14ac:dyDescent="0.2">
      <c r="B234" t="str" cm="1">
        <f t="array" ref="B234">IF(A234="","",_xlfn.CHOOSECOLS('Prematch Backend 2A'!234:234,_xlfn.MAKEARRAY(1,A234-2,_xlfn.LAMBDA(_xlpm.r,_xlpm.c,_xlpm.c))))</f>
        <v/>
      </c>
    </row>
    <row r="235" spans="2:2" x14ac:dyDescent="0.2">
      <c r="B235" t="str" cm="1">
        <f t="array" ref="B235">IF(A235="","",_xlfn.CHOOSECOLS('Prematch Backend 2A'!235:235,_xlfn.MAKEARRAY(1,A235-2,_xlfn.LAMBDA(_xlpm.r,_xlpm.c,_xlpm.c))))</f>
        <v/>
      </c>
    </row>
    <row r="236" spans="2:2" x14ac:dyDescent="0.2">
      <c r="B236" t="str" cm="1">
        <f t="array" ref="B236">IF(A236="","",_xlfn.CHOOSECOLS('Prematch Backend 2A'!236:236,_xlfn.MAKEARRAY(1,A236-2,_xlfn.LAMBDA(_xlpm.r,_xlpm.c,_xlpm.c))))</f>
        <v/>
      </c>
    </row>
    <row r="237" spans="2:2" x14ac:dyDescent="0.2">
      <c r="B237" t="str" cm="1">
        <f t="array" ref="B237">IF(A237="","",_xlfn.CHOOSECOLS('Prematch Backend 2A'!237:237,_xlfn.MAKEARRAY(1,A237-2,_xlfn.LAMBDA(_xlpm.r,_xlpm.c,_xlpm.c))))</f>
        <v/>
      </c>
    </row>
    <row r="238" spans="2:2" x14ac:dyDescent="0.2">
      <c r="B238" t="str" cm="1">
        <f t="array" ref="B238">IF(A238="","",_xlfn.CHOOSECOLS('Prematch Backend 2A'!238:238,_xlfn.MAKEARRAY(1,A238-2,_xlfn.LAMBDA(_xlpm.r,_xlpm.c,_xlpm.c))))</f>
        <v/>
      </c>
    </row>
    <row r="239" spans="2:2" x14ac:dyDescent="0.2">
      <c r="B239" t="str" cm="1">
        <f t="array" ref="B239">IF(A239="","",_xlfn.CHOOSECOLS('Prematch Backend 2A'!239:239,_xlfn.MAKEARRAY(1,A239-2,_xlfn.LAMBDA(_xlpm.r,_xlpm.c,_xlpm.c))))</f>
        <v/>
      </c>
    </row>
    <row r="240" spans="2:2" x14ac:dyDescent="0.2">
      <c r="B240" t="str" cm="1">
        <f t="array" ref="B240">IF(A240="","",_xlfn.CHOOSECOLS('Prematch Backend 2A'!240:240,_xlfn.MAKEARRAY(1,A240-2,_xlfn.LAMBDA(_xlpm.r,_xlpm.c,_xlpm.c))))</f>
        <v/>
      </c>
    </row>
    <row r="241" spans="2:2" x14ac:dyDescent="0.2">
      <c r="B241" t="str" cm="1">
        <f t="array" ref="B241">IF(A241="","",_xlfn.CHOOSECOLS('Prematch Backend 2A'!241:241,_xlfn.MAKEARRAY(1,A241-2,_xlfn.LAMBDA(_xlpm.r,_xlpm.c,_xlpm.c))))</f>
        <v/>
      </c>
    </row>
    <row r="242" spans="2:2" x14ac:dyDescent="0.2">
      <c r="B242" t="str" cm="1">
        <f t="array" ref="B242">IF(A242="","",_xlfn.CHOOSECOLS('Prematch Backend 2A'!242:242,_xlfn.MAKEARRAY(1,A242-2,_xlfn.LAMBDA(_xlpm.r,_xlpm.c,_xlpm.c))))</f>
        <v/>
      </c>
    </row>
    <row r="243" spans="2:2" x14ac:dyDescent="0.2">
      <c r="B243" t="str" cm="1">
        <f t="array" ref="B243">IF(A243="","",_xlfn.CHOOSECOLS('Prematch Backend 2A'!243:243,_xlfn.MAKEARRAY(1,A243-2,_xlfn.LAMBDA(_xlpm.r,_xlpm.c,_xlpm.c))))</f>
        <v/>
      </c>
    </row>
    <row r="244" spans="2:2" x14ac:dyDescent="0.2">
      <c r="B244" t="str" cm="1">
        <f t="array" ref="B244">IF(A244="","",_xlfn.CHOOSECOLS('Prematch Backend 2A'!244:244,_xlfn.MAKEARRAY(1,A244-2,_xlfn.LAMBDA(_xlpm.r,_xlpm.c,_xlpm.c))))</f>
        <v/>
      </c>
    </row>
    <row r="245" spans="2:2" x14ac:dyDescent="0.2">
      <c r="B245" t="str" cm="1">
        <f t="array" ref="B245">IF(A245="","",_xlfn.CHOOSECOLS('Prematch Backend 2A'!245:245,_xlfn.MAKEARRAY(1,A245-2,_xlfn.LAMBDA(_xlpm.r,_xlpm.c,_xlpm.c))))</f>
        <v/>
      </c>
    </row>
    <row r="246" spans="2:2" x14ac:dyDescent="0.2">
      <c r="B246" t="str" cm="1">
        <f t="array" ref="B246">IF(A246="","",_xlfn.CHOOSECOLS('Prematch Backend 2A'!246:246,_xlfn.MAKEARRAY(1,A246-2,_xlfn.LAMBDA(_xlpm.r,_xlpm.c,_xlpm.c))))</f>
        <v/>
      </c>
    </row>
    <row r="247" spans="2:2" x14ac:dyDescent="0.2">
      <c r="B247" t="str" cm="1">
        <f t="array" ref="B247">IF(A247="","",_xlfn.CHOOSECOLS('Prematch Backend 2A'!247:247,_xlfn.MAKEARRAY(1,A247-2,_xlfn.LAMBDA(_xlpm.r,_xlpm.c,_xlpm.c))))</f>
        <v/>
      </c>
    </row>
    <row r="248" spans="2:2" x14ac:dyDescent="0.2">
      <c r="B248" t="str" cm="1">
        <f t="array" ref="B248">IF(A248="","",_xlfn.CHOOSECOLS('Prematch Backend 2A'!248:248,_xlfn.MAKEARRAY(1,A248-2,_xlfn.LAMBDA(_xlpm.r,_xlpm.c,_xlpm.c))))</f>
        <v/>
      </c>
    </row>
    <row r="249" spans="2:2" x14ac:dyDescent="0.2">
      <c r="B249" t="str" cm="1">
        <f t="array" ref="B249">IF(A249="","",_xlfn.CHOOSECOLS('Prematch Backend 2A'!249:249,_xlfn.MAKEARRAY(1,A249-2,_xlfn.LAMBDA(_xlpm.r,_xlpm.c,_xlpm.c))))</f>
        <v/>
      </c>
    </row>
    <row r="250" spans="2:2" x14ac:dyDescent="0.2">
      <c r="B250" t="str" cm="1">
        <f t="array" ref="B250">IF(A250="","",_xlfn.CHOOSECOLS('Prematch Backend 2A'!250:250,_xlfn.MAKEARRAY(1,A250-2,_xlfn.LAMBDA(_xlpm.r,_xlpm.c,_xlpm.c))))</f>
        <v/>
      </c>
    </row>
    <row r="251" spans="2:2" x14ac:dyDescent="0.2">
      <c r="B251" t="str" cm="1">
        <f t="array" ref="B251">IF(A251="","",_xlfn.CHOOSECOLS('Prematch Backend 2A'!251:251,_xlfn.MAKEARRAY(1,A251-2,_xlfn.LAMBDA(_xlpm.r,_xlpm.c,_xlpm.c))))</f>
        <v/>
      </c>
    </row>
    <row r="252" spans="2:2" x14ac:dyDescent="0.2">
      <c r="B252" t="str" cm="1">
        <f t="array" ref="B252">IF(A252="","",_xlfn.CHOOSECOLS('Prematch Backend 2A'!252:252,_xlfn.MAKEARRAY(1,A252-2,_xlfn.LAMBDA(_xlpm.r,_xlpm.c,_xlpm.c))))</f>
        <v/>
      </c>
    </row>
    <row r="253" spans="2:2" x14ac:dyDescent="0.2">
      <c r="B253" t="str" cm="1">
        <f t="array" ref="B253">IF(A253="","",_xlfn.CHOOSECOLS('Prematch Backend 2A'!253:253,_xlfn.MAKEARRAY(1,A253-2,_xlfn.LAMBDA(_xlpm.r,_xlpm.c,_xlpm.c))))</f>
        <v/>
      </c>
    </row>
    <row r="254" spans="2:2" x14ac:dyDescent="0.2">
      <c r="B254" t="str" cm="1">
        <f t="array" ref="B254">IF(A254="","",_xlfn.CHOOSECOLS('Prematch Backend 2A'!254:254,_xlfn.MAKEARRAY(1,A254-2,_xlfn.LAMBDA(_xlpm.r,_xlpm.c,_xlpm.c))))</f>
        <v/>
      </c>
    </row>
    <row r="255" spans="2:2" x14ac:dyDescent="0.2">
      <c r="B255" t="str" cm="1">
        <f t="array" ref="B255">IF(A255="","",_xlfn.CHOOSECOLS('Prematch Backend 2A'!255:255,_xlfn.MAKEARRAY(1,A255-2,_xlfn.LAMBDA(_xlpm.r,_xlpm.c,_xlpm.c))))</f>
        <v/>
      </c>
    </row>
    <row r="256" spans="2:2" x14ac:dyDescent="0.2">
      <c r="B256" t="str" cm="1">
        <f t="array" ref="B256">IF(A256="","",_xlfn.CHOOSECOLS('Prematch Backend 2A'!256:256,_xlfn.MAKEARRAY(1,A256-2,_xlfn.LAMBDA(_xlpm.r,_xlpm.c,_xlpm.c))))</f>
        <v/>
      </c>
    </row>
    <row r="257" spans="2:2" x14ac:dyDescent="0.2">
      <c r="B257" t="str" cm="1">
        <f t="array" ref="B257">IF(A257="","",_xlfn.CHOOSECOLS('Prematch Backend 2A'!257:257,_xlfn.MAKEARRAY(1,A257-2,_xlfn.LAMBDA(_xlpm.r,_xlpm.c,_xlpm.c))))</f>
        <v/>
      </c>
    </row>
    <row r="258" spans="2:2" x14ac:dyDescent="0.2">
      <c r="B258" t="str" cm="1">
        <f t="array" ref="B258">IF(A258="","",_xlfn.CHOOSECOLS('Prematch Backend 2A'!258:258,_xlfn.MAKEARRAY(1,A258-2,_xlfn.LAMBDA(_xlpm.r,_xlpm.c,_xlpm.c))))</f>
        <v/>
      </c>
    </row>
    <row r="259" spans="2:2" x14ac:dyDescent="0.2">
      <c r="B259" t="str" cm="1">
        <f t="array" ref="B259">IF(A259="","",_xlfn.CHOOSECOLS('Prematch Backend 2A'!259:259,_xlfn.MAKEARRAY(1,A259-2,_xlfn.LAMBDA(_xlpm.r,_xlpm.c,_xlpm.c))))</f>
        <v/>
      </c>
    </row>
    <row r="260" spans="2:2" x14ac:dyDescent="0.2">
      <c r="B260" t="str" cm="1">
        <f t="array" ref="B260">IF(A260="","",_xlfn.CHOOSECOLS('Prematch Backend 2A'!260:260,_xlfn.MAKEARRAY(1,A260-2,_xlfn.LAMBDA(_xlpm.r,_xlpm.c,_xlpm.c))))</f>
        <v/>
      </c>
    </row>
    <row r="261" spans="2:2" x14ac:dyDescent="0.2">
      <c r="B261" t="str" cm="1">
        <f t="array" ref="B261">IF(A261="","",_xlfn.CHOOSECOLS('Prematch Backend 2A'!261:261,_xlfn.MAKEARRAY(1,A261-2,_xlfn.LAMBDA(_xlpm.r,_xlpm.c,_xlpm.c))))</f>
        <v/>
      </c>
    </row>
    <row r="262" spans="2:2" x14ac:dyDescent="0.2">
      <c r="B262" t="str" cm="1">
        <f t="array" ref="B262">IF(A262="","",_xlfn.CHOOSECOLS('Prematch Backend 2A'!262:262,_xlfn.MAKEARRAY(1,A262-2,_xlfn.LAMBDA(_xlpm.r,_xlpm.c,_xlpm.c))))</f>
        <v/>
      </c>
    </row>
    <row r="263" spans="2:2" x14ac:dyDescent="0.2">
      <c r="B263" t="str" cm="1">
        <f t="array" ref="B263">IF(A263="","",_xlfn.CHOOSECOLS('Prematch Backend 2A'!263:263,_xlfn.MAKEARRAY(1,A263-2,_xlfn.LAMBDA(_xlpm.r,_xlpm.c,_xlpm.c))))</f>
        <v/>
      </c>
    </row>
    <row r="264" spans="2:2" x14ac:dyDescent="0.2">
      <c r="B264" t="str" cm="1">
        <f t="array" ref="B264">IF(A264="","",_xlfn.CHOOSECOLS('Prematch Backend 2A'!264:264,_xlfn.MAKEARRAY(1,A264-2,_xlfn.LAMBDA(_xlpm.r,_xlpm.c,_xlpm.c))))</f>
        <v/>
      </c>
    </row>
    <row r="265" spans="2:2" x14ac:dyDescent="0.2">
      <c r="B265" t="str" cm="1">
        <f t="array" ref="B265">IF(A265="","",_xlfn.CHOOSECOLS('Prematch Backend 2A'!265:265,_xlfn.MAKEARRAY(1,A265-2,_xlfn.LAMBDA(_xlpm.r,_xlpm.c,_xlpm.c))))</f>
        <v/>
      </c>
    </row>
    <row r="266" spans="2:2" x14ac:dyDescent="0.2">
      <c r="B266" t="str" cm="1">
        <f t="array" ref="B266">IF(A266="","",_xlfn.CHOOSECOLS('Prematch Backend 2A'!266:266,_xlfn.MAKEARRAY(1,A266-2,_xlfn.LAMBDA(_xlpm.r,_xlpm.c,_xlpm.c))))</f>
        <v/>
      </c>
    </row>
    <row r="267" spans="2:2" x14ac:dyDescent="0.2">
      <c r="B267" t="str" cm="1">
        <f t="array" ref="B267">IF(A267="","",_xlfn.CHOOSECOLS('Prematch Backend 2A'!267:267,_xlfn.MAKEARRAY(1,A267-2,_xlfn.LAMBDA(_xlpm.r,_xlpm.c,_xlpm.c))))</f>
        <v/>
      </c>
    </row>
    <row r="268" spans="2:2" x14ac:dyDescent="0.2">
      <c r="B268" t="str" cm="1">
        <f t="array" ref="B268">IF(A268="","",_xlfn.CHOOSECOLS('Prematch Backend 2A'!268:268,_xlfn.MAKEARRAY(1,A268-2,_xlfn.LAMBDA(_xlpm.r,_xlpm.c,_xlpm.c))))</f>
        <v/>
      </c>
    </row>
    <row r="269" spans="2:2" x14ac:dyDescent="0.2">
      <c r="B269" t="str" cm="1">
        <f t="array" ref="B269">IF(A269="","",_xlfn.CHOOSECOLS('Prematch Backend 2A'!269:269,_xlfn.MAKEARRAY(1,A269-2,_xlfn.LAMBDA(_xlpm.r,_xlpm.c,_xlpm.c))))</f>
        <v/>
      </c>
    </row>
    <row r="270" spans="2:2" x14ac:dyDescent="0.2">
      <c r="B270" t="str" cm="1">
        <f t="array" ref="B270">IF(A270="","",_xlfn.CHOOSECOLS('Prematch Backend 2A'!270:270,_xlfn.MAKEARRAY(1,A270-2,_xlfn.LAMBDA(_xlpm.r,_xlpm.c,_xlpm.c))))</f>
        <v/>
      </c>
    </row>
    <row r="271" spans="2:2" x14ac:dyDescent="0.2">
      <c r="B271" t="str" cm="1">
        <f t="array" ref="B271">IF(A271="","",_xlfn.CHOOSECOLS('Prematch Backend 2A'!271:271,_xlfn.MAKEARRAY(1,A271-2,_xlfn.LAMBDA(_xlpm.r,_xlpm.c,_xlpm.c))))</f>
        <v/>
      </c>
    </row>
    <row r="272" spans="2:2" x14ac:dyDescent="0.2">
      <c r="B272" t="str" cm="1">
        <f t="array" ref="B272">IF(A272="","",_xlfn.CHOOSECOLS('Prematch Backend 2A'!272:272,_xlfn.MAKEARRAY(1,A272-2,_xlfn.LAMBDA(_xlpm.r,_xlpm.c,_xlpm.c))))</f>
        <v/>
      </c>
    </row>
    <row r="273" spans="2:2" x14ac:dyDescent="0.2">
      <c r="B273" t="str" cm="1">
        <f t="array" ref="B273">IF(A273="","",_xlfn.CHOOSECOLS('Prematch Backend 2A'!273:273,_xlfn.MAKEARRAY(1,A273-2,_xlfn.LAMBDA(_xlpm.r,_xlpm.c,_xlpm.c))))</f>
        <v/>
      </c>
    </row>
    <row r="274" spans="2:2" x14ac:dyDescent="0.2">
      <c r="B274" t="str" cm="1">
        <f t="array" ref="B274">IF(A274="","",_xlfn.CHOOSECOLS('Prematch Backend 2A'!274:274,_xlfn.MAKEARRAY(1,A274-2,_xlfn.LAMBDA(_xlpm.r,_xlpm.c,_xlpm.c))))</f>
        <v/>
      </c>
    </row>
    <row r="275" spans="2:2" x14ac:dyDescent="0.2">
      <c r="B275" t="str" cm="1">
        <f t="array" ref="B275">IF(A275="","",_xlfn.CHOOSECOLS('Prematch Backend 2A'!275:275,_xlfn.MAKEARRAY(1,A275-2,_xlfn.LAMBDA(_xlpm.r,_xlpm.c,_xlpm.c))))</f>
        <v/>
      </c>
    </row>
    <row r="276" spans="2:2" x14ac:dyDescent="0.2">
      <c r="B276" t="str" cm="1">
        <f t="array" ref="B276">IF(A276="","",_xlfn.CHOOSECOLS('Prematch Backend 2A'!276:276,_xlfn.MAKEARRAY(1,A276-2,_xlfn.LAMBDA(_xlpm.r,_xlpm.c,_xlpm.c))))</f>
        <v/>
      </c>
    </row>
    <row r="277" spans="2:2" x14ac:dyDescent="0.2">
      <c r="B277" t="str" cm="1">
        <f t="array" ref="B277">IF(A277="","",_xlfn.CHOOSECOLS('Prematch Backend 2A'!277:277,_xlfn.MAKEARRAY(1,A277-2,_xlfn.LAMBDA(_xlpm.r,_xlpm.c,_xlpm.c))))</f>
        <v/>
      </c>
    </row>
    <row r="278" spans="2:2" x14ac:dyDescent="0.2">
      <c r="B278" t="str" cm="1">
        <f t="array" ref="B278">IF(A278="","",_xlfn.CHOOSECOLS('Prematch Backend 2A'!278:278,_xlfn.MAKEARRAY(1,A278-2,_xlfn.LAMBDA(_xlpm.r,_xlpm.c,_xlpm.c))))</f>
        <v/>
      </c>
    </row>
    <row r="279" spans="2:2" x14ac:dyDescent="0.2">
      <c r="B279" t="str" cm="1">
        <f t="array" ref="B279">IF(A279="","",_xlfn.CHOOSECOLS('Prematch Backend 2A'!279:279,_xlfn.MAKEARRAY(1,A279-2,_xlfn.LAMBDA(_xlpm.r,_xlpm.c,_xlpm.c))))</f>
        <v/>
      </c>
    </row>
    <row r="280" spans="2:2" x14ac:dyDescent="0.2">
      <c r="B280" t="str" cm="1">
        <f t="array" ref="B280">IF(A280="","",_xlfn.CHOOSECOLS('Prematch Backend 2A'!280:280,_xlfn.MAKEARRAY(1,A280-2,_xlfn.LAMBDA(_xlpm.r,_xlpm.c,_xlpm.c))))</f>
        <v/>
      </c>
    </row>
    <row r="281" spans="2:2" x14ac:dyDescent="0.2">
      <c r="B281" t="str" cm="1">
        <f t="array" ref="B281">IF(A281="","",_xlfn.CHOOSECOLS('Prematch Backend 2A'!281:281,_xlfn.MAKEARRAY(1,A281-2,_xlfn.LAMBDA(_xlpm.r,_xlpm.c,_xlpm.c))))</f>
        <v/>
      </c>
    </row>
    <row r="282" spans="2:2" x14ac:dyDescent="0.2">
      <c r="B282" t="str" cm="1">
        <f t="array" ref="B282">IF(A282="","",_xlfn.CHOOSECOLS('Prematch Backend 2A'!282:282,_xlfn.MAKEARRAY(1,A282-2,_xlfn.LAMBDA(_xlpm.r,_xlpm.c,_xlpm.c))))</f>
        <v/>
      </c>
    </row>
    <row r="283" spans="2:2" x14ac:dyDescent="0.2">
      <c r="B283" t="str" cm="1">
        <f t="array" ref="B283">IF(A283="","",_xlfn.CHOOSECOLS('Prematch Backend 2A'!283:283,_xlfn.MAKEARRAY(1,A283-2,_xlfn.LAMBDA(_xlpm.r,_xlpm.c,_xlpm.c))))</f>
        <v/>
      </c>
    </row>
    <row r="284" spans="2:2" x14ac:dyDescent="0.2">
      <c r="B284" t="str" cm="1">
        <f t="array" ref="B284">IF(A284="","",_xlfn.CHOOSECOLS('Prematch Backend 2A'!284:284,_xlfn.MAKEARRAY(1,A284-2,_xlfn.LAMBDA(_xlpm.r,_xlpm.c,_xlpm.c))))</f>
        <v/>
      </c>
    </row>
    <row r="285" spans="2:2" x14ac:dyDescent="0.2">
      <c r="B285" t="str" cm="1">
        <f t="array" ref="B285">IF(A285="","",_xlfn.CHOOSECOLS('Prematch Backend 2A'!285:285,_xlfn.MAKEARRAY(1,A285-2,_xlfn.LAMBDA(_xlpm.r,_xlpm.c,_xlpm.c))))</f>
        <v/>
      </c>
    </row>
    <row r="286" spans="2:2" x14ac:dyDescent="0.2">
      <c r="B286" t="str" cm="1">
        <f t="array" ref="B286">IF(A286="","",_xlfn.CHOOSECOLS('Prematch Backend 2A'!286:286,_xlfn.MAKEARRAY(1,A286-2,_xlfn.LAMBDA(_xlpm.r,_xlpm.c,_xlpm.c))))</f>
        <v/>
      </c>
    </row>
    <row r="287" spans="2:2" x14ac:dyDescent="0.2">
      <c r="B287" t="str" cm="1">
        <f t="array" ref="B287">IF(A287="","",_xlfn.CHOOSECOLS('Prematch Backend 2A'!287:287,_xlfn.MAKEARRAY(1,A287-2,_xlfn.LAMBDA(_xlpm.r,_xlpm.c,_xlpm.c))))</f>
        <v/>
      </c>
    </row>
    <row r="288" spans="2:2" x14ac:dyDescent="0.2">
      <c r="B288" t="str" cm="1">
        <f t="array" ref="B288">IF(A288="","",_xlfn.CHOOSECOLS('Prematch Backend 2A'!288:288,_xlfn.MAKEARRAY(1,A288-2,_xlfn.LAMBDA(_xlpm.r,_xlpm.c,_xlpm.c))))</f>
        <v/>
      </c>
    </row>
    <row r="289" spans="2:2" x14ac:dyDescent="0.2">
      <c r="B289" t="str" cm="1">
        <f t="array" ref="B289">IF(A289="","",_xlfn.CHOOSECOLS('Prematch Backend 2A'!289:289,_xlfn.MAKEARRAY(1,A289-2,_xlfn.LAMBDA(_xlpm.r,_xlpm.c,_xlpm.c))))</f>
        <v/>
      </c>
    </row>
    <row r="290" spans="2:2" x14ac:dyDescent="0.2">
      <c r="B290" t="str" cm="1">
        <f t="array" ref="B290">IF(A290="","",_xlfn.CHOOSECOLS('Prematch Backend 2A'!290:290,_xlfn.MAKEARRAY(1,A290-2,_xlfn.LAMBDA(_xlpm.r,_xlpm.c,_xlpm.c))))</f>
        <v/>
      </c>
    </row>
    <row r="291" spans="2:2" x14ac:dyDescent="0.2">
      <c r="B291" t="str" cm="1">
        <f t="array" ref="B291">IF(A291="","",_xlfn.CHOOSECOLS('Prematch Backend 2A'!291:291,_xlfn.MAKEARRAY(1,A291-2,_xlfn.LAMBDA(_xlpm.r,_xlpm.c,_xlpm.c))))</f>
        <v/>
      </c>
    </row>
    <row r="292" spans="2:2" x14ac:dyDescent="0.2">
      <c r="B292" t="str" cm="1">
        <f t="array" ref="B292">IF(A292="","",_xlfn.CHOOSECOLS('Prematch Backend 2A'!292:292,_xlfn.MAKEARRAY(1,A292-2,_xlfn.LAMBDA(_xlpm.r,_xlpm.c,_xlpm.c))))</f>
        <v/>
      </c>
    </row>
    <row r="293" spans="2:2" x14ac:dyDescent="0.2">
      <c r="B293" t="str" cm="1">
        <f t="array" ref="B293">IF(A293="","",_xlfn.CHOOSECOLS('Prematch Backend 2A'!293:293,_xlfn.MAKEARRAY(1,A293-2,_xlfn.LAMBDA(_xlpm.r,_xlpm.c,_xlpm.c))))</f>
        <v/>
      </c>
    </row>
    <row r="294" spans="2:2" x14ac:dyDescent="0.2">
      <c r="B294" t="str" cm="1">
        <f t="array" ref="B294">IF(A294="","",_xlfn.CHOOSECOLS('Prematch Backend 2A'!294:294,_xlfn.MAKEARRAY(1,A294-2,_xlfn.LAMBDA(_xlpm.r,_xlpm.c,_xlpm.c))))</f>
        <v/>
      </c>
    </row>
    <row r="295" spans="2:2" x14ac:dyDescent="0.2">
      <c r="B295" t="str" cm="1">
        <f t="array" ref="B295">IF(A295="","",_xlfn.CHOOSECOLS('Prematch Backend 2A'!295:295,_xlfn.MAKEARRAY(1,A295-2,_xlfn.LAMBDA(_xlpm.r,_xlpm.c,_xlpm.c))))</f>
        <v/>
      </c>
    </row>
    <row r="296" spans="2:2" x14ac:dyDescent="0.2">
      <c r="B296" t="str" cm="1">
        <f t="array" ref="B296">IF(A296="","",_xlfn.CHOOSECOLS('Prematch Backend 2A'!296:296,_xlfn.MAKEARRAY(1,A296-2,_xlfn.LAMBDA(_xlpm.r,_xlpm.c,_xlpm.c))))</f>
        <v/>
      </c>
    </row>
    <row r="297" spans="2:2" x14ac:dyDescent="0.2">
      <c r="B297" t="str" cm="1">
        <f t="array" ref="B297">IF(A297="","",_xlfn.CHOOSECOLS('Prematch Backend 2A'!297:297,_xlfn.MAKEARRAY(1,A297-2,_xlfn.LAMBDA(_xlpm.r,_xlpm.c,_xlpm.c))))</f>
        <v/>
      </c>
    </row>
    <row r="298" spans="2:2" x14ac:dyDescent="0.2">
      <c r="B298" t="str" cm="1">
        <f t="array" ref="B298">IF(A298="","",_xlfn.CHOOSECOLS('Prematch Backend 2A'!298:298,_xlfn.MAKEARRAY(1,A298-2,_xlfn.LAMBDA(_xlpm.r,_xlpm.c,_xlpm.c))))</f>
        <v/>
      </c>
    </row>
    <row r="299" spans="2:2" x14ac:dyDescent="0.2">
      <c r="B299" t="str" cm="1">
        <f t="array" ref="B299">IF(A299="","",_xlfn.CHOOSECOLS('Prematch Backend 2A'!299:299,_xlfn.MAKEARRAY(1,A299-2,_xlfn.LAMBDA(_xlpm.r,_xlpm.c,_xlpm.c))))</f>
        <v/>
      </c>
    </row>
    <row r="300" spans="2:2" x14ac:dyDescent="0.2">
      <c r="B300" t="str" cm="1">
        <f t="array" ref="B300">IF(A300="","",_xlfn.CHOOSECOLS('Prematch Backend 2A'!300:300,_xlfn.MAKEARRAY(1,A300-2,_xlfn.LAMBDA(_xlpm.r,_xlpm.c,_xlpm.c))))</f>
        <v/>
      </c>
    </row>
    <row r="301" spans="2:2" x14ac:dyDescent="0.2">
      <c r="B301" t="str" cm="1">
        <f t="array" ref="B301">IF(A301="","",_xlfn.CHOOSECOLS('Prematch Backend 2A'!301:301,_xlfn.MAKEARRAY(1,A301-2,_xlfn.LAMBDA(_xlpm.r,_xlpm.c,_xlpm.c))))</f>
        <v/>
      </c>
    </row>
    <row r="302" spans="2:2" x14ac:dyDescent="0.2">
      <c r="B302" t="str" cm="1">
        <f t="array" ref="B302">IF(A302="","",_xlfn.CHOOSECOLS('Prematch Backend 2A'!302:302,_xlfn.MAKEARRAY(1,A302-2,_xlfn.LAMBDA(_xlpm.r,_xlpm.c,_xlpm.c))))</f>
        <v/>
      </c>
    </row>
    <row r="303" spans="2:2" x14ac:dyDescent="0.2">
      <c r="B303" t="str" cm="1">
        <f t="array" ref="B303">IF(A303="","",_xlfn.CHOOSECOLS('Prematch Backend 2A'!303:303,_xlfn.MAKEARRAY(1,A303-2,_xlfn.LAMBDA(_xlpm.r,_xlpm.c,_xlpm.c))))</f>
        <v/>
      </c>
    </row>
    <row r="304" spans="2:2" x14ac:dyDescent="0.2">
      <c r="B304" t="str" cm="1">
        <f t="array" ref="B304">IF(A304="","",_xlfn.CHOOSECOLS('Prematch Backend 2A'!304:304,_xlfn.MAKEARRAY(1,A304-2,_xlfn.LAMBDA(_xlpm.r,_xlpm.c,_xlpm.c))))</f>
        <v/>
      </c>
    </row>
    <row r="305" spans="2:2" x14ac:dyDescent="0.2">
      <c r="B305" t="str" cm="1">
        <f t="array" ref="B305">IF(A305="","",_xlfn.CHOOSECOLS('Prematch Backend 2A'!305:305,_xlfn.MAKEARRAY(1,A305-2,_xlfn.LAMBDA(_xlpm.r,_xlpm.c,_xlpm.c))))</f>
        <v/>
      </c>
    </row>
    <row r="306" spans="2:2" x14ac:dyDescent="0.2">
      <c r="B306" t="str" cm="1">
        <f t="array" ref="B306">IF(A306="","",_xlfn.CHOOSECOLS('Prematch Backend 2A'!306:306,_xlfn.MAKEARRAY(1,A306-2,_xlfn.LAMBDA(_xlpm.r,_xlpm.c,_xlpm.c))))</f>
        <v/>
      </c>
    </row>
    <row r="307" spans="2:2" x14ac:dyDescent="0.2">
      <c r="B307" t="str" cm="1">
        <f t="array" ref="B307">IF(A307="","",_xlfn.CHOOSECOLS('Prematch Backend 2A'!307:307,_xlfn.MAKEARRAY(1,A307-2,_xlfn.LAMBDA(_xlpm.r,_xlpm.c,_xlpm.c))))</f>
        <v/>
      </c>
    </row>
    <row r="308" spans="2:2" x14ac:dyDescent="0.2">
      <c r="B308" t="str" cm="1">
        <f t="array" ref="B308">IF(A308="","",_xlfn.CHOOSECOLS('Prematch Backend 2A'!308:308,_xlfn.MAKEARRAY(1,A308-2,_xlfn.LAMBDA(_xlpm.r,_xlpm.c,_xlpm.c))))</f>
        <v/>
      </c>
    </row>
    <row r="309" spans="2:2" x14ac:dyDescent="0.2">
      <c r="B309" t="str" cm="1">
        <f t="array" ref="B309">IF(A309="","",_xlfn.CHOOSECOLS('Prematch Backend 2A'!309:309,_xlfn.MAKEARRAY(1,A309-2,_xlfn.LAMBDA(_xlpm.r,_xlpm.c,_xlpm.c))))</f>
        <v/>
      </c>
    </row>
    <row r="310" spans="2:2" x14ac:dyDescent="0.2">
      <c r="B310" t="str" cm="1">
        <f t="array" ref="B310">IF(A310="","",_xlfn.CHOOSECOLS('Prematch Backend 2A'!310:310,_xlfn.MAKEARRAY(1,A310-2,_xlfn.LAMBDA(_xlpm.r,_xlpm.c,_xlpm.c))))</f>
        <v/>
      </c>
    </row>
    <row r="311" spans="2:2" x14ac:dyDescent="0.2">
      <c r="B311" t="str" cm="1">
        <f t="array" ref="B311">IF(A311="","",_xlfn.CHOOSECOLS('Prematch Backend 2A'!311:311,_xlfn.MAKEARRAY(1,A311-2,_xlfn.LAMBDA(_xlpm.r,_xlpm.c,_xlpm.c))))</f>
        <v/>
      </c>
    </row>
    <row r="312" spans="2:2" x14ac:dyDescent="0.2">
      <c r="B312" t="str" cm="1">
        <f t="array" ref="B312">IF(A312="","",_xlfn.CHOOSECOLS('Prematch Backend 2A'!312:312,_xlfn.MAKEARRAY(1,A312-2,_xlfn.LAMBDA(_xlpm.r,_xlpm.c,_xlpm.c))))</f>
        <v/>
      </c>
    </row>
    <row r="313" spans="2:2" x14ac:dyDescent="0.2">
      <c r="B313" t="str" cm="1">
        <f t="array" ref="B313">IF(A313="","",_xlfn.CHOOSECOLS('Prematch Backend 2A'!313:313,_xlfn.MAKEARRAY(1,A313-2,_xlfn.LAMBDA(_xlpm.r,_xlpm.c,_xlpm.c))))</f>
        <v/>
      </c>
    </row>
    <row r="314" spans="2:2" x14ac:dyDescent="0.2">
      <c r="B314" t="str" cm="1">
        <f t="array" ref="B314">IF(A314="","",_xlfn.CHOOSECOLS('Prematch Backend 2A'!314:314,_xlfn.MAKEARRAY(1,A314-2,_xlfn.LAMBDA(_xlpm.r,_xlpm.c,_xlpm.c))))</f>
        <v/>
      </c>
    </row>
    <row r="315" spans="2:2" x14ac:dyDescent="0.2">
      <c r="B315" t="str" cm="1">
        <f t="array" ref="B315">IF(A315="","",_xlfn.CHOOSECOLS('Prematch Backend 2A'!315:315,_xlfn.MAKEARRAY(1,A315-2,_xlfn.LAMBDA(_xlpm.r,_xlpm.c,_xlpm.c))))</f>
        <v/>
      </c>
    </row>
    <row r="316" spans="2:2" x14ac:dyDescent="0.2">
      <c r="B316" t="str" cm="1">
        <f t="array" ref="B316">IF(A316="","",_xlfn.CHOOSECOLS('Prematch Backend 2A'!316:316,_xlfn.MAKEARRAY(1,A316-2,_xlfn.LAMBDA(_xlpm.r,_xlpm.c,_xlpm.c))))</f>
        <v/>
      </c>
    </row>
    <row r="317" spans="2:2" x14ac:dyDescent="0.2">
      <c r="B317" t="str" cm="1">
        <f t="array" ref="B317">IF(A317="","",_xlfn.CHOOSECOLS('Prematch Backend 2A'!317:317,_xlfn.MAKEARRAY(1,A317-2,_xlfn.LAMBDA(_xlpm.r,_xlpm.c,_xlpm.c))))</f>
        <v/>
      </c>
    </row>
    <row r="318" spans="2:2" x14ac:dyDescent="0.2">
      <c r="B318" t="str" cm="1">
        <f t="array" ref="B318">IF(A318="","",_xlfn.CHOOSECOLS('Prematch Backend 2A'!318:318,_xlfn.MAKEARRAY(1,A318-2,_xlfn.LAMBDA(_xlpm.r,_xlpm.c,_xlpm.c))))</f>
        <v/>
      </c>
    </row>
    <row r="319" spans="2:2" x14ac:dyDescent="0.2">
      <c r="B319" t="str" cm="1">
        <f t="array" ref="B319">IF(A319="","",_xlfn.CHOOSECOLS('Prematch Backend 2A'!319:319,_xlfn.MAKEARRAY(1,A319-2,_xlfn.LAMBDA(_xlpm.r,_xlpm.c,_xlpm.c))))</f>
        <v/>
      </c>
    </row>
    <row r="320" spans="2:2" x14ac:dyDescent="0.2">
      <c r="B320" t="str" cm="1">
        <f t="array" ref="B320">IF(A320="","",_xlfn.CHOOSECOLS('Prematch Backend 2A'!320:320,_xlfn.MAKEARRAY(1,A320-2,_xlfn.LAMBDA(_xlpm.r,_xlpm.c,_xlpm.c))))</f>
        <v/>
      </c>
    </row>
    <row r="321" spans="2:2" x14ac:dyDescent="0.2">
      <c r="B321" t="str" cm="1">
        <f t="array" ref="B321">IF(A321="","",_xlfn.CHOOSECOLS('Prematch Backend 2A'!321:321,_xlfn.MAKEARRAY(1,A321-2,_xlfn.LAMBDA(_xlpm.r,_xlpm.c,_xlpm.c))))</f>
        <v/>
      </c>
    </row>
    <row r="322" spans="2:2" x14ac:dyDescent="0.2">
      <c r="B322" t="str" cm="1">
        <f t="array" ref="B322">IF(A322="","",_xlfn.CHOOSECOLS('Prematch Backend 2A'!322:322,_xlfn.MAKEARRAY(1,A322-2,_xlfn.LAMBDA(_xlpm.r,_xlpm.c,_xlpm.c))))</f>
        <v/>
      </c>
    </row>
    <row r="323" spans="2:2" x14ac:dyDescent="0.2">
      <c r="B323" t="str" cm="1">
        <f t="array" ref="B323">IF(A323="","",_xlfn.CHOOSECOLS('Prematch Backend 2A'!323:323,_xlfn.MAKEARRAY(1,A323-2,_xlfn.LAMBDA(_xlpm.r,_xlpm.c,_xlpm.c))))</f>
        <v/>
      </c>
    </row>
    <row r="324" spans="2:2" x14ac:dyDescent="0.2">
      <c r="B324" t="str" cm="1">
        <f t="array" ref="B324">IF(A324="","",_xlfn.CHOOSECOLS('Prematch Backend 2A'!324:324,_xlfn.MAKEARRAY(1,A324-2,_xlfn.LAMBDA(_xlpm.r,_xlpm.c,_xlpm.c))))</f>
        <v/>
      </c>
    </row>
    <row r="325" spans="2:2" x14ac:dyDescent="0.2">
      <c r="B325" t="str" cm="1">
        <f t="array" ref="B325">IF(A325="","",_xlfn.CHOOSECOLS('Prematch Backend 2A'!325:325,_xlfn.MAKEARRAY(1,A325-2,_xlfn.LAMBDA(_xlpm.r,_xlpm.c,_xlpm.c))))</f>
        <v/>
      </c>
    </row>
    <row r="326" spans="2:2" x14ac:dyDescent="0.2">
      <c r="B326" t="str" cm="1">
        <f t="array" ref="B326">IF(A326="","",_xlfn.CHOOSECOLS('Prematch Backend 2A'!326:326,_xlfn.MAKEARRAY(1,A326-2,_xlfn.LAMBDA(_xlpm.r,_xlpm.c,_xlpm.c))))</f>
        <v/>
      </c>
    </row>
    <row r="327" spans="2:2" x14ac:dyDescent="0.2">
      <c r="B327" t="str" cm="1">
        <f t="array" ref="B327">IF(A327="","",_xlfn.CHOOSECOLS('Prematch Backend 2A'!327:327,_xlfn.MAKEARRAY(1,A327-2,_xlfn.LAMBDA(_xlpm.r,_xlpm.c,_xlpm.c))))</f>
        <v/>
      </c>
    </row>
    <row r="328" spans="2:2" x14ac:dyDescent="0.2">
      <c r="B328" t="str" cm="1">
        <f t="array" ref="B328">IF(A328="","",_xlfn.CHOOSECOLS('Prematch Backend 2A'!328:328,_xlfn.MAKEARRAY(1,A328-2,_xlfn.LAMBDA(_xlpm.r,_xlpm.c,_xlpm.c))))</f>
        <v/>
      </c>
    </row>
    <row r="329" spans="2:2" x14ac:dyDescent="0.2">
      <c r="B329" t="str" cm="1">
        <f t="array" ref="B329">IF(A329="","",_xlfn.CHOOSECOLS('Prematch Backend 2A'!329:329,_xlfn.MAKEARRAY(1,A329-2,_xlfn.LAMBDA(_xlpm.r,_xlpm.c,_xlpm.c))))</f>
        <v/>
      </c>
    </row>
    <row r="330" spans="2:2" x14ac:dyDescent="0.2">
      <c r="B330" t="str" cm="1">
        <f t="array" ref="B330">IF(A330="","",_xlfn.CHOOSECOLS('Prematch Backend 2A'!330:330,_xlfn.MAKEARRAY(1,A330-2,_xlfn.LAMBDA(_xlpm.r,_xlpm.c,_xlpm.c))))</f>
        <v/>
      </c>
    </row>
    <row r="331" spans="2:2" x14ac:dyDescent="0.2">
      <c r="B331" t="str" cm="1">
        <f t="array" ref="B331">IF(A331="","",_xlfn.CHOOSECOLS('Prematch Backend 2A'!331:331,_xlfn.MAKEARRAY(1,A331-2,_xlfn.LAMBDA(_xlpm.r,_xlpm.c,_xlpm.c))))</f>
        <v/>
      </c>
    </row>
    <row r="332" spans="2:2" x14ac:dyDescent="0.2">
      <c r="B332" t="str" cm="1">
        <f t="array" ref="B332">IF(A332="","",_xlfn.CHOOSECOLS('Prematch Backend 2A'!332:332,_xlfn.MAKEARRAY(1,A332-2,_xlfn.LAMBDA(_xlpm.r,_xlpm.c,_xlpm.c))))</f>
        <v/>
      </c>
    </row>
    <row r="333" spans="2:2" x14ac:dyDescent="0.2">
      <c r="B333" t="str" cm="1">
        <f t="array" ref="B333">IF(A333="","",_xlfn.CHOOSECOLS('Prematch Backend 2A'!333:333,_xlfn.MAKEARRAY(1,A333-2,_xlfn.LAMBDA(_xlpm.r,_xlpm.c,_xlpm.c))))</f>
        <v/>
      </c>
    </row>
    <row r="334" spans="2:2" x14ac:dyDescent="0.2">
      <c r="B334" t="str" cm="1">
        <f t="array" ref="B334">IF(A334="","",_xlfn.CHOOSECOLS('Prematch Backend 2A'!334:334,_xlfn.MAKEARRAY(1,A334-2,_xlfn.LAMBDA(_xlpm.r,_xlpm.c,_xlpm.c))))</f>
        <v/>
      </c>
    </row>
    <row r="335" spans="2:2" x14ac:dyDescent="0.2">
      <c r="B335" t="str" cm="1">
        <f t="array" ref="B335">IF(A335="","",_xlfn.CHOOSECOLS('Prematch Backend 2A'!335:335,_xlfn.MAKEARRAY(1,A335-2,_xlfn.LAMBDA(_xlpm.r,_xlpm.c,_xlpm.c))))</f>
        <v/>
      </c>
    </row>
    <row r="336" spans="2:2" x14ac:dyDescent="0.2">
      <c r="B336" t="str" cm="1">
        <f t="array" ref="B336">IF(A336="","",_xlfn.CHOOSECOLS('Prematch Backend 2A'!336:336,_xlfn.MAKEARRAY(1,A336-2,_xlfn.LAMBDA(_xlpm.r,_xlpm.c,_xlpm.c))))</f>
        <v/>
      </c>
    </row>
    <row r="337" spans="2:2" x14ac:dyDescent="0.2">
      <c r="B337" t="str" cm="1">
        <f t="array" ref="B337">IF(A337="","",_xlfn.CHOOSECOLS('Prematch Backend 2A'!337:337,_xlfn.MAKEARRAY(1,A337-2,_xlfn.LAMBDA(_xlpm.r,_xlpm.c,_xlpm.c))))</f>
        <v/>
      </c>
    </row>
    <row r="338" spans="2:2" x14ac:dyDescent="0.2">
      <c r="B338" t="str" cm="1">
        <f t="array" ref="B338">IF(A338="","",_xlfn.CHOOSECOLS('Prematch Backend 2A'!338:338,_xlfn.MAKEARRAY(1,A338-2,_xlfn.LAMBDA(_xlpm.r,_xlpm.c,_xlpm.c))))</f>
        <v/>
      </c>
    </row>
    <row r="339" spans="2:2" x14ac:dyDescent="0.2">
      <c r="B339" t="str" cm="1">
        <f t="array" ref="B339">IF(A339="","",_xlfn.CHOOSECOLS('Prematch Backend 2A'!339:339,_xlfn.MAKEARRAY(1,A339-2,_xlfn.LAMBDA(_xlpm.r,_xlpm.c,_xlpm.c))))</f>
        <v/>
      </c>
    </row>
    <row r="340" spans="2:2" x14ac:dyDescent="0.2">
      <c r="B340" t="str" cm="1">
        <f t="array" ref="B340">IF(A340="","",_xlfn.CHOOSECOLS('Prematch Backend 2A'!340:340,_xlfn.MAKEARRAY(1,A340-2,_xlfn.LAMBDA(_xlpm.r,_xlpm.c,_xlpm.c))))</f>
        <v/>
      </c>
    </row>
    <row r="341" spans="2:2" x14ac:dyDescent="0.2">
      <c r="B341" t="str" cm="1">
        <f t="array" ref="B341">IF(A341="","",_xlfn.CHOOSECOLS('Prematch Backend 2A'!341:341,_xlfn.MAKEARRAY(1,A341-2,_xlfn.LAMBDA(_xlpm.r,_xlpm.c,_xlpm.c))))</f>
        <v/>
      </c>
    </row>
    <row r="342" spans="2:2" x14ac:dyDescent="0.2">
      <c r="B342" t="str" cm="1">
        <f t="array" ref="B342">IF(A342="","",_xlfn.CHOOSECOLS('Prematch Backend 2A'!342:342,_xlfn.MAKEARRAY(1,A342-2,_xlfn.LAMBDA(_xlpm.r,_xlpm.c,_xlpm.c))))</f>
        <v/>
      </c>
    </row>
    <row r="343" spans="2:2" x14ac:dyDescent="0.2">
      <c r="B343" t="str" cm="1">
        <f t="array" ref="B343">IF(A343="","",_xlfn.CHOOSECOLS('Prematch Backend 2A'!343:343,_xlfn.MAKEARRAY(1,A343-2,_xlfn.LAMBDA(_xlpm.r,_xlpm.c,_xlpm.c))))</f>
        <v/>
      </c>
    </row>
    <row r="344" spans="2:2" x14ac:dyDescent="0.2">
      <c r="B344" t="str" cm="1">
        <f t="array" ref="B344">IF(A344="","",_xlfn.CHOOSECOLS('Prematch Backend 2A'!344:344,_xlfn.MAKEARRAY(1,A344-2,_xlfn.LAMBDA(_xlpm.r,_xlpm.c,_xlpm.c))))</f>
        <v/>
      </c>
    </row>
    <row r="345" spans="2:2" x14ac:dyDescent="0.2">
      <c r="B345" t="str" cm="1">
        <f t="array" ref="B345">IF(A345="","",_xlfn.CHOOSECOLS('Prematch Backend 2A'!345:345,_xlfn.MAKEARRAY(1,A345-2,_xlfn.LAMBDA(_xlpm.r,_xlpm.c,_xlpm.c))))</f>
        <v/>
      </c>
    </row>
    <row r="346" spans="2:2" x14ac:dyDescent="0.2">
      <c r="B346" t="str" cm="1">
        <f t="array" ref="B346">IF(A346="","",_xlfn.CHOOSECOLS('Prematch Backend 2A'!346:346,_xlfn.MAKEARRAY(1,A346-2,_xlfn.LAMBDA(_xlpm.r,_xlpm.c,_xlpm.c))))</f>
        <v/>
      </c>
    </row>
    <row r="347" spans="2:2" x14ac:dyDescent="0.2">
      <c r="B347" t="str" cm="1">
        <f t="array" ref="B347">IF(A347="","",_xlfn.CHOOSECOLS('Prematch Backend 2A'!347:347,_xlfn.MAKEARRAY(1,A347-2,_xlfn.LAMBDA(_xlpm.r,_xlpm.c,_xlpm.c))))</f>
        <v/>
      </c>
    </row>
    <row r="348" spans="2:2" x14ac:dyDescent="0.2">
      <c r="B348" t="str" cm="1">
        <f t="array" ref="B348">IF(A348="","",_xlfn.CHOOSECOLS('Prematch Backend 2A'!348:348,_xlfn.MAKEARRAY(1,A348-2,_xlfn.LAMBDA(_xlpm.r,_xlpm.c,_xlpm.c))))</f>
        <v/>
      </c>
    </row>
    <row r="349" spans="2:2" x14ac:dyDescent="0.2">
      <c r="B349" t="str" cm="1">
        <f t="array" ref="B349">IF(A349="","",_xlfn.CHOOSECOLS('Prematch Backend 2A'!349:349,_xlfn.MAKEARRAY(1,A349-2,_xlfn.LAMBDA(_xlpm.r,_xlpm.c,_xlpm.c))))</f>
        <v/>
      </c>
    </row>
    <row r="350" spans="2:2" x14ac:dyDescent="0.2">
      <c r="B350" t="str" cm="1">
        <f t="array" ref="B350">IF(A350="","",_xlfn.CHOOSECOLS('Prematch Backend 2A'!350:350,_xlfn.MAKEARRAY(1,A350-2,_xlfn.LAMBDA(_xlpm.r,_xlpm.c,_xlpm.c))))</f>
        <v/>
      </c>
    </row>
    <row r="351" spans="2:2" x14ac:dyDescent="0.2">
      <c r="B351" t="str" cm="1">
        <f t="array" ref="B351">IF(A351="","",_xlfn.CHOOSECOLS('Prematch Backend 2A'!351:351,_xlfn.MAKEARRAY(1,A351-2,_xlfn.LAMBDA(_xlpm.r,_xlpm.c,_xlpm.c))))</f>
        <v/>
      </c>
    </row>
    <row r="352" spans="2:2" x14ac:dyDescent="0.2">
      <c r="B352" t="str" cm="1">
        <f t="array" ref="B352">IF(A352="","",_xlfn.CHOOSECOLS('Prematch Backend 2A'!352:352,_xlfn.MAKEARRAY(1,A352-2,_xlfn.LAMBDA(_xlpm.r,_xlpm.c,_xlpm.c))))</f>
        <v/>
      </c>
    </row>
    <row r="353" spans="2:2" x14ac:dyDescent="0.2">
      <c r="B353" t="str" cm="1">
        <f t="array" ref="B353">IF(A353="","",_xlfn.CHOOSECOLS('Prematch Backend 2A'!353:353,_xlfn.MAKEARRAY(1,A353-2,_xlfn.LAMBDA(_xlpm.r,_xlpm.c,_xlpm.c))))</f>
        <v/>
      </c>
    </row>
    <row r="354" spans="2:2" x14ac:dyDescent="0.2">
      <c r="B354" t="str" cm="1">
        <f t="array" ref="B354">IF(A354="","",_xlfn.CHOOSECOLS('Prematch Backend 2A'!354:354,_xlfn.MAKEARRAY(1,A354-2,_xlfn.LAMBDA(_xlpm.r,_xlpm.c,_xlpm.c))))</f>
        <v/>
      </c>
    </row>
    <row r="355" spans="2:2" x14ac:dyDescent="0.2">
      <c r="B355" t="str" cm="1">
        <f t="array" ref="B355">IF(A355="","",_xlfn.CHOOSECOLS('Prematch Backend 2A'!355:355,_xlfn.MAKEARRAY(1,A355-2,_xlfn.LAMBDA(_xlpm.r,_xlpm.c,_xlpm.c))))</f>
        <v/>
      </c>
    </row>
    <row r="356" spans="2:2" x14ac:dyDescent="0.2">
      <c r="B356" t="str" cm="1">
        <f t="array" ref="B356">IF(A356="","",_xlfn.CHOOSECOLS('Prematch Backend 2A'!356:356,_xlfn.MAKEARRAY(1,A356-2,_xlfn.LAMBDA(_xlpm.r,_xlpm.c,_xlpm.c))))</f>
        <v/>
      </c>
    </row>
    <row r="357" spans="2:2" x14ac:dyDescent="0.2">
      <c r="B357" t="str" cm="1">
        <f t="array" ref="B357">IF(A357="","",_xlfn.CHOOSECOLS('Prematch Backend 2A'!357:357,_xlfn.MAKEARRAY(1,A357-2,_xlfn.LAMBDA(_xlpm.r,_xlpm.c,_xlpm.c))))</f>
        <v/>
      </c>
    </row>
    <row r="358" spans="2:2" x14ac:dyDescent="0.2">
      <c r="B358" t="str" cm="1">
        <f t="array" ref="B358">IF(A358="","",_xlfn.CHOOSECOLS('Prematch Backend 2A'!358:358,_xlfn.MAKEARRAY(1,A358-2,_xlfn.LAMBDA(_xlpm.r,_xlpm.c,_xlpm.c))))</f>
        <v/>
      </c>
    </row>
    <row r="359" spans="2:2" x14ac:dyDescent="0.2">
      <c r="B359" t="str" cm="1">
        <f t="array" ref="B359">IF(A359="","",_xlfn.CHOOSECOLS('Prematch Backend 2A'!359:359,_xlfn.MAKEARRAY(1,A359-2,_xlfn.LAMBDA(_xlpm.r,_xlpm.c,_xlpm.c))))</f>
        <v/>
      </c>
    </row>
    <row r="360" spans="2:2" x14ac:dyDescent="0.2">
      <c r="B360" t="str" cm="1">
        <f t="array" ref="B360">IF(A360="","",_xlfn.CHOOSECOLS('Prematch Backend 2A'!360:360,_xlfn.MAKEARRAY(1,A360-2,_xlfn.LAMBDA(_xlpm.r,_xlpm.c,_xlpm.c))))</f>
        <v/>
      </c>
    </row>
    <row r="361" spans="2:2" x14ac:dyDescent="0.2">
      <c r="B361" t="str" cm="1">
        <f t="array" ref="B361">IF(A361="","",_xlfn.CHOOSECOLS('Prematch Backend 2A'!361:361,_xlfn.MAKEARRAY(1,A361-2,_xlfn.LAMBDA(_xlpm.r,_xlpm.c,_xlpm.c))))</f>
        <v/>
      </c>
    </row>
    <row r="362" spans="2:2" x14ac:dyDescent="0.2">
      <c r="B362" t="str" cm="1">
        <f t="array" ref="B362">IF(A362="","",_xlfn.CHOOSECOLS('Prematch Backend 2A'!362:362,_xlfn.MAKEARRAY(1,A362-2,_xlfn.LAMBDA(_xlpm.r,_xlpm.c,_xlpm.c))))</f>
        <v/>
      </c>
    </row>
    <row r="363" spans="2:2" x14ac:dyDescent="0.2">
      <c r="B363" t="str" cm="1">
        <f t="array" ref="B363">IF(A363="","",_xlfn.CHOOSECOLS('Prematch Backend 2A'!363:363,_xlfn.MAKEARRAY(1,A363-2,_xlfn.LAMBDA(_xlpm.r,_xlpm.c,_xlpm.c))))</f>
        <v/>
      </c>
    </row>
    <row r="364" spans="2:2" x14ac:dyDescent="0.2">
      <c r="B364" t="str" cm="1">
        <f t="array" ref="B364">IF(A364="","",_xlfn.CHOOSECOLS('Prematch Backend 2A'!364:364,_xlfn.MAKEARRAY(1,A364-2,_xlfn.LAMBDA(_xlpm.r,_xlpm.c,_xlpm.c))))</f>
        <v/>
      </c>
    </row>
    <row r="365" spans="2:2" x14ac:dyDescent="0.2">
      <c r="B365" t="str" cm="1">
        <f t="array" ref="B365">IF(A365="","",_xlfn.CHOOSECOLS('Prematch Backend 2A'!365:365,_xlfn.MAKEARRAY(1,A365-2,_xlfn.LAMBDA(_xlpm.r,_xlpm.c,_xlpm.c))))</f>
        <v/>
      </c>
    </row>
    <row r="366" spans="2:2" x14ac:dyDescent="0.2">
      <c r="B366" t="str" cm="1">
        <f t="array" ref="B366">IF(A366="","",_xlfn.CHOOSECOLS('Prematch Backend 2A'!366:366,_xlfn.MAKEARRAY(1,A366-2,_xlfn.LAMBDA(_xlpm.r,_xlpm.c,_xlpm.c))))</f>
        <v/>
      </c>
    </row>
    <row r="367" spans="2:2" x14ac:dyDescent="0.2">
      <c r="B367" t="str" cm="1">
        <f t="array" ref="B367">IF(A367="","",_xlfn.CHOOSECOLS('Prematch Backend 2A'!367:367,_xlfn.MAKEARRAY(1,A367-2,_xlfn.LAMBDA(_xlpm.r,_xlpm.c,_xlpm.c))))</f>
        <v/>
      </c>
    </row>
    <row r="368" spans="2:2" x14ac:dyDescent="0.2">
      <c r="B368" t="str" cm="1">
        <f t="array" ref="B368">IF(A368="","",_xlfn.CHOOSECOLS('Prematch Backend 2A'!368:368,_xlfn.MAKEARRAY(1,A368-2,_xlfn.LAMBDA(_xlpm.r,_xlpm.c,_xlpm.c))))</f>
        <v/>
      </c>
    </row>
    <row r="369" spans="2:2" x14ac:dyDescent="0.2">
      <c r="B369" t="str" cm="1">
        <f t="array" ref="B369">IF(A369="","",_xlfn.CHOOSECOLS('Prematch Backend 2A'!369:369,_xlfn.MAKEARRAY(1,A369-2,_xlfn.LAMBDA(_xlpm.r,_xlpm.c,_xlpm.c))))</f>
        <v/>
      </c>
    </row>
    <row r="370" spans="2:2" x14ac:dyDescent="0.2">
      <c r="B370" t="str" cm="1">
        <f t="array" ref="B370">IF(A370="","",_xlfn.CHOOSECOLS('Prematch Backend 2A'!370:370,_xlfn.MAKEARRAY(1,A370-2,_xlfn.LAMBDA(_xlpm.r,_xlpm.c,_xlpm.c))))</f>
        <v/>
      </c>
    </row>
    <row r="371" spans="2:2" x14ac:dyDescent="0.2">
      <c r="B371" t="str" cm="1">
        <f t="array" ref="B371">IF(A371="","",_xlfn.CHOOSECOLS('Prematch Backend 2A'!371:371,_xlfn.MAKEARRAY(1,A371-2,_xlfn.LAMBDA(_xlpm.r,_xlpm.c,_xlpm.c))))</f>
        <v/>
      </c>
    </row>
    <row r="372" spans="2:2" x14ac:dyDescent="0.2">
      <c r="B372" t="str" cm="1">
        <f t="array" ref="B372">IF(A372="","",_xlfn.CHOOSECOLS('Prematch Backend 2A'!372:372,_xlfn.MAKEARRAY(1,A372-2,_xlfn.LAMBDA(_xlpm.r,_xlpm.c,_xlpm.c))))</f>
        <v/>
      </c>
    </row>
    <row r="373" spans="2:2" x14ac:dyDescent="0.2">
      <c r="B373" t="str" cm="1">
        <f t="array" ref="B373">IF(A373="","",_xlfn.CHOOSECOLS('Prematch Backend 2A'!373:373,_xlfn.MAKEARRAY(1,A373-2,_xlfn.LAMBDA(_xlpm.r,_xlpm.c,_xlpm.c))))</f>
        <v/>
      </c>
    </row>
    <row r="374" spans="2:2" x14ac:dyDescent="0.2">
      <c r="B374" t="str" cm="1">
        <f t="array" ref="B374">IF(A374="","",_xlfn.CHOOSECOLS('Prematch Backend 2A'!374:374,_xlfn.MAKEARRAY(1,A374-2,_xlfn.LAMBDA(_xlpm.r,_xlpm.c,_xlpm.c))))</f>
        <v/>
      </c>
    </row>
    <row r="375" spans="2:2" x14ac:dyDescent="0.2">
      <c r="B375" t="str" cm="1">
        <f t="array" ref="B375">IF(A375="","",_xlfn.CHOOSECOLS('Prematch Backend 2A'!375:375,_xlfn.MAKEARRAY(1,A375-2,_xlfn.LAMBDA(_xlpm.r,_xlpm.c,_xlpm.c))))</f>
        <v/>
      </c>
    </row>
    <row r="376" spans="2:2" x14ac:dyDescent="0.2">
      <c r="B376" t="str" cm="1">
        <f t="array" ref="B376">IF(A376="","",_xlfn.CHOOSECOLS('Prematch Backend 2A'!376:376,_xlfn.MAKEARRAY(1,A376-2,_xlfn.LAMBDA(_xlpm.r,_xlpm.c,_xlpm.c))))</f>
        <v/>
      </c>
    </row>
    <row r="377" spans="2:2" x14ac:dyDescent="0.2">
      <c r="B377" t="str" cm="1">
        <f t="array" ref="B377">IF(A377="","",_xlfn.CHOOSECOLS('Prematch Backend 2A'!377:377,_xlfn.MAKEARRAY(1,A377-2,_xlfn.LAMBDA(_xlpm.r,_xlpm.c,_xlpm.c))))</f>
        <v/>
      </c>
    </row>
    <row r="378" spans="2:2" x14ac:dyDescent="0.2">
      <c r="B378" t="str" cm="1">
        <f t="array" ref="B378">IF(A378="","",_xlfn.CHOOSECOLS('Prematch Backend 2A'!378:378,_xlfn.MAKEARRAY(1,A378-2,_xlfn.LAMBDA(_xlpm.r,_xlpm.c,_xlpm.c))))</f>
        <v/>
      </c>
    </row>
    <row r="379" spans="2:2" x14ac:dyDescent="0.2">
      <c r="B379" t="str" cm="1">
        <f t="array" ref="B379">IF(A379="","",_xlfn.CHOOSECOLS('Prematch Backend 2A'!379:379,_xlfn.MAKEARRAY(1,A379-2,_xlfn.LAMBDA(_xlpm.r,_xlpm.c,_xlpm.c))))</f>
        <v/>
      </c>
    </row>
    <row r="380" spans="2:2" x14ac:dyDescent="0.2">
      <c r="B380" t="str" cm="1">
        <f t="array" ref="B380">IF(A380="","",_xlfn.CHOOSECOLS('Prematch Backend 2A'!380:380,_xlfn.MAKEARRAY(1,A380-2,_xlfn.LAMBDA(_xlpm.r,_xlpm.c,_xlpm.c))))</f>
        <v/>
      </c>
    </row>
    <row r="381" spans="2:2" x14ac:dyDescent="0.2">
      <c r="B381" t="str" cm="1">
        <f t="array" ref="B381">IF(A381="","",_xlfn.CHOOSECOLS('Prematch Backend 2A'!381:381,_xlfn.MAKEARRAY(1,A381-2,_xlfn.LAMBDA(_xlpm.r,_xlpm.c,_xlpm.c))))</f>
        <v/>
      </c>
    </row>
    <row r="382" spans="2:2" x14ac:dyDescent="0.2">
      <c r="B382" t="str" cm="1">
        <f t="array" ref="B382">IF(A382="","",_xlfn.CHOOSECOLS('Prematch Backend 2A'!382:382,_xlfn.MAKEARRAY(1,A382-2,_xlfn.LAMBDA(_xlpm.r,_xlpm.c,_xlpm.c))))</f>
        <v/>
      </c>
    </row>
    <row r="383" spans="2:2" x14ac:dyDescent="0.2">
      <c r="B383" t="str" cm="1">
        <f t="array" ref="B383">IF(A383="","",_xlfn.CHOOSECOLS('Prematch Backend 2A'!383:383,_xlfn.MAKEARRAY(1,A383-2,_xlfn.LAMBDA(_xlpm.r,_xlpm.c,_xlpm.c))))</f>
        <v/>
      </c>
    </row>
    <row r="384" spans="2:2" x14ac:dyDescent="0.2">
      <c r="B384" t="str" cm="1">
        <f t="array" ref="B384">IF(A384="","",_xlfn.CHOOSECOLS('Prematch Backend 2A'!384:384,_xlfn.MAKEARRAY(1,A384-2,_xlfn.LAMBDA(_xlpm.r,_xlpm.c,_xlpm.c))))</f>
        <v/>
      </c>
    </row>
    <row r="385" spans="2:2" x14ac:dyDescent="0.2">
      <c r="B385" t="str" cm="1">
        <f t="array" ref="B385">IF(A385="","",_xlfn.CHOOSECOLS('Prematch Backend 2A'!385:385,_xlfn.MAKEARRAY(1,A385-2,_xlfn.LAMBDA(_xlpm.r,_xlpm.c,_xlpm.c))))</f>
        <v/>
      </c>
    </row>
    <row r="386" spans="2:2" x14ac:dyDescent="0.2">
      <c r="B386" t="str" cm="1">
        <f t="array" ref="B386">IF(A386="","",_xlfn.CHOOSECOLS('Prematch Backend 2A'!386:386,_xlfn.MAKEARRAY(1,A386-2,_xlfn.LAMBDA(_xlpm.r,_xlpm.c,_xlpm.c))))</f>
        <v/>
      </c>
    </row>
    <row r="387" spans="2:2" x14ac:dyDescent="0.2">
      <c r="B387" t="str" cm="1">
        <f t="array" ref="B387">IF(A387="","",_xlfn.CHOOSECOLS('Prematch Backend 2A'!387:387,_xlfn.MAKEARRAY(1,A387-2,_xlfn.LAMBDA(_xlpm.r,_xlpm.c,_xlpm.c))))</f>
        <v/>
      </c>
    </row>
    <row r="388" spans="2:2" x14ac:dyDescent="0.2">
      <c r="B388" t="str" cm="1">
        <f t="array" ref="B388">IF(A388="","",_xlfn.CHOOSECOLS('Prematch Backend 2A'!388:388,_xlfn.MAKEARRAY(1,A388-2,_xlfn.LAMBDA(_xlpm.r,_xlpm.c,_xlpm.c))))</f>
        <v/>
      </c>
    </row>
    <row r="389" spans="2:2" x14ac:dyDescent="0.2">
      <c r="B389" t="str" cm="1">
        <f t="array" ref="B389">IF(A389="","",_xlfn.CHOOSECOLS('Prematch Backend 2A'!389:389,_xlfn.MAKEARRAY(1,A389-2,_xlfn.LAMBDA(_xlpm.r,_xlpm.c,_xlpm.c))))</f>
        <v/>
      </c>
    </row>
    <row r="390" spans="2:2" x14ac:dyDescent="0.2">
      <c r="B390" t="str" cm="1">
        <f t="array" ref="B390">IF(A390="","",_xlfn.CHOOSECOLS('Prematch Backend 2A'!390:390,_xlfn.MAKEARRAY(1,A390-2,_xlfn.LAMBDA(_xlpm.r,_xlpm.c,_xlpm.c))))</f>
        <v/>
      </c>
    </row>
    <row r="391" spans="2:2" x14ac:dyDescent="0.2">
      <c r="B391" t="str" cm="1">
        <f t="array" ref="B391">IF(A391="","",_xlfn.CHOOSECOLS('Prematch Backend 2A'!391:391,_xlfn.MAKEARRAY(1,A391-2,_xlfn.LAMBDA(_xlpm.r,_xlpm.c,_xlpm.c))))</f>
        <v/>
      </c>
    </row>
    <row r="392" spans="2:2" x14ac:dyDescent="0.2">
      <c r="B392" t="str" cm="1">
        <f t="array" ref="B392">IF(A392="","",_xlfn.CHOOSECOLS('Prematch Backend 2A'!392:392,_xlfn.MAKEARRAY(1,A392-2,_xlfn.LAMBDA(_xlpm.r,_xlpm.c,_xlpm.c))))</f>
        <v/>
      </c>
    </row>
    <row r="393" spans="2:2" x14ac:dyDescent="0.2">
      <c r="B393" t="str" cm="1">
        <f t="array" ref="B393">IF(A393="","",_xlfn.CHOOSECOLS('Prematch Backend 2A'!393:393,_xlfn.MAKEARRAY(1,A393-2,_xlfn.LAMBDA(_xlpm.r,_xlpm.c,_xlpm.c))))</f>
        <v/>
      </c>
    </row>
    <row r="394" spans="2:2" x14ac:dyDescent="0.2">
      <c r="B394" t="str" cm="1">
        <f t="array" ref="B394">IF(A394="","",_xlfn.CHOOSECOLS('Prematch Backend 2A'!394:394,_xlfn.MAKEARRAY(1,A394-2,_xlfn.LAMBDA(_xlpm.r,_xlpm.c,_xlpm.c))))</f>
        <v/>
      </c>
    </row>
    <row r="395" spans="2:2" x14ac:dyDescent="0.2">
      <c r="B395" t="str" cm="1">
        <f t="array" ref="B395">IF(A395="","",_xlfn.CHOOSECOLS('Prematch Backend 2A'!395:395,_xlfn.MAKEARRAY(1,A395-2,_xlfn.LAMBDA(_xlpm.r,_xlpm.c,_xlpm.c))))</f>
        <v/>
      </c>
    </row>
    <row r="396" spans="2:2" x14ac:dyDescent="0.2">
      <c r="B396" t="str" cm="1">
        <f t="array" ref="B396">IF(A396="","",_xlfn.CHOOSECOLS('Prematch Backend 2A'!396:396,_xlfn.MAKEARRAY(1,A396-2,_xlfn.LAMBDA(_xlpm.r,_xlpm.c,_xlpm.c))))</f>
        <v/>
      </c>
    </row>
    <row r="397" spans="2:2" x14ac:dyDescent="0.2">
      <c r="B397" t="str" cm="1">
        <f t="array" ref="B397">IF(A397="","",_xlfn.CHOOSECOLS('Prematch Backend 2A'!397:397,_xlfn.MAKEARRAY(1,A397-2,_xlfn.LAMBDA(_xlpm.r,_xlpm.c,_xlpm.c))))</f>
        <v/>
      </c>
    </row>
    <row r="398" spans="2:2" x14ac:dyDescent="0.2">
      <c r="B398" t="str" cm="1">
        <f t="array" ref="B398">IF(A398="","",_xlfn.CHOOSECOLS('Prematch Backend 2A'!398:398,_xlfn.MAKEARRAY(1,A398-2,_xlfn.LAMBDA(_xlpm.r,_xlpm.c,_xlpm.c))))</f>
        <v/>
      </c>
    </row>
    <row r="399" spans="2:2" x14ac:dyDescent="0.2">
      <c r="B399" t="str" cm="1">
        <f t="array" ref="B399">IF(A399="","",_xlfn.CHOOSECOLS('Prematch Backend 2A'!399:399,_xlfn.MAKEARRAY(1,A399-2,_xlfn.LAMBDA(_xlpm.r,_xlpm.c,_xlpm.c))))</f>
        <v/>
      </c>
    </row>
    <row r="400" spans="2:2" x14ac:dyDescent="0.2">
      <c r="B400" t="str" cm="1">
        <f t="array" ref="B400">IF(A400="","",_xlfn.CHOOSECOLS('Prematch Backend 2A'!400:400,_xlfn.MAKEARRAY(1,A400-2,_xlfn.LAMBDA(_xlpm.r,_xlpm.c,_xlpm.c))))</f>
        <v/>
      </c>
    </row>
    <row r="401" spans="2:2" x14ac:dyDescent="0.2">
      <c r="B401" t="str" cm="1">
        <f t="array" ref="B401">IF(A401="","",_xlfn.CHOOSECOLS('Prematch Backend 2A'!401:401,_xlfn.MAKEARRAY(1,A401-2,_xlfn.LAMBDA(_xlpm.r,_xlpm.c,_xlpm.c))))</f>
        <v/>
      </c>
    </row>
    <row r="402" spans="2:2" x14ac:dyDescent="0.2">
      <c r="B402" t="str" cm="1">
        <f t="array" ref="B402">IF(A402="","",_xlfn.CHOOSECOLS('Prematch Backend 2A'!402:402,_xlfn.MAKEARRAY(1,A402-2,_xlfn.LAMBDA(_xlpm.r,_xlpm.c,_xlpm.c))))</f>
        <v/>
      </c>
    </row>
    <row r="403" spans="2:2" x14ac:dyDescent="0.2">
      <c r="B403" t="str" cm="1">
        <f t="array" ref="B403">IF(A403="","",_xlfn.CHOOSECOLS('Prematch Backend 2A'!403:403,_xlfn.MAKEARRAY(1,A403-2,_xlfn.LAMBDA(_xlpm.r,_xlpm.c,_xlpm.c))))</f>
        <v/>
      </c>
    </row>
    <row r="404" spans="2:2" x14ac:dyDescent="0.2">
      <c r="B404" t="str" cm="1">
        <f t="array" ref="B404">IF(A404="","",_xlfn.CHOOSECOLS('Prematch Backend 2A'!404:404,_xlfn.MAKEARRAY(1,A404-2,_xlfn.LAMBDA(_xlpm.r,_xlpm.c,_xlpm.c))))</f>
        <v/>
      </c>
    </row>
    <row r="405" spans="2:2" x14ac:dyDescent="0.2">
      <c r="B405" t="str" cm="1">
        <f t="array" ref="B405">IF(A405="","",_xlfn.CHOOSECOLS('Prematch Backend 2A'!405:405,_xlfn.MAKEARRAY(1,A405-2,_xlfn.LAMBDA(_xlpm.r,_xlpm.c,_xlpm.c))))</f>
        <v/>
      </c>
    </row>
    <row r="406" spans="2:2" x14ac:dyDescent="0.2">
      <c r="B406" t="str" cm="1">
        <f t="array" ref="B406">IF(A406="","",_xlfn.CHOOSECOLS('Prematch Backend 2A'!406:406,_xlfn.MAKEARRAY(1,A406-2,_xlfn.LAMBDA(_xlpm.r,_xlpm.c,_xlpm.c))))</f>
        <v/>
      </c>
    </row>
    <row r="407" spans="2:2" x14ac:dyDescent="0.2">
      <c r="B407" t="str" cm="1">
        <f t="array" ref="B407">IF(A407="","",_xlfn.CHOOSECOLS('Prematch Backend 2A'!407:407,_xlfn.MAKEARRAY(1,A407-2,_xlfn.LAMBDA(_xlpm.r,_xlpm.c,_xlpm.c))))</f>
        <v/>
      </c>
    </row>
    <row r="408" spans="2:2" x14ac:dyDescent="0.2">
      <c r="B408" t="str" cm="1">
        <f t="array" ref="B408">IF(A408="","",_xlfn.CHOOSECOLS('Prematch Backend 2A'!408:408,_xlfn.MAKEARRAY(1,A408-2,_xlfn.LAMBDA(_xlpm.r,_xlpm.c,_xlpm.c))))</f>
        <v/>
      </c>
    </row>
    <row r="409" spans="2:2" x14ac:dyDescent="0.2">
      <c r="B409" t="str" cm="1">
        <f t="array" ref="B409">IF(A409="","",_xlfn.CHOOSECOLS('Prematch Backend 2A'!409:409,_xlfn.MAKEARRAY(1,A409-2,_xlfn.LAMBDA(_xlpm.r,_xlpm.c,_xlpm.c))))</f>
        <v/>
      </c>
    </row>
    <row r="410" spans="2:2" x14ac:dyDescent="0.2">
      <c r="B410" t="str" cm="1">
        <f t="array" ref="B410">IF(A410="","",_xlfn.CHOOSECOLS('Prematch Backend 2A'!410:410,_xlfn.MAKEARRAY(1,A410-2,_xlfn.LAMBDA(_xlpm.r,_xlpm.c,_xlpm.c))))</f>
        <v/>
      </c>
    </row>
    <row r="411" spans="2:2" x14ac:dyDescent="0.2">
      <c r="B411" t="str" cm="1">
        <f t="array" ref="B411">IF(A411="","",_xlfn.CHOOSECOLS('Prematch Backend 2A'!411:411,_xlfn.MAKEARRAY(1,A411-2,_xlfn.LAMBDA(_xlpm.r,_xlpm.c,_xlpm.c))))</f>
        <v/>
      </c>
    </row>
    <row r="412" spans="2:2" x14ac:dyDescent="0.2">
      <c r="B412" t="str" cm="1">
        <f t="array" ref="B412">IF(A412="","",_xlfn.CHOOSECOLS('Prematch Backend 2A'!412:412,_xlfn.MAKEARRAY(1,A412-2,_xlfn.LAMBDA(_xlpm.r,_xlpm.c,_xlpm.c))))</f>
        <v/>
      </c>
    </row>
    <row r="413" spans="2:2" x14ac:dyDescent="0.2">
      <c r="B413" t="str" cm="1">
        <f t="array" ref="B413">IF(A413="","",_xlfn.CHOOSECOLS('Prematch Backend 2A'!413:413,_xlfn.MAKEARRAY(1,A413-2,_xlfn.LAMBDA(_xlpm.r,_xlpm.c,_xlpm.c))))</f>
        <v/>
      </c>
    </row>
    <row r="414" spans="2:2" x14ac:dyDescent="0.2">
      <c r="B414" t="str" cm="1">
        <f t="array" ref="B414">IF(A414="","",_xlfn.CHOOSECOLS('Prematch Backend 2A'!414:414,_xlfn.MAKEARRAY(1,A414-2,_xlfn.LAMBDA(_xlpm.r,_xlpm.c,_xlpm.c))))</f>
        <v/>
      </c>
    </row>
    <row r="415" spans="2:2" x14ac:dyDescent="0.2">
      <c r="B415" t="str" cm="1">
        <f t="array" ref="B415">IF(A415="","",_xlfn.CHOOSECOLS('Prematch Backend 2A'!415:415,_xlfn.MAKEARRAY(1,A415-2,_xlfn.LAMBDA(_xlpm.r,_xlpm.c,_xlpm.c))))</f>
        <v/>
      </c>
    </row>
    <row r="416" spans="2:2" x14ac:dyDescent="0.2">
      <c r="B416" t="str" cm="1">
        <f t="array" ref="B416">IF(A416="","",_xlfn.CHOOSECOLS('Prematch Backend 2A'!416:416,_xlfn.MAKEARRAY(1,A416-2,_xlfn.LAMBDA(_xlpm.r,_xlpm.c,_xlpm.c))))</f>
        <v/>
      </c>
    </row>
    <row r="417" spans="2:2" x14ac:dyDescent="0.2">
      <c r="B417" t="str" cm="1">
        <f t="array" ref="B417">IF(A417="","",_xlfn.CHOOSECOLS('Prematch Backend 2A'!417:417,_xlfn.MAKEARRAY(1,A417-2,_xlfn.LAMBDA(_xlpm.r,_xlpm.c,_xlpm.c))))</f>
        <v/>
      </c>
    </row>
    <row r="418" spans="2:2" x14ac:dyDescent="0.2">
      <c r="B418" t="str" cm="1">
        <f t="array" ref="B418">IF(A418="","",_xlfn.CHOOSECOLS('Prematch Backend 2A'!418:418,_xlfn.MAKEARRAY(1,A418-2,_xlfn.LAMBDA(_xlpm.r,_xlpm.c,_xlpm.c))))</f>
        <v/>
      </c>
    </row>
    <row r="419" spans="2:2" x14ac:dyDescent="0.2">
      <c r="B419" t="str" cm="1">
        <f t="array" ref="B419">IF(A419="","",_xlfn.CHOOSECOLS('Prematch Backend 2A'!419:419,_xlfn.MAKEARRAY(1,A419-2,_xlfn.LAMBDA(_xlpm.r,_xlpm.c,_xlpm.c))))</f>
        <v/>
      </c>
    </row>
    <row r="420" spans="2:2" x14ac:dyDescent="0.2">
      <c r="B420" t="str" cm="1">
        <f t="array" ref="B420">IF(A420="","",_xlfn.CHOOSECOLS('Prematch Backend 2A'!420:420,_xlfn.MAKEARRAY(1,A420-2,_xlfn.LAMBDA(_xlpm.r,_xlpm.c,_xlpm.c))))</f>
        <v/>
      </c>
    </row>
    <row r="421" spans="2:2" x14ac:dyDescent="0.2">
      <c r="B421" t="str" cm="1">
        <f t="array" ref="B421">IF(A421="","",_xlfn.CHOOSECOLS('Prematch Backend 2A'!421:421,_xlfn.MAKEARRAY(1,A421-2,_xlfn.LAMBDA(_xlpm.r,_xlpm.c,_xlpm.c))))</f>
        <v/>
      </c>
    </row>
    <row r="422" spans="2:2" x14ac:dyDescent="0.2">
      <c r="B422" t="str" cm="1">
        <f t="array" ref="B422">IF(A422="","",_xlfn.CHOOSECOLS('Prematch Backend 2A'!422:422,_xlfn.MAKEARRAY(1,A422-2,_xlfn.LAMBDA(_xlpm.r,_xlpm.c,_xlpm.c))))</f>
        <v/>
      </c>
    </row>
    <row r="423" spans="2:2" x14ac:dyDescent="0.2">
      <c r="B423" t="str" cm="1">
        <f t="array" ref="B423">IF(A423="","",_xlfn.CHOOSECOLS('Prematch Backend 2A'!423:423,_xlfn.MAKEARRAY(1,A423-2,_xlfn.LAMBDA(_xlpm.r,_xlpm.c,_xlpm.c))))</f>
        <v/>
      </c>
    </row>
    <row r="424" spans="2:2" x14ac:dyDescent="0.2">
      <c r="B424" t="str" cm="1">
        <f t="array" ref="B424">IF(A424="","",_xlfn.CHOOSECOLS('Prematch Backend 2A'!424:424,_xlfn.MAKEARRAY(1,A424-2,_xlfn.LAMBDA(_xlpm.r,_xlpm.c,_xlpm.c))))</f>
        <v/>
      </c>
    </row>
    <row r="425" spans="2:2" x14ac:dyDescent="0.2">
      <c r="B425" t="str" cm="1">
        <f t="array" ref="B425">IF(A425="","",_xlfn.CHOOSECOLS('Prematch Backend 2A'!425:425,_xlfn.MAKEARRAY(1,A425-2,_xlfn.LAMBDA(_xlpm.r,_xlpm.c,_xlpm.c))))</f>
        <v/>
      </c>
    </row>
    <row r="426" spans="2:2" x14ac:dyDescent="0.2">
      <c r="B426" t="str" cm="1">
        <f t="array" ref="B426">IF(A426="","",_xlfn.CHOOSECOLS('Prematch Backend 2A'!426:426,_xlfn.MAKEARRAY(1,A426-2,_xlfn.LAMBDA(_xlpm.r,_xlpm.c,_xlpm.c))))</f>
        <v/>
      </c>
    </row>
    <row r="427" spans="2:2" x14ac:dyDescent="0.2">
      <c r="B427" t="str" cm="1">
        <f t="array" ref="B427">IF(A427="","",_xlfn.CHOOSECOLS('Prematch Backend 2A'!427:427,_xlfn.MAKEARRAY(1,A427-2,_xlfn.LAMBDA(_xlpm.r,_xlpm.c,_xlpm.c))))</f>
        <v/>
      </c>
    </row>
    <row r="428" spans="2:2" x14ac:dyDescent="0.2">
      <c r="B428" t="str" cm="1">
        <f t="array" ref="B428">IF(A428="","",_xlfn.CHOOSECOLS('Prematch Backend 2A'!428:428,_xlfn.MAKEARRAY(1,A428-2,_xlfn.LAMBDA(_xlpm.r,_xlpm.c,_xlpm.c))))</f>
        <v/>
      </c>
    </row>
    <row r="429" spans="2:2" x14ac:dyDescent="0.2">
      <c r="B429" t="str" cm="1">
        <f t="array" ref="B429">IF(A429="","",_xlfn.CHOOSECOLS('Prematch Backend 2A'!429:429,_xlfn.MAKEARRAY(1,A429-2,_xlfn.LAMBDA(_xlpm.r,_xlpm.c,_xlpm.c))))</f>
        <v/>
      </c>
    </row>
    <row r="430" spans="2:2" x14ac:dyDescent="0.2">
      <c r="B430" t="str" cm="1">
        <f t="array" ref="B430">IF(A430="","",_xlfn.CHOOSECOLS('Prematch Backend 2A'!430:430,_xlfn.MAKEARRAY(1,A430-2,_xlfn.LAMBDA(_xlpm.r,_xlpm.c,_xlpm.c))))</f>
        <v/>
      </c>
    </row>
    <row r="431" spans="2:2" x14ac:dyDescent="0.2">
      <c r="B431" t="str" cm="1">
        <f t="array" ref="B431">IF(A431="","",_xlfn.CHOOSECOLS('Prematch Backend 2A'!431:431,_xlfn.MAKEARRAY(1,A431-2,_xlfn.LAMBDA(_xlpm.r,_xlpm.c,_xlpm.c))))</f>
        <v/>
      </c>
    </row>
    <row r="432" spans="2:2" x14ac:dyDescent="0.2">
      <c r="B432" t="str" cm="1">
        <f t="array" ref="B432">IF(A432="","",_xlfn.CHOOSECOLS('Prematch Backend 2A'!432:432,_xlfn.MAKEARRAY(1,A432-2,_xlfn.LAMBDA(_xlpm.r,_xlpm.c,_xlpm.c))))</f>
        <v/>
      </c>
    </row>
    <row r="433" spans="2:2" x14ac:dyDescent="0.2">
      <c r="B433" t="str" cm="1">
        <f t="array" ref="B433">IF(A433="","",_xlfn.CHOOSECOLS('Prematch Backend 2A'!433:433,_xlfn.MAKEARRAY(1,A433-2,_xlfn.LAMBDA(_xlpm.r,_xlpm.c,_xlpm.c))))</f>
        <v/>
      </c>
    </row>
    <row r="434" spans="2:2" x14ac:dyDescent="0.2">
      <c r="B434" t="str" cm="1">
        <f t="array" ref="B434">IF(A434="","",_xlfn.CHOOSECOLS('Prematch Backend 2A'!434:434,_xlfn.MAKEARRAY(1,A434-2,_xlfn.LAMBDA(_xlpm.r,_xlpm.c,_xlpm.c))))</f>
        <v/>
      </c>
    </row>
    <row r="435" spans="2:2" x14ac:dyDescent="0.2">
      <c r="B435" t="str" cm="1">
        <f t="array" ref="B435">IF(A435="","",_xlfn.CHOOSECOLS('Prematch Backend 2A'!435:435,_xlfn.MAKEARRAY(1,A435-2,_xlfn.LAMBDA(_xlpm.r,_xlpm.c,_xlpm.c))))</f>
        <v/>
      </c>
    </row>
    <row r="436" spans="2:2" x14ac:dyDescent="0.2">
      <c r="B436" t="str" cm="1">
        <f t="array" ref="B436">IF(A436="","",_xlfn.CHOOSECOLS('Prematch Backend 2A'!436:436,_xlfn.MAKEARRAY(1,A436-2,_xlfn.LAMBDA(_xlpm.r,_xlpm.c,_xlpm.c))))</f>
        <v/>
      </c>
    </row>
    <row r="437" spans="2:2" x14ac:dyDescent="0.2">
      <c r="B437" t="str" cm="1">
        <f t="array" ref="B437">IF(A437="","",_xlfn.CHOOSECOLS('Prematch Backend 2A'!437:437,_xlfn.MAKEARRAY(1,A437-2,_xlfn.LAMBDA(_xlpm.r,_xlpm.c,_xlpm.c))))</f>
        <v/>
      </c>
    </row>
    <row r="438" spans="2:2" x14ac:dyDescent="0.2">
      <c r="B438" t="str" cm="1">
        <f t="array" ref="B438">IF(A438="","",_xlfn.CHOOSECOLS('Prematch Backend 2A'!438:438,_xlfn.MAKEARRAY(1,A438-2,_xlfn.LAMBDA(_xlpm.r,_xlpm.c,_xlpm.c))))</f>
        <v/>
      </c>
    </row>
    <row r="439" spans="2:2" x14ac:dyDescent="0.2">
      <c r="B439" t="str" cm="1">
        <f t="array" ref="B439">IF(A439="","",_xlfn.CHOOSECOLS('Prematch Backend 2A'!439:439,_xlfn.MAKEARRAY(1,A439-2,_xlfn.LAMBDA(_xlpm.r,_xlpm.c,_xlpm.c))))</f>
        <v/>
      </c>
    </row>
    <row r="440" spans="2:2" x14ac:dyDescent="0.2">
      <c r="B440" t="str" cm="1">
        <f t="array" ref="B440">IF(A440="","",_xlfn.CHOOSECOLS('Prematch Backend 2A'!440:440,_xlfn.MAKEARRAY(1,A440-2,_xlfn.LAMBDA(_xlpm.r,_xlpm.c,_xlpm.c))))</f>
        <v/>
      </c>
    </row>
    <row r="441" spans="2:2" x14ac:dyDescent="0.2">
      <c r="B441" t="str" cm="1">
        <f t="array" ref="B441">IF(A441="","",_xlfn.CHOOSECOLS('Prematch Backend 2A'!441:441,_xlfn.MAKEARRAY(1,A441-2,_xlfn.LAMBDA(_xlpm.r,_xlpm.c,_xlpm.c))))</f>
        <v/>
      </c>
    </row>
    <row r="442" spans="2:2" x14ac:dyDescent="0.2">
      <c r="B442" t="str" cm="1">
        <f t="array" ref="B442">IF(A442="","",_xlfn.CHOOSECOLS('Prematch Backend 2A'!442:442,_xlfn.MAKEARRAY(1,A442-2,_xlfn.LAMBDA(_xlpm.r,_xlpm.c,_xlpm.c))))</f>
        <v/>
      </c>
    </row>
    <row r="443" spans="2:2" x14ac:dyDescent="0.2">
      <c r="B443" t="str" cm="1">
        <f t="array" ref="B443">IF(A443="","",_xlfn.CHOOSECOLS('Prematch Backend 2A'!443:443,_xlfn.MAKEARRAY(1,A443-2,_xlfn.LAMBDA(_xlpm.r,_xlpm.c,_xlpm.c))))</f>
        <v/>
      </c>
    </row>
    <row r="444" spans="2:2" x14ac:dyDescent="0.2">
      <c r="B444" t="str" cm="1">
        <f t="array" ref="B444">IF(A444="","",_xlfn.CHOOSECOLS('Prematch Backend 2A'!444:444,_xlfn.MAKEARRAY(1,A444-2,_xlfn.LAMBDA(_xlpm.r,_xlpm.c,_xlpm.c))))</f>
        <v/>
      </c>
    </row>
    <row r="445" spans="2:2" x14ac:dyDescent="0.2">
      <c r="B445" t="str" cm="1">
        <f t="array" ref="B445">IF(A445="","",_xlfn.CHOOSECOLS('Prematch Backend 2A'!445:445,_xlfn.MAKEARRAY(1,A445-2,_xlfn.LAMBDA(_xlpm.r,_xlpm.c,_xlpm.c))))</f>
        <v/>
      </c>
    </row>
    <row r="446" spans="2:2" x14ac:dyDescent="0.2">
      <c r="B446" t="str" cm="1">
        <f t="array" ref="B446">IF(A446="","",_xlfn.CHOOSECOLS('Prematch Backend 2A'!446:446,_xlfn.MAKEARRAY(1,A446-2,_xlfn.LAMBDA(_xlpm.r,_xlpm.c,_xlpm.c))))</f>
        <v/>
      </c>
    </row>
    <row r="447" spans="2:2" x14ac:dyDescent="0.2">
      <c r="B447" t="str" cm="1">
        <f t="array" ref="B447">IF(A447="","",_xlfn.CHOOSECOLS('Prematch Backend 2A'!447:447,_xlfn.MAKEARRAY(1,A447-2,_xlfn.LAMBDA(_xlpm.r,_xlpm.c,_xlpm.c))))</f>
        <v/>
      </c>
    </row>
    <row r="448" spans="2:2" x14ac:dyDescent="0.2">
      <c r="B448" t="str" cm="1">
        <f t="array" ref="B448">IF(A448="","",_xlfn.CHOOSECOLS('Prematch Backend 2A'!448:448,_xlfn.MAKEARRAY(1,A448-2,_xlfn.LAMBDA(_xlpm.r,_xlpm.c,_xlpm.c))))</f>
        <v/>
      </c>
    </row>
    <row r="449" spans="2:2" x14ac:dyDescent="0.2">
      <c r="B449" t="str" cm="1">
        <f t="array" ref="B449">IF(A449="","",_xlfn.CHOOSECOLS('Prematch Backend 2A'!449:449,_xlfn.MAKEARRAY(1,A449-2,_xlfn.LAMBDA(_xlpm.r,_xlpm.c,_xlpm.c))))</f>
        <v/>
      </c>
    </row>
    <row r="450" spans="2:2" x14ac:dyDescent="0.2">
      <c r="B450" t="str" cm="1">
        <f t="array" ref="B450">IF(A450="","",_xlfn.CHOOSECOLS('Prematch Backend 2A'!450:450,_xlfn.MAKEARRAY(1,A450-2,_xlfn.LAMBDA(_xlpm.r,_xlpm.c,_xlpm.c))))</f>
        <v/>
      </c>
    </row>
    <row r="451" spans="2:2" x14ac:dyDescent="0.2">
      <c r="B451" t="str" cm="1">
        <f t="array" ref="B451">IF(A451="","",_xlfn.CHOOSECOLS('Prematch Backend 2A'!451:451,_xlfn.MAKEARRAY(1,A451-2,_xlfn.LAMBDA(_xlpm.r,_xlpm.c,_xlpm.c))))</f>
        <v/>
      </c>
    </row>
    <row r="452" spans="2:2" x14ac:dyDescent="0.2">
      <c r="B452" t="str" cm="1">
        <f t="array" ref="B452">IF(A452="","",_xlfn.CHOOSECOLS('Prematch Backend 2A'!452:452,_xlfn.MAKEARRAY(1,A452-2,_xlfn.LAMBDA(_xlpm.r,_xlpm.c,_xlpm.c))))</f>
        <v/>
      </c>
    </row>
    <row r="453" spans="2:2" x14ac:dyDescent="0.2">
      <c r="B453" t="str" cm="1">
        <f t="array" ref="B453">IF(A453="","",_xlfn.CHOOSECOLS('Prematch Backend 2A'!453:453,_xlfn.MAKEARRAY(1,A453-2,_xlfn.LAMBDA(_xlpm.r,_xlpm.c,_xlpm.c))))</f>
        <v/>
      </c>
    </row>
    <row r="454" spans="2:2" x14ac:dyDescent="0.2">
      <c r="B454" t="str" cm="1">
        <f t="array" ref="B454">IF(A454="","",_xlfn.CHOOSECOLS('Prematch Backend 2A'!454:454,_xlfn.MAKEARRAY(1,A454-2,_xlfn.LAMBDA(_xlpm.r,_xlpm.c,_xlpm.c))))</f>
        <v/>
      </c>
    </row>
    <row r="455" spans="2:2" x14ac:dyDescent="0.2">
      <c r="B455" t="str" cm="1">
        <f t="array" ref="B455">IF(A455="","",_xlfn.CHOOSECOLS('Prematch Backend 2A'!455:455,_xlfn.MAKEARRAY(1,A455-2,_xlfn.LAMBDA(_xlpm.r,_xlpm.c,_xlpm.c))))</f>
        <v/>
      </c>
    </row>
    <row r="456" spans="2:2" x14ac:dyDescent="0.2">
      <c r="B456" t="str" cm="1">
        <f t="array" ref="B456">IF(A456="","",_xlfn.CHOOSECOLS('Prematch Backend 2A'!456:456,_xlfn.MAKEARRAY(1,A456-2,_xlfn.LAMBDA(_xlpm.r,_xlpm.c,_xlpm.c))))</f>
        <v/>
      </c>
    </row>
    <row r="457" spans="2:2" x14ac:dyDescent="0.2">
      <c r="B457" t="str" cm="1">
        <f t="array" ref="B457">IF(A457="","",_xlfn.CHOOSECOLS('Prematch Backend 2A'!457:457,_xlfn.MAKEARRAY(1,A457-2,_xlfn.LAMBDA(_xlpm.r,_xlpm.c,_xlpm.c))))</f>
        <v/>
      </c>
    </row>
    <row r="458" spans="2:2" x14ac:dyDescent="0.2">
      <c r="B458" t="str" cm="1">
        <f t="array" ref="B458">IF(A458="","",_xlfn.CHOOSECOLS('Prematch Backend 2A'!458:458,_xlfn.MAKEARRAY(1,A458-2,_xlfn.LAMBDA(_xlpm.r,_xlpm.c,_xlpm.c))))</f>
        <v/>
      </c>
    </row>
    <row r="459" spans="2:2" x14ac:dyDescent="0.2">
      <c r="B459" t="str" cm="1">
        <f t="array" ref="B459">IF(A459="","",_xlfn.CHOOSECOLS('Prematch Backend 2A'!459:459,_xlfn.MAKEARRAY(1,A459-2,_xlfn.LAMBDA(_xlpm.r,_xlpm.c,_xlpm.c))))</f>
        <v/>
      </c>
    </row>
    <row r="460" spans="2:2" x14ac:dyDescent="0.2">
      <c r="B460" t="str" cm="1">
        <f t="array" ref="B460">IF(A460="","",_xlfn.CHOOSECOLS('Prematch Backend 2A'!460:460,_xlfn.MAKEARRAY(1,A460-2,_xlfn.LAMBDA(_xlpm.r,_xlpm.c,_xlpm.c))))</f>
        <v/>
      </c>
    </row>
    <row r="461" spans="2:2" x14ac:dyDescent="0.2">
      <c r="B461" t="str" cm="1">
        <f t="array" ref="B461">IF(A461="","",_xlfn.CHOOSECOLS('Prematch Backend 2A'!461:461,_xlfn.MAKEARRAY(1,A461-2,_xlfn.LAMBDA(_xlpm.r,_xlpm.c,_xlpm.c))))</f>
        <v/>
      </c>
    </row>
    <row r="462" spans="2:2" x14ac:dyDescent="0.2">
      <c r="B462" t="str" cm="1">
        <f t="array" ref="B462">IF(A462="","",_xlfn.CHOOSECOLS('Prematch Backend 2A'!462:462,_xlfn.MAKEARRAY(1,A462-2,_xlfn.LAMBDA(_xlpm.r,_xlpm.c,_xlpm.c))))</f>
        <v/>
      </c>
    </row>
    <row r="463" spans="2:2" x14ac:dyDescent="0.2">
      <c r="B463" t="str" cm="1">
        <f t="array" ref="B463">IF(A463="","",_xlfn.CHOOSECOLS('Prematch Backend 2A'!463:463,_xlfn.MAKEARRAY(1,A463-2,_xlfn.LAMBDA(_xlpm.r,_xlpm.c,_xlpm.c))))</f>
        <v/>
      </c>
    </row>
    <row r="464" spans="2:2" x14ac:dyDescent="0.2">
      <c r="B464" t="str" cm="1">
        <f t="array" ref="B464">IF(A464="","",_xlfn.CHOOSECOLS('Prematch Backend 2A'!464:464,_xlfn.MAKEARRAY(1,A464-2,_xlfn.LAMBDA(_xlpm.r,_xlpm.c,_xlpm.c))))</f>
        <v/>
      </c>
    </row>
    <row r="465" spans="2:2" x14ac:dyDescent="0.2">
      <c r="B465" t="str" cm="1">
        <f t="array" ref="B465">IF(A465="","",_xlfn.CHOOSECOLS('Prematch Backend 2A'!465:465,_xlfn.MAKEARRAY(1,A465-2,_xlfn.LAMBDA(_xlpm.r,_xlpm.c,_xlpm.c))))</f>
        <v/>
      </c>
    </row>
    <row r="466" spans="2:2" x14ac:dyDescent="0.2">
      <c r="B466" t="str" cm="1">
        <f t="array" ref="B466">IF(A466="","",_xlfn.CHOOSECOLS('Prematch Backend 2A'!466:466,_xlfn.MAKEARRAY(1,A466-2,_xlfn.LAMBDA(_xlpm.r,_xlpm.c,_xlpm.c))))</f>
        <v/>
      </c>
    </row>
    <row r="467" spans="2:2" x14ac:dyDescent="0.2">
      <c r="B467" t="str" cm="1">
        <f t="array" ref="B467">IF(A467="","",_xlfn.CHOOSECOLS('Prematch Backend 2A'!467:467,_xlfn.MAKEARRAY(1,A467-2,_xlfn.LAMBDA(_xlpm.r,_xlpm.c,_xlpm.c))))</f>
        <v/>
      </c>
    </row>
    <row r="468" spans="2:2" x14ac:dyDescent="0.2">
      <c r="B468" t="str" cm="1">
        <f t="array" ref="B468">IF(A468="","",_xlfn.CHOOSECOLS('Prematch Backend 2A'!468:468,_xlfn.MAKEARRAY(1,A468-2,_xlfn.LAMBDA(_xlpm.r,_xlpm.c,_xlpm.c))))</f>
        <v/>
      </c>
    </row>
    <row r="469" spans="2:2" x14ac:dyDescent="0.2">
      <c r="B469" t="str" cm="1">
        <f t="array" ref="B469">IF(A469="","",_xlfn.CHOOSECOLS('Prematch Backend 2A'!469:469,_xlfn.MAKEARRAY(1,A469-2,_xlfn.LAMBDA(_xlpm.r,_xlpm.c,_xlpm.c))))</f>
        <v/>
      </c>
    </row>
    <row r="470" spans="2:2" x14ac:dyDescent="0.2">
      <c r="B470" t="str" cm="1">
        <f t="array" ref="B470">IF(A470="","",_xlfn.CHOOSECOLS('Prematch Backend 2A'!470:470,_xlfn.MAKEARRAY(1,A470-2,_xlfn.LAMBDA(_xlpm.r,_xlpm.c,_xlpm.c))))</f>
        <v/>
      </c>
    </row>
    <row r="471" spans="2:2" x14ac:dyDescent="0.2">
      <c r="B471" t="str" cm="1">
        <f t="array" ref="B471">IF(A471="","",_xlfn.CHOOSECOLS('Prematch Backend 2A'!471:471,_xlfn.MAKEARRAY(1,A471-2,_xlfn.LAMBDA(_xlpm.r,_xlpm.c,_xlpm.c))))</f>
        <v/>
      </c>
    </row>
    <row r="472" spans="2:2" x14ac:dyDescent="0.2">
      <c r="B472" t="str" cm="1">
        <f t="array" ref="B472">IF(A472="","",_xlfn.CHOOSECOLS('Prematch Backend 2A'!472:472,_xlfn.MAKEARRAY(1,A472-2,_xlfn.LAMBDA(_xlpm.r,_xlpm.c,_xlpm.c))))</f>
        <v/>
      </c>
    </row>
    <row r="473" spans="2:2" x14ac:dyDescent="0.2">
      <c r="B473" t="str" cm="1">
        <f t="array" ref="B473">IF(A473="","",_xlfn.CHOOSECOLS('Prematch Backend 2A'!473:473,_xlfn.MAKEARRAY(1,A473-2,_xlfn.LAMBDA(_xlpm.r,_xlpm.c,_xlpm.c))))</f>
        <v/>
      </c>
    </row>
    <row r="474" spans="2:2" x14ac:dyDescent="0.2">
      <c r="B474" t="str" cm="1">
        <f t="array" ref="B474">IF(A474="","",_xlfn.CHOOSECOLS('Prematch Backend 2A'!474:474,_xlfn.MAKEARRAY(1,A474-2,_xlfn.LAMBDA(_xlpm.r,_xlpm.c,_xlpm.c))))</f>
        <v/>
      </c>
    </row>
    <row r="475" spans="2:2" x14ac:dyDescent="0.2">
      <c r="B475" t="str" cm="1">
        <f t="array" ref="B475">IF(A475="","",_xlfn.CHOOSECOLS('Prematch Backend 2A'!475:475,_xlfn.MAKEARRAY(1,A475-2,_xlfn.LAMBDA(_xlpm.r,_xlpm.c,_xlpm.c))))</f>
        <v/>
      </c>
    </row>
    <row r="476" spans="2:2" x14ac:dyDescent="0.2">
      <c r="B476" t="str" cm="1">
        <f t="array" ref="B476">IF(A476="","",_xlfn.CHOOSECOLS('Prematch Backend 2A'!476:476,_xlfn.MAKEARRAY(1,A476-2,_xlfn.LAMBDA(_xlpm.r,_xlpm.c,_xlpm.c))))</f>
        <v/>
      </c>
    </row>
    <row r="477" spans="2:2" x14ac:dyDescent="0.2">
      <c r="B477" t="str" cm="1">
        <f t="array" ref="B477">IF(A477="","",_xlfn.CHOOSECOLS('Prematch Backend 2A'!477:477,_xlfn.MAKEARRAY(1,A477-2,_xlfn.LAMBDA(_xlpm.r,_xlpm.c,_xlpm.c))))</f>
        <v/>
      </c>
    </row>
    <row r="478" spans="2:2" x14ac:dyDescent="0.2">
      <c r="B478" t="str" cm="1">
        <f t="array" ref="B478">IF(A478="","",_xlfn.CHOOSECOLS('Prematch Backend 2A'!478:478,_xlfn.MAKEARRAY(1,A478-2,_xlfn.LAMBDA(_xlpm.r,_xlpm.c,_xlpm.c))))</f>
        <v/>
      </c>
    </row>
    <row r="479" spans="2:2" x14ac:dyDescent="0.2">
      <c r="B479" t="str" cm="1">
        <f t="array" ref="B479">IF(A479="","",_xlfn.CHOOSECOLS('Prematch Backend 2A'!479:479,_xlfn.MAKEARRAY(1,A479-2,_xlfn.LAMBDA(_xlpm.r,_xlpm.c,_xlpm.c))))</f>
        <v/>
      </c>
    </row>
    <row r="480" spans="2:2" x14ac:dyDescent="0.2">
      <c r="B480" t="str" cm="1">
        <f t="array" ref="B480">IF(A480="","",_xlfn.CHOOSECOLS('Prematch Backend 2A'!480:480,_xlfn.MAKEARRAY(1,A480-2,_xlfn.LAMBDA(_xlpm.r,_xlpm.c,_xlpm.c))))</f>
        <v/>
      </c>
    </row>
    <row r="481" spans="2:2" x14ac:dyDescent="0.2">
      <c r="B481" t="str" cm="1">
        <f t="array" ref="B481">IF(A481="","",_xlfn.CHOOSECOLS('Prematch Backend 2A'!481:481,_xlfn.MAKEARRAY(1,A481-2,_xlfn.LAMBDA(_xlpm.r,_xlpm.c,_xlpm.c))))</f>
        <v/>
      </c>
    </row>
    <row r="482" spans="2:2" x14ac:dyDescent="0.2">
      <c r="B482" t="str" cm="1">
        <f t="array" ref="B482">IF(A482="","",_xlfn.CHOOSECOLS('Prematch Backend 2A'!482:482,_xlfn.MAKEARRAY(1,A482-2,_xlfn.LAMBDA(_xlpm.r,_xlpm.c,_xlpm.c))))</f>
        <v/>
      </c>
    </row>
    <row r="483" spans="2:2" x14ac:dyDescent="0.2">
      <c r="B483" t="str" cm="1">
        <f t="array" ref="B483">IF(A483="","",_xlfn.CHOOSECOLS('Prematch Backend 2A'!483:483,_xlfn.MAKEARRAY(1,A483-2,_xlfn.LAMBDA(_xlpm.r,_xlpm.c,_xlpm.c))))</f>
        <v/>
      </c>
    </row>
    <row r="484" spans="2:2" x14ac:dyDescent="0.2">
      <c r="B484" t="str" cm="1">
        <f t="array" ref="B484">IF(A484="","",_xlfn.CHOOSECOLS('Prematch Backend 2A'!484:484,_xlfn.MAKEARRAY(1,A484-2,_xlfn.LAMBDA(_xlpm.r,_xlpm.c,_xlpm.c))))</f>
        <v/>
      </c>
    </row>
    <row r="485" spans="2:2" x14ac:dyDescent="0.2">
      <c r="B485" t="str" cm="1">
        <f t="array" ref="B485">IF(A485="","",_xlfn.CHOOSECOLS('Prematch Backend 2A'!485:485,_xlfn.MAKEARRAY(1,A485-2,_xlfn.LAMBDA(_xlpm.r,_xlpm.c,_xlpm.c))))</f>
        <v/>
      </c>
    </row>
    <row r="486" spans="2:2" x14ac:dyDescent="0.2">
      <c r="B486" t="str" cm="1">
        <f t="array" ref="B486">IF(A486="","",_xlfn.CHOOSECOLS('Prematch Backend 2A'!486:486,_xlfn.MAKEARRAY(1,A486-2,_xlfn.LAMBDA(_xlpm.r,_xlpm.c,_xlpm.c))))</f>
        <v/>
      </c>
    </row>
    <row r="487" spans="2:2" x14ac:dyDescent="0.2">
      <c r="B487" t="str" cm="1">
        <f t="array" ref="B487">IF(A487="","",_xlfn.CHOOSECOLS('Prematch Backend 2A'!487:487,_xlfn.MAKEARRAY(1,A487-2,_xlfn.LAMBDA(_xlpm.r,_xlpm.c,_xlpm.c))))</f>
        <v/>
      </c>
    </row>
    <row r="488" spans="2:2" x14ac:dyDescent="0.2">
      <c r="B488" t="str" cm="1">
        <f t="array" ref="B488">IF(A488="","",_xlfn.CHOOSECOLS('Prematch Backend 2A'!488:488,_xlfn.MAKEARRAY(1,A488-2,_xlfn.LAMBDA(_xlpm.r,_xlpm.c,_xlpm.c))))</f>
        <v/>
      </c>
    </row>
    <row r="489" spans="2:2" x14ac:dyDescent="0.2">
      <c r="B489" t="str" cm="1">
        <f t="array" ref="B489">IF(A489="","",_xlfn.CHOOSECOLS('Prematch Backend 2A'!489:489,_xlfn.MAKEARRAY(1,A489-2,_xlfn.LAMBDA(_xlpm.r,_xlpm.c,_xlpm.c))))</f>
        <v/>
      </c>
    </row>
    <row r="490" spans="2:2" x14ac:dyDescent="0.2">
      <c r="B490" t="str" cm="1">
        <f t="array" ref="B490">IF(A490="","",_xlfn.CHOOSECOLS('Prematch Backend 2A'!490:490,_xlfn.MAKEARRAY(1,A490-2,_xlfn.LAMBDA(_xlpm.r,_xlpm.c,_xlpm.c))))</f>
        <v/>
      </c>
    </row>
    <row r="491" spans="2:2" x14ac:dyDescent="0.2">
      <c r="B491" t="str" cm="1">
        <f t="array" ref="B491">IF(A491="","",_xlfn.CHOOSECOLS('Prematch Backend 2A'!491:491,_xlfn.MAKEARRAY(1,A491-2,_xlfn.LAMBDA(_xlpm.r,_xlpm.c,_xlpm.c))))</f>
        <v/>
      </c>
    </row>
    <row r="492" spans="2:2" x14ac:dyDescent="0.2">
      <c r="B492" t="str" cm="1">
        <f t="array" ref="B492">IF(A492="","",_xlfn.CHOOSECOLS('Prematch Backend 2A'!492:492,_xlfn.MAKEARRAY(1,A492-2,_xlfn.LAMBDA(_xlpm.r,_xlpm.c,_xlpm.c))))</f>
        <v/>
      </c>
    </row>
    <row r="493" spans="2:2" x14ac:dyDescent="0.2">
      <c r="B493" t="str" cm="1">
        <f t="array" ref="B493">IF(A493="","",_xlfn.CHOOSECOLS('Prematch Backend 2A'!493:493,_xlfn.MAKEARRAY(1,A493-2,_xlfn.LAMBDA(_xlpm.r,_xlpm.c,_xlpm.c))))</f>
        <v/>
      </c>
    </row>
    <row r="494" spans="2:2" x14ac:dyDescent="0.2">
      <c r="B494" t="str" cm="1">
        <f t="array" ref="B494">IF(A494="","",_xlfn.CHOOSECOLS('Prematch Backend 2A'!494:494,_xlfn.MAKEARRAY(1,A494-2,_xlfn.LAMBDA(_xlpm.r,_xlpm.c,_xlpm.c))))</f>
        <v/>
      </c>
    </row>
    <row r="495" spans="2:2" x14ac:dyDescent="0.2">
      <c r="B495" t="str" cm="1">
        <f t="array" ref="B495">IF(A495="","",_xlfn.CHOOSECOLS('Prematch Backend 2A'!495:495,_xlfn.MAKEARRAY(1,A495-2,_xlfn.LAMBDA(_xlpm.r,_xlpm.c,_xlpm.c))))</f>
        <v/>
      </c>
    </row>
    <row r="496" spans="2:2" x14ac:dyDescent="0.2">
      <c r="B496" t="str" cm="1">
        <f t="array" ref="B496">IF(A496="","",_xlfn.CHOOSECOLS('Prematch Backend 2A'!496:496,_xlfn.MAKEARRAY(1,A496-2,_xlfn.LAMBDA(_xlpm.r,_xlpm.c,_xlpm.c))))</f>
        <v/>
      </c>
    </row>
    <row r="497" spans="2:2" x14ac:dyDescent="0.2">
      <c r="B497" t="str" cm="1">
        <f t="array" ref="B497">IF(A497="","",_xlfn.CHOOSECOLS('Prematch Backend 2A'!497:497,_xlfn.MAKEARRAY(1,A497-2,_xlfn.LAMBDA(_xlpm.r,_xlpm.c,_xlpm.c))))</f>
        <v/>
      </c>
    </row>
    <row r="498" spans="2:2" x14ac:dyDescent="0.2">
      <c r="B498" t="str" cm="1">
        <f t="array" ref="B498">IF(A498="","",_xlfn.CHOOSECOLS('Prematch Backend 2A'!498:498,_xlfn.MAKEARRAY(1,A498-2,_xlfn.LAMBDA(_xlpm.r,_xlpm.c,_xlpm.c))))</f>
        <v/>
      </c>
    </row>
    <row r="499" spans="2:2" x14ac:dyDescent="0.2">
      <c r="B499" t="str" cm="1">
        <f t="array" ref="B499">IF(A499="","",_xlfn.CHOOSECOLS('Prematch Backend 2A'!499:499,_xlfn.MAKEARRAY(1,A499-2,_xlfn.LAMBDA(_xlpm.r,_xlpm.c,_xlpm.c))))</f>
        <v/>
      </c>
    </row>
    <row r="500" spans="2:2" x14ac:dyDescent="0.2">
      <c r="B500" t="str" cm="1">
        <f t="array" ref="B500">IF(A500="","",_xlfn.CHOOSECOLS('Prematch Backend 2A'!500:500,_xlfn.MAKEARRAY(1,A500-2,_xlfn.LAMBDA(_xlpm.r,_xlpm.c,_xlpm.c))))</f>
        <v/>
      </c>
    </row>
    <row r="501" spans="2:2" x14ac:dyDescent="0.2">
      <c r="B501" t="str" cm="1">
        <f t="array" ref="B501">IF(A501="","",_xlfn.CHOOSECOLS('Prematch Backend 2A'!501:501,_xlfn.MAKEARRAY(1,A501-2,_xlfn.LAMBDA(_xlpm.r,_xlpm.c,_xlpm.c))))</f>
        <v/>
      </c>
    </row>
    <row r="502" spans="2:2" x14ac:dyDescent="0.2">
      <c r="B502" t="str" cm="1">
        <f t="array" ref="B502">IF(A502="","",_xlfn.CHOOSECOLS('Prematch Backend 2A'!502:502,_xlfn.MAKEARRAY(1,A502-2,_xlfn.LAMBDA(_xlpm.r,_xlpm.c,_xlpm.c))))</f>
        <v/>
      </c>
    </row>
    <row r="503" spans="2:2" x14ac:dyDescent="0.2">
      <c r="B503" t="str" cm="1">
        <f t="array" ref="B503">IF(A503="","",_xlfn.CHOOSECOLS('Prematch Backend 2A'!503:503,_xlfn.MAKEARRAY(1,A503-2,_xlfn.LAMBDA(_xlpm.r,_xlpm.c,_xlpm.c))))</f>
        <v/>
      </c>
    </row>
    <row r="504" spans="2:2" x14ac:dyDescent="0.2">
      <c r="B504" t="str" cm="1">
        <f t="array" ref="B504">IF(A504="","",_xlfn.CHOOSECOLS('Prematch Backend 2A'!504:504,_xlfn.MAKEARRAY(1,A504-2,_xlfn.LAMBDA(_xlpm.r,_xlpm.c,_xlpm.c))))</f>
        <v/>
      </c>
    </row>
    <row r="505" spans="2:2" x14ac:dyDescent="0.2">
      <c r="B505" t="str" cm="1">
        <f t="array" ref="B505">IF(A505="","",_xlfn.CHOOSECOLS('Prematch Backend 2A'!505:505,_xlfn.MAKEARRAY(1,A505-2,_xlfn.LAMBDA(_xlpm.r,_xlpm.c,_xlpm.c))))</f>
        <v/>
      </c>
    </row>
    <row r="506" spans="2:2" x14ac:dyDescent="0.2">
      <c r="B506" t="str" cm="1">
        <f t="array" ref="B506">IF(A506="","",_xlfn.CHOOSECOLS('Prematch Backend 2A'!506:506,_xlfn.MAKEARRAY(1,A506-2,_xlfn.LAMBDA(_xlpm.r,_xlpm.c,_xlpm.c))))</f>
        <v/>
      </c>
    </row>
    <row r="507" spans="2:2" x14ac:dyDescent="0.2">
      <c r="B507" t="str" cm="1">
        <f t="array" ref="B507">IF(A507="","",_xlfn.CHOOSECOLS('Prematch Backend 2A'!507:507,_xlfn.MAKEARRAY(1,A507-2,_xlfn.LAMBDA(_xlpm.r,_xlpm.c,_xlpm.c))))</f>
        <v/>
      </c>
    </row>
    <row r="508" spans="2:2" x14ac:dyDescent="0.2">
      <c r="B508" t="str" cm="1">
        <f t="array" ref="B508">IF(A508="","",_xlfn.CHOOSECOLS('Prematch Backend 2A'!508:508,_xlfn.MAKEARRAY(1,A508-2,_xlfn.LAMBDA(_xlpm.r,_xlpm.c,_xlpm.c))))</f>
        <v/>
      </c>
    </row>
    <row r="509" spans="2:2" x14ac:dyDescent="0.2">
      <c r="B509" t="str" cm="1">
        <f t="array" ref="B509">IF(A509="","",_xlfn.CHOOSECOLS('Prematch Backend 2A'!509:509,_xlfn.MAKEARRAY(1,A509-2,_xlfn.LAMBDA(_xlpm.r,_xlpm.c,_xlpm.c))))</f>
        <v/>
      </c>
    </row>
    <row r="510" spans="2:2" x14ac:dyDescent="0.2">
      <c r="B510" t="str" cm="1">
        <f t="array" ref="B510">IF(A510="","",_xlfn.CHOOSECOLS('Prematch Backend 2A'!510:510,_xlfn.MAKEARRAY(1,A510-2,_xlfn.LAMBDA(_xlpm.r,_xlpm.c,_xlpm.c))))</f>
        <v/>
      </c>
    </row>
    <row r="511" spans="2:2" x14ac:dyDescent="0.2">
      <c r="B511" t="str" cm="1">
        <f t="array" ref="B511">IF(A511="","",_xlfn.CHOOSECOLS('Prematch Backend 2A'!511:511,_xlfn.MAKEARRAY(1,A511-2,_xlfn.LAMBDA(_xlpm.r,_xlpm.c,_xlpm.c))))</f>
        <v/>
      </c>
    </row>
    <row r="512" spans="2:2" x14ac:dyDescent="0.2">
      <c r="B512" t="str" cm="1">
        <f t="array" ref="B512">IF(A512="","",_xlfn.CHOOSECOLS('Prematch Backend 2A'!512:512,_xlfn.MAKEARRAY(1,A512-2,_xlfn.LAMBDA(_xlpm.r,_xlpm.c,_xlpm.c))))</f>
        <v/>
      </c>
    </row>
    <row r="513" spans="2:2" x14ac:dyDescent="0.2">
      <c r="B513" t="str" cm="1">
        <f t="array" ref="B513">IF(A513="","",_xlfn.CHOOSECOLS('Prematch Backend 2A'!513:513,_xlfn.MAKEARRAY(1,A513-2,_xlfn.LAMBDA(_xlpm.r,_xlpm.c,_xlpm.c))))</f>
        <v/>
      </c>
    </row>
    <row r="514" spans="2:2" x14ac:dyDescent="0.2">
      <c r="B514" t="str" cm="1">
        <f t="array" ref="B514">IF(A514="","",_xlfn.CHOOSECOLS('Prematch Backend 2A'!514:514,_xlfn.MAKEARRAY(1,A514-2,_xlfn.LAMBDA(_xlpm.r,_xlpm.c,_xlpm.c))))</f>
        <v/>
      </c>
    </row>
    <row r="515" spans="2:2" x14ac:dyDescent="0.2">
      <c r="B515" t="str" cm="1">
        <f t="array" ref="B515">IF(A515="","",_xlfn.CHOOSECOLS('Prematch Backend 2A'!515:515,_xlfn.MAKEARRAY(1,A515-2,_xlfn.LAMBDA(_xlpm.r,_xlpm.c,_xlpm.c))))</f>
        <v/>
      </c>
    </row>
    <row r="516" spans="2:2" x14ac:dyDescent="0.2">
      <c r="B516" t="str" cm="1">
        <f t="array" ref="B516">IF(A516="","",_xlfn.CHOOSECOLS('Prematch Backend 2A'!516:516,_xlfn.MAKEARRAY(1,A516-2,_xlfn.LAMBDA(_xlpm.r,_xlpm.c,_xlpm.c))))</f>
        <v/>
      </c>
    </row>
    <row r="517" spans="2:2" x14ac:dyDescent="0.2">
      <c r="B517" t="str" cm="1">
        <f t="array" ref="B517">IF(A517="","",_xlfn.CHOOSECOLS('Prematch Backend 2A'!517:517,_xlfn.MAKEARRAY(1,A517-2,_xlfn.LAMBDA(_xlpm.r,_xlpm.c,_xlpm.c))))</f>
        <v/>
      </c>
    </row>
    <row r="518" spans="2:2" x14ac:dyDescent="0.2">
      <c r="B518" t="str" cm="1">
        <f t="array" ref="B518">IF(A518="","",_xlfn.CHOOSECOLS('Prematch Backend 2A'!518:518,_xlfn.MAKEARRAY(1,A518-2,_xlfn.LAMBDA(_xlpm.r,_xlpm.c,_xlpm.c))))</f>
        <v/>
      </c>
    </row>
    <row r="519" spans="2:2" x14ac:dyDescent="0.2">
      <c r="B519" t="str" cm="1">
        <f t="array" ref="B519">IF(A519="","",_xlfn.CHOOSECOLS('Prematch Backend 2A'!519:519,_xlfn.MAKEARRAY(1,A519-2,_xlfn.LAMBDA(_xlpm.r,_xlpm.c,_xlpm.c))))</f>
        <v/>
      </c>
    </row>
    <row r="520" spans="2:2" x14ac:dyDescent="0.2">
      <c r="B520" t="str" cm="1">
        <f t="array" ref="B520">IF(A520="","",_xlfn.CHOOSECOLS('Prematch Backend 2A'!520:520,_xlfn.MAKEARRAY(1,A520-2,_xlfn.LAMBDA(_xlpm.r,_xlpm.c,_xlpm.c))))</f>
        <v/>
      </c>
    </row>
    <row r="521" spans="2:2" x14ac:dyDescent="0.2">
      <c r="B521" t="str" cm="1">
        <f t="array" ref="B521">IF(A521="","",_xlfn.CHOOSECOLS('Prematch Backend 2A'!521:521,_xlfn.MAKEARRAY(1,A521-2,_xlfn.LAMBDA(_xlpm.r,_xlpm.c,_xlpm.c))))</f>
        <v/>
      </c>
    </row>
    <row r="522" spans="2:2" x14ac:dyDescent="0.2">
      <c r="B522" t="str" cm="1">
        <f t="array" ref="B522">IF(A522="","",_xlfn.CHOOSECOLS('Prematch Backend 2A'!522:522,_xlfn.MAKEARRAY(1,A522-2,_xlfn.LAMBDA(_xlpm.r,_xlpm.c,_xlpm.c))))</f>
        <v/>
      </c>
    </row>
    <row r="523" spans="2:2" x14ac:dyDescent="0.2">
      <c r="B523" t="str" cm="1">
        <f t="array" ref="B523">IF(A523="","",_xlfn.CHOOSECOLS('Prematch Backend 2A'!523:523,_xlfn.MAKEARRAY(1,A523-2,_xlfn.LAMBDA(_xlpm.r,_xlpm.c,_xlpm.c))))</f>
        <v/>
      </c>
    </row>
    <row r="524" spans="2:2" x14ac:dyDescent="0.2">
      <c r="B524" t="str" cm="1">
        <f t="array" ref="B524">IF(A524="","",_xlfn.CHOOSECOLS('Prematch Backend 2A'!524:524,_xlfn.MAKEARRAY(1,A524-2,_xlfn.LAMBDA(_xlpm.r,_xlpm.c,_xlpm.c))))</f>
        <v/>
      </c>
    </row>
    <row r="525" spans="2:2" x14ac:dyDescent="0.2">
      <c r="B525" t="str" cm="1">
        <f t="array" ref="B525">IF(A525="","",_xlfn.CHOOSECOLS('Prematch Backend 2A'!525:525,_xlfn.MAKEARRAY(1,A525-2,_xlfn.LAMBDA(_xlpm.r,_xlpm.c,_xlpm.c))))</f>
        <v/>
      </c>
    </row>
    <row r="526" spans="2:2" x14ac:dyDescent="0.2">
      <c r="B526" t="str" cm="1">
        <f t="array" ref="B526">IF(A526="","",_xlfn.CHOOSECOLS('Prematch Backend 2A'!526:526,_xlfn.MAKEARRAY(1,A526-2,_xlfn.LAMBDA(_xlpm.r,_xlpm.c,_xlpm.c))))</f>
        <v/>
      </c>
    </row>
    <row r="527" spans="2:2" x14ac:dyDescent="0.2">
      <c r="B527" t="str" cm="1">
        <f t="array" ref="B527">IF(A527="","",_xlfn.CHOOSECOLS('Prematch Backend 2A'!527:527,_xlfn.MAKEARRAY(1,A527-2,_xlfn.LAMBDA(_xlpm.r,_xlpm.c,_xlpm.c))))</f>
        <v/>
      </c>
    </row>
    <row r="528" spans="2:2" x14ac:dyDescent="0.2">
      <c r="B528" t="str" cm="1">
        <f t="array" ref="B528">IF(A528="","",_xlfn.CHOOSECOLS('Prematch Backend 2A'!528:528,_xlfn.MAKEARRAY(1,A528-2,_xlfn.LAMBDA(_xlpm.r,_xlpm.c,_xlpm.c))))</f>
        <v/>
      </c>
    </row>
    <row r="529" spans="2:2" x14ac:dyDescent="0.2">
      <c r="B529" t="str" cm="1">
        <f t="array" ref="B529">IF(A529="","",_xlfn.CHOOSECOLS('Prematch Backend 2A'!529:529,_xlfn.MAKEARRAY(1,A529-2,_xlfn.LAMBDA(_xlpm.r,_xlpm.c,_xlpm.c))))</f>
        <v/>
      </c>
    </row>
    <row r="530" spans="2:2" x14ac:dyDescent="0.2">
      <c r="B530" t="str" cm="1">
        <f t="array" ref="B530">IF(A530="","",_xlfn.CHOOSECOLS('Prematch Backend 2A'!530:530,_xlfn.MAKEARRAY(1,A530-2,_xlfn.LAMBDA(_xlpm.r,_xlpm.c,_xlpm.c))))</f>
        <v/>
      </c>
    </row>
    <row r="531" spans="2:2" x14ac:dyDescent="0.2">
      <c r="B531" t="str" cm="1">
        <f t="array" ref="B531">IF(A531="","",_xlfn.CHOOSECOLS('Prematch Backend 2A'!531:531,_xlfn.MAKEARRAY(1,A531-2,_xlfn.LAMBDA(_xlpm.r,_xlpm.c,_xlpm.c))))</f>
        <v/>
      </c>
    </row>
    <row r="532" spans="2:2" x14ac:dyDescent="0.2">
      <c r="B532" t="str" cm="1">
        <f t="array" ref="B532">IF(A532="","",_xlfn.CHOOSECOLS('Prematch Backend 2A'!532:532,_xlfn.MAKEARRAY(1,A532-2,_xlfn.LAMBDA(_xlpm.r,_xlpm.c,_xlpm.c))))</f>
        <v/>
      </c>
    </row>
    <row r="533" spans="2:2" x14ac:dyDescent="0.2">
      <c r="B533" t="str" cm="1">
        <f t="array" ref="B533">IF(A533="","",_xlfn.CHOOSECOLS('Prematch Backend 2A'!533:533,_xlfn.MAKEARRAY(1,A533-2,_xlfn.LAMBDA(_xlpm.r,_xlpm.c,_xlpm.c))))</f>
        <v/>
      </c>
    </row>
    <row r="534" spans="2:2" x14ac:dyDescent="0.2">
      <c r="B534" t="str" cm="1">
        <f t="array" ref="B534">IF(A534="","",_xlfn.CHOOSECOLS('Prematch Backend 2A'!534:534,_xlfn.MAKEARRAY(1,A534-2,_xlfn.LAMBDA(_xlpm.r,_xlpm.c,_xlpm.c))))</f>
        <v/>
      </c>
    </row>
    <row r="535" spans="2:2" x14ac:dyDescent="0.2">
      <c r="B535" t="str" cm="1">
        <f t="array" ref="B535">IF(A535="","",_xlfn.CHOOSECOLS('Prematch Backend 2A'!535:535,_xlfn.MAKEARRAY(1,A535-2,_xlfn.LAMBDA(_xlpm.r,_xlpm.c,_xlpm.c))))</f>
        <v/>
      </c>
    </row>
    <row r="536" spans="2:2" x14ac:dyDescent="0.2">
      <c r="B536" t="str" cm="1">
        <f t="array" ref="B536">IF(A536="","",_xlfn.CHOOSECOLS('Prematch Backend 2A'!536:536,_xlfn.MAKEARRAY(1,A536-2,_xlfn.LAMBDA(_xlpm.r,_xlpm.c,_xlpm.c))))</f>
        <v/>
      </c>
    </row>
    <row r="537" spans="2:2" x14ac:dyDescent="0.2">
      <c r="B537" t="str" cm="1">
        <f t="array" ref="B537">IF(A537="","",_xlfn.CHOOSECOLS('Prematch Backend 2A'!537:537,_xlfn.MAKEARRAY(1,A537-2,_xlfn.LAMBDA(_xlpm.r,_xlpm.c,_xlpm.c))))</f>
        <v/>
      </c>
    </row>
    <row r="538" spans="2:2" x14ac:dyDescent="0.2">
      <c r="B538" t="str" cm="1">
        <f t="array" ref="B538">IF(A538="","",_xlfn.CHOOSECOLS('Prematch Backend 2A'!538:538,_xlfn.MAKEARRAY(1,A538-2,_xlfn.LAMBDA(_xlpm.r,_xlpm.c,_xlpm.c))))</f>
        <v/>
      </c>
    </row>
    <row r="539" spans="2:2" x14ac:dyDescent="0.2">
      <c r="B539" t="str" cm="1">
        <f t="array" ref="B539">IF(A539="","",_xlfn.CHOOSECOLS('Prematch Backend 2A'!539:539,_xlfn.MAKEARRAY(1,A539-2,_xlfn.LAMBDA(_xlpm.r,_xlpm.c,_xlpm.c))))</f>
        <v/>
      </c>
    </row>
    <row r="540" spans="2:2" x14ac:dyDescent="0.2">
      <c r="B540" t="str" cm="1">
        <f t="array" ref="B540">IF(A540="","",_xlfn.CHOOSECOLS('Prematch Backend 2A'!540:540,_xlfn.MAKEARRAY(1,A540-2,_xlfn.LAMBDA(_xlpm.r,_xlpm.c,_xlpm.c))))</f>
        <v/>
      </c>
    </row>
    <row r="541" spans="2:2" x14ac:dyDescent="0.2">
      <c r="B541" t="str" cm="1">
        <f t="array" ref="B541">IF(A541="","",_xlfn.CHOOSECOLS('Prematch Backend 2A'!541:541,_xlfn.MAKEARRAY(1,A541-2,_xlfn.LAMBDA(_xlpm.r,_xlpm.c,_xlpm.c))))</f>
        <v/>
      </c>
    </row>
    <row r="542" spans="2:2" x14ac:dyDescent="0.2">
      <c r="B542" t="str" cm="1">
        <f t="array" ref="B542">IF(A542="","",_xlfn.CHOOSECOLS('Prematch Backend 2A'!542:542,_xlfn.MAKEARRAY(1,A542-2,_xlfn.LAMBDA(_xlpm.r,_xlpm.c,_xlpm.c))))</f>
        <v/>
      </c>
    </row>
    <row r="543" spans="2:2" x14ac:dyDescent="0.2">
      <c r="B543" t="str" cm="1">
        <f t="array" ref="B543">IF(A543="","",_xlfn.CHOOSECOLS('Prematch Backend 2A'!543:543,_xlfn.MAKEARRAY(1,A543-2,_xlfn.LAMBDA(_xlpm.r,_xlpm.c,_xlpm.c))))</f>
        <v/>
      </c>
    </row>
    <row r="544" spans="2:2" x14ac:dyDescent="0.2">
      <c r="B544" t="str" cm="1">
        <f t="array" ref="B544">IF(A544="","",_xlfn.CHOOSECOLS('Prematch Backend 2A'!544:544,_xlfn.MAKEARRAY(1,A544-2,_xlfn.LAMBDA(_xlpm.r,_xlpm.c,_xlpm.c))))</f>
        <v/>
      </c>
    </row>
    <row r="545" spans="2:2" x14ac:dyDescent="0.2">
      <c r="B545" t="str" cm="1">
        <f t="array" ref="B545">IF(A545="","",_xlfn.CHOOSECOLS('Prematch Backend 2A'!545:545,_xlfn.MAKEARRAY(1,A545-2,_xlfn.LAMBDA(_xlpm.r,_xlpm.c,_xlpm.c))))</f>
        <v/>
      </c>
    </row>
    <row r="546" spans="2:2" x14ac:dyDescent="0.2">
      <c r="B546" t="str" cm="1">
        <f t="array" ref="B546">IF(A546="","",_xlfn.CHOOSECOLS('Prematch Backend 2A'!546:546,_xlfn.MAKEARRAY(1,A546-2,_xlfn.LAMBDA(_xlpm.r,_xlpm.c,_xlpm.c))))</f>
        <v/>
      </c>
    </row>
    <row r="547" spans="2:2" x14ac:dyDescent="0.2">
      <c r="B547" t="str" cm="1">
        <f t="array" ref="B547">IF(A547="","",_xlfn.CHOOSECOLS('Prematch Backend 2A'!547:547,_xlfn.MAKEARRAY(1,A547-2,_xlfn.LAMBDA(_xlpm.r,_xlpm.c,_xlpm.c))))</f>
        <v/>
      </c>
    </row>
    <row r="548" spans="2:2" x14ac:dyDescent="0.2">
      <c r="B548" t="str" cm="1">
        <f t="array" ref="B548">IF(A548="","",_xlfn.CHOOSECOLS('Prematch Backend 2A'!548:548,_xlfn.MAKEARRAY(1,A548-2,_xlfn.LAMBDA(_xlpm.r,_xlpm.c,_xlpm.c))))</f>
        <v/>
      </c>
    </row>
    <row r="549" spans="2:2" x14ac:dyDescent="0.2">
      <c r="B549" t="str" cm="1">
        <f t="array" ref="B549">IF(A549="","",_xlfn.CHOOSECOLS('Prematch Backend 2A'!549:549,_xlfn.MAKEARRAY(1,A549-2,_xlfn.LAMBDA(_xlpm.r,_xlpm.c,_xlpm.c))))</f>
        <v/>
      </c>
    </row>
    <row r="550" spans="2:2" x14ac:dyDescent="0.2">
      <c r="B550" t="str" cm="1">
        <f t="array" ref="B550">IF(A550="","",_xlfn.CHOOSECOLS('Prematch Backend 2A'!550:550,_xlfn.MAKEARRAY(1,A550-2,_xlfn.LAMBDA(_xlpm.r,_xlpm.c,_xlpm.c))))</f>
        <v/>
      </c>
    </row>
    <row r="551" spans="2:2" x14ac:dyDescent="0.2">
      <c r="B551" t="str" cm="1">
        <f t="array" ref="B551">IF(A551="","",_xlfn.CHOOSECOLS('Prematch Backend 2A'!551:551,_xlfn.MAKEARRAY(1,A551-2,_xlfn.LAMBDA(_xlpm.r,_xlpm.c,_xlpm.c))))</f>
        <v/>
      </c>
    </row>
    <row r="552" spans="2:2" x14ac:dyDescent="0.2">
      <c r="B552" t="str" cm="1">
        <f t="array" ref="B552">IF(A552="","",_xlfn.CHOOSECOLS('Prematch Backend 2A'!552:552,_xlfn.MAKEARRAY(1,A552-2,_xlfn.LAMBDA(_xlpm.r,_xlpm.c,_xlpm.c))))</f>
        <v/>
      </c>
    </row>
    <row r="553" spans="2:2" x14ac:dyDescent="0.2">
      <c r="B553" t="str" cm="1">
        <f t="array" ref="B553">IF(A553="","",_xlfn.CHOOSECOLS('Prematch Backend 2A'!553:553,_xlfn.MAKEARRAY(1,A553-2,_xlfn.LAMBDA(_xlpm.r,_xlpm.c,_xlpm.c))))</f>
        <v/>
      </c>
    </row>
    <row r="554" spans="2:2" x14ac:dyDescent="0.2">
      <c r="B554" t="str" cm="1">
        <f t="array" ref="B554">IF(A554="","",_xlfn.CHOOSECOLS('Prematch Backend 2A'!554:554,_xlfn.MAKEARRAY(1,A554-2,_xlfn.LAMBDA(_xlpm.r,_xlpm.c,_xlpm.c))))</f>
        <v/>
      </c>
    </row>
    <row r="555" spans="2:2" x14ac:dyDescent="0.2">
      <c r="B555" t="str" cm="1">
        <f t="array" ref="B555">IF(A555="","",_xlfn.CHOOSECOLS('Prematch Backend 2A'!555:555,_xlfn.MAKEARRAY(1,A555-2,_xlfn.LAMBDA(_xlpm.r,_xlpm.c,_xlpm.c))))</f>
        <v/>
      </c>
    </row>
    <row r="556" spans="2:2" x14ac:dyDescent="0.2">
      <c r="B556" t="str" cm="1">
        <f t="array" ref="B556">IF(A556="","",_xlfn.CHOOSECOLS('Prematch Backend 2A'!556:556,_xlfn.MAKEARRAY(1,A556-2,_xlfn.LAMBDA(_xlpm.r,_xlpm.c,_xlpm.c))))</f>
        <v/>
      </c>
    </row>
    <row r="557" spans="2:2" x14ac:dyDescent="0.2">
      <c r="B557" t="str" cm="1">
        <f t="array" ref="B557">IF(A557="","",_xlfn.CHOOSECOLS('Prematch Backend 2A'!557:557,_xlfn.MAKEARRAY(1,A557-2,_xlfn.LAMBDA(_xlpm.r,_xlpm.c,_xlpm.c))))</f>
        <v/>
      </c>
    </row>
    <row r="558" spans="2:2" x14ac:dyDescent="0.2">
      <c r="B558" t="str" cm="1">
        <f t="array" ref="B558">IF(A558="","",_xlfn.CHOOSECOLS('Prematch Backend 2A'!558:558,_xlfn.MAKEARRAY(1,A558-2,_xlfn.LAMBDA(_xlpm.r,_xlpm.c,_xlpm.c))))</f>
        <v/>
      </c>
    </row>
    <row r="559" spans="2:2" x14ac:dyDescent="0.2">
      <c r="B559" t="str" cm="1">
        <f t="array" ref="B559">IF(A559="","",_xlfn.CHOOSECOLS('Prematch Backend 2A'!559:559,_xlfn.MAKEARRAY(1,A559-2,_xlfn.LAMBDA(_xlpm.r,_xlpm.c,_xlpm.c))))</f>
        <v/>
      </c>
    </row>
    <row r="560" spans="2:2" x14ac:dyDescent="0.2">
      <c r="B560" t="str" cm="1">
        <f t="array" ref="B560">IF(A560="","",_xlfn.CHOOSECOLS('Prematch Backend 2A'!560:560,_xlfn.MAKEARRAY(1,A560-2,_xlfn.LAMBDA(_xlpm.r,_xlpm.c,_xlpm.c))))</f>
        <v/>
      </c>
    </row>
    <row r="561" spans="2:2" x14ac:dyDescent="0.2">
      <c r="B561" t="str" cm="1">
        <f t="array" ref="B561">IF(A561="","",_xlfn.CHOOSECOLS('Prematch Backend 2A'!561:561,_xlfn.MAKEARRAY(1,A561-2,_xlfn.LAMBDA(_xlpm.r,_xlpm.c,_xlpm.c))))</f>
        <v/>
      </c>
    </row>
    <row r="562" spans="2:2" x14ac:dyDescent="0.2">
      <c r="B562" t="str" cm="1">
        <f t="array" ref="B562">IF(A562="","",_xlfn.CHOOSECOLS('Prematch Backend 2A'!562:562,_xlfn.MAKEARRAY(1,A562-2,_xlfn.LAMBDA(_xlpm.r,_xlpm.c,_xlpm.c))))</f>
        <v/>
      </c>
    </row>
    <row r="563" spans="2:2" x14ac:dyDescent="0.2">
      <c r="B563" t="str" cm="1">
        <f t="array" ref="B563">IF(A563="","",_xlfn.CHOOSECOLS('Prematch Backend 2A'!563:563,_xlfn.MAKEARRAY(1,A563-2,_xlfn.LAMBDA(_xlpm.r,_xlpm.c,_xlpm.c))))</f>
        <v/>
      </c>
    </row>
    <row r="564" spans="2:2" x14ac:dyDescent="0.2">
      <c r="B564" t="str" cm="1">
        <f t="array" ref="B564">IF(A564="","",_xlfn.CHOOSECOLS('Prematch Backend 2A'!564:564,_xlfn.MAKEARRAY(1,A564-2,_xlfn.LAMBDA(_xlpm.r,_xlpm.c,_xlpm.c))))</f>
        <v/>
      </c>
    </row>
    <row r="565" spans="2:2" x14ac:dyDescent="0.2">
      <c r="B565" t="str" cm="1">
        <f t="array" ref="B565">IF(A565="","",_xlfn.CHOOSECOLS('Prematch Backend 2A'!565:565,_xlfn.MAKEARRAY(1,A565-2,_xlfn.LAMBDA(_xlpm.r,_xlpm.c,_xlpm.c))))</f>
        <v/>
      </c>
    </row>
    <row r="566" spans="2:2" x14ac:dyDescent="0.2">
      <c r="B566" t="str" cm="1">
        <f t="array" ref="B566">IF(A566="","",_xlfn.CHOOSECOLS('Prematch Backend 2A'!566:566,_xlfn.MAKEARRAY(1,A566-2,_xlfn.LAMBDA(_xlpm.r,_xlpm.c,_xlpm.c))))</f>
        <v/>
      </c>
    </row>
    <row r="567" spans="2:2" x14ac:dyDescent="0.2">
      <c r="B567" t="str" cm="1">
        <f t="array" ref="B567">IF(A567="","",_xlfn.CHOOSECOLS('Prematch Backend 2A'!567:567,_xlfn.MAKEARRAY(1,A567-2,_xlfn.LAMBDA(_xlpm.r,_xlpm.c,_xlpm.c))))</f>
        <v/>
      </c>
    </row>
    <row r="568" spans="2:2" x14ac:dyDescent="0.2">
      <c r="B568" t="str" cm="1">
        <f t="array" ref="B568">IF(A568="","",_xlfn.CHOOSECOLS('Prematch Backend 2A'!568:568,_xlfn.MAKEARRAY(1,A568-2,_xlfn.LAMBDA(_xlpm.r,_xlpm.c,_xlpm.c))))</f>
        <v/>
      </c>
    </row>
    <row r="569" spans="2:2" x14ac:dyDescent="0.2">
      <c r="B569" t="str" cm="1">
        <f t="array" ref="B569">IF(A569="","",_xlfn.CHOOSECOLS('Prematch Backend 2A'!569:569,_xlfn.MAKEARRAY(1,A569-2,_xlfn.LAMBDA(_xlpm.r,_xlpm.c,_xlpm.c))))</f>
        <v/>
      </c>
    </row>
    <row r="570" spans="2:2" x14ac:dyDescent="0.2">
      <c r="B570" t="str" cm="1">
        <f t="array" ref="B570">IF(A570="","",_xlfn.CHOOSECOLS('Prematch Backend 2A'!570:570,_xlfn.MAKEARRAY(1,A570-2,_xlfn.LAMBDA(_xlpm.r,_xlpm.c,_xlpm.c))))</f>
        <v/>
      </c>
    </row>
    <row r="571" spans="2:2" x14ac:dyDescent="0.2">
      <c r="B571" t="str" cm="1">
        <f t="array" ref="B571">IF(A571="","",_xlfn.CHOOSECOLS('Prematch Backend 2A'!571:571,_xlfn.MAKEARRAY(1,A571-2,_xlfn.LAMBDA(_xlpm.r,_xlpm.c,_xlpm.c))))</f>
        <v/>
      </c>
    </row>
    <row r="572" spans="2:2" x14ac:dyDescent="0.2">
      <c r="B572" t="str" cm="1">
        <f t="array" ref="B572">IF(A572="","",_xlfn.CHOOSECOLS('Prematch Backend 2A'!572:572,_xlfn.MAKEARRAY(1,A572-2,_xlfn.LAMBDA(_xlpm.r,_xlpm.c,_xlpm.c))))</f>
        <v/>
      </c>
    </row>
    <row r="573" spans="2:2" x14ac:dyDescent="0.2">
      <c r="B573" t="str" cm="1">
        <f t="array" ref="B573">IF(A573="","",_xlfn.CHOOSECOLS('Prematch Backend 2A'!573:573,_xlfn.MAKEARRAY(1,A573-2,_xlfn.LAMBDA(_xlpm.r,_xlpm.c,_xlpm.c))))</f>
        <v/>
      </c>
    </row>
    <row r="574" spans="2:2" x14ac:dyDescent="0.2">
      <c r="B574" t="str" cm="1">
        <f t="array" ref="B574">IF(A574="","",_xlfn.CHOOSECOLS('Prematch Backend 2A'!574:574,_xlfn.MAKEARRAY(1,A574-2,_xlfn.LAMBDA(_xlpm.r,_xlpm.c,_xlpm.c))))</f>
        <v/>
      </c>
    </row>
    <row r="575" spans="2:2" x14ac:dyDescent="0.2">
      <c r="B575" t="str" cm="1">
        <f t="array" ref="B575">IF(A575="","",_xlfn.CHOOSECOLS('Prematch Backend 2A'!575:575,_xlfn.MAKEARRAY(1,A575-2,_xlfn.LAMBDA(_xlpm.r,_xlpm.c,_xlpm.c))))</f>
        <v/>
      </c>
    </row>
    <row r="576" spans="2:2" x14ac:dyDescent="0.2">
      <c r="B576" t="str" cm="1">
        <f t="array" ref="B576">IF(A576="","",_xlfn.CHOOSECOLS('Prematch Backend 2A'!576:576,_xlfn.MAKEARRAY(1,A576-2,_xlfn.LAMBDA(_xlpm.r,_xlpm.c,_xlpm.c))))</f>
        <v/>
      </c>
    </row>
    <row r="577" spans="2:2" x14ac:dyDescent="0.2">
      <c r="B577" t="str" cm="1">
        <f t="array" ref="B577">IF(A577="","",_xlfn.CHOOSECOLS('Prematch Backend 2A'!577:577,_xlfn.MAKEARRAY(1,A577-2,_xlfn.LAMBDA(_xlpm.r,_xlpm.c,_xlpm.c))))</f>
        <v/>
      </c>
    </row>
    <row r="578" spans="2:2" x14ac:dyDescent="0.2">
      <c r="B578" t="str" cm="1">
        <f t="array" ref="B578">IF(A578="","",_xlfn.CHOOSECOLS('Prematch Backend 2A'!578:578,_xlfn.MAKEARRAY(1,A578-2,_xlfn.LAMBDA(_xlpm.r,_xlpm.c,_xlpm.c))))</f>
        <v/>
      </c>
    </row>
    <row r="579" spans="2:2" x14ac:dyDescent="0.2">
      <c r="B579" t="str" cm="1">
        <f t="array" ref="B579">IF(A579="","",_xlfn.CHOOSECOLS('Prematch Backend 2A'!579:579,_xlfn.MAKEARRAY(1,A579-2,_xlfn.LAMBDA(_xlpm.r,_xlpm.c,_xlpm.c))))</f>
        <v/>
      </c>
    </row>
    <row r="580" spans="2:2" x14ac:dyDescent="0.2">
      <c r="B580" t="str" cm="1">
        <f t="array" ref="B580">IF(A580="","",_xlfn.CHOOSECOLS('Prematch Backend 2A'!580:580,_xlfn.MAKEARRAY(1,A580-2,_xlfn.LAMBDA(_xlpm.r,_xlpm.c,_xlpm.c))))</f>
        <v/>
      </c>
    </row>
    <row r="581" spans="2:2" x14ac:dyDescent="0.2">
      <c r="B581" t="str" cm="1">
        <f t="array" ref="B581">IF(A581="","",_xlfn.CHOOSECOLS('Prematch Backend 2A'!581:581,_xlfn.MAKEARRAY(1,A581-2,_xlfn.LAMBDA(_xlpm.r,_xlpm.c,_xlpm.c))))</f>
        <v/>
      </c>
    </row>
    <row r="582" spans="2:2" x14ac:dyDescent="0.2">
      <c r="B582" t="str" cm="1">
        <f t="array" ref="B582">IF(A582="","",_xlfn.CHOOSECOLS('Prematch Backend 2A'!582:582,_xlfn.MAKEARRAY(1,A582-2,_xlfn.LAMBDA(_xlpm.r,_xlpm.c,_xlpm.c))))</f>
        <v/>
      </c>
    </row>
    <row r="583" spans="2:2" x14ac:dyDescent="0.2">
      <c r="B583" t="str" cm="1">
        <f t="array" ref="B583">IF(A583="","",_xlfn.CHOOSECOLS('Prematch Backend 2A'!583:583,_xlfn.MAKEARRAY(1,A583-2,_xlfn.LAMBDA(_xlpm.r,_xlpm.c,_xlpm.c))))</f>
        <v/>
      </c>
    </row>
    <row r="584" spans="2:2" x14ac:dyDescent="0.2">
      <c r="B584" t="str" cm="1">
        <f t="array" ref="B584">IF(A584="","",_xlfn.CHOOSECOLS('Prematch Backend 2A'!584:584,_xlfn.MAKEARRAY(1,A584-2,_xlfn.LAMBDA(_xlpm.r,_xlpm.c,_xlpm.c))))</f>
        <v/>
      </c>
    </row>
    <row r="585" spans="2:2" x14ac:dyDescent="0.2">
      <c r="B585" t="str" cm="1">
        <f t="array" ref="B585">IF(A585="","",_xlfn.CHOOSECOLS('Prematch Backend 2A'!585:585,_xlfn.MAKEARRAY(1,A585-2,_xlfn.LAMBDA(_xlpm.r,_xlpm.c,_xlpm.c))))</f>
        <v/>
      </c>
    </row>
    <row r="586" spans="2:2" x14ac:dyDescent="0.2">
      <c r="B586" t="str" cm="1">
        <f t="array" ref="B586">IF(A586="","",_xlfn.CHOOSECOLS('Prematch Backend 2A'!586:586,_xlfn.MAKEARRAY(1,A586-2,_xlfn.LAMBDA(_xlpm.r,_xlpm.c,_xlpm.c))))</f>
        <v/>
      </c>
    </row>
    <row r="587" spans="2:2" x14ac:dyDescent="0.2">
      <c r="B587" t="str" cm="1">
        <f t="array" ref="B587">IF(A587="","",_xlfn.CHOOSECOLS('Prematch Backend 2A'!587:587,_xlfn.MAKEARRAY(1,A587-2,_xlfn.LAMBDA(_xlpm.r,_xlpm.c,_xlpm.c))))</f>
        <v/>
      </c>
    </row>
    <row r="588" spans="2:2" x14ac:dyDescent="0.2">
      <c r="B588" t="str" cm="1">
        <f t="array" ref="B588">IF(A588="","",_xlfn.CHOOSECOLS('Prematch Backend 2A'!588:588,_xlfn.MAKEARRAY(1,A588-2,_xlfn.LAMBDA(_xlpm.r,_xlpm.c,_xlpm.c))))</f>
        <v/>
      </c>
    </row>
    <row r="589" spans="2:2" x14ac:dyDescent="0.2">
      <c r="B589" t="str" cm="1">
        <f t="array" ref="B589">IF(A589="","",_xlfn.CHOOSECOLS('Prematch Backend 2A'!589:589,_xlfn.MAKEARRAY(1,A589-2,_xlfn.LAMBDA(_xlpm.r,_xlpm.c,_xlpm.c))))</f>
        <v/>
      </c>
    </row>
    <row r="590" spans="2:2" x14ac:dyDescent="0.2">
      <c r="B590" t="str" cm="1">
        <f t="array" ref="B590">IF(A590="","",_xlfn.CHOOSECOLS('Prematch Backend 2A'!590:590,_xlfn.MAKEARRAY(1,A590-2,_xlfn.LAMBDA(_xlpm.r,_xlpm.c,_xlpm.c))))</f>
        <v/>
      </c>
    </row>
    <row r="591" spans="2:2" x14ac:dyDescent="0.2">
      <c r="B591" t="str" cm="1">
        <f t="array" ref="B591">IF(A591="","",_xlfn.CHOOSECOLS('Prematch Backend 2A'!591:591,_xlfn.MAKEARRAY(1,A591-2,_xlfn.LAMBDA(_xlpm.r,_xlpm.c,_xlpm.c))))</f>
        <v/>
      </c>
    </row>
    <row r="592" spans="2:2" x14ac:dyDescent="0.2">
      <c r="B592" t="str" cm="1">
        <f t="array" ref="B592">IF(A592="","",_xlfn.CHOOSECOLS('Prematch Backend 2A'!592:592,_xlfn.MAKEARRAY(1,A592-2,_xlfn.LAMBDA(_xlpm.r,_xlpm.c,_xlpm.c))))</f>
        <v/>
      </c>
    </row>
    <row r="593" spans="2:2" x14ac:dyDescent="0.2">
      <c r="B593" t="str" cm="1">
        <f t="array" ref="B593">IF(A593="","",_xlfn.CHOOSECOLS('Prematch Backend 2A'!593:593,_xlfn.MAKEARRAY(1,A593-2,_xlfn.LAMBDA(_xlpm.r,_xlpm.c,_xlpm.c))))</f>
        <v/>
      </c>
    </row>
    <row r="594" spans="2:2" x14ac:dyDescent="0.2">
      <c r="B594" t="str" cm="1">
        <f t="array" ref="B594">IF(A594="","",_xlfn.CHOOSECOLS('Prematch Backend 2A'!594:594,_xlfn.MAKEARRAY(1,A594-2,_xlfn.LAMBDA(_xlpm.r,_xlpm.c,_xlpm.c))))</f>
        <v/>
      </c>
    </row>
    <row r="595" spans="2:2" x14ac:dyDescent="0.2">
      <c r="B595" t="str" cm="1">
        <f t="array" ref="B595">IF(A595="","",_xlfn.CHOOSECOLS('Prematch Backend 2A'!595:595,_xlfn.MAKEARRAY(1,A595-2,_xlfn.LAMBDA(_xlpm.r,_xlpm.c,_xlpm.c))))</f>
        <v/>
      </c>
    </row>
    <row r="596" spans="2:2" x14ac:dyDescent="0.2">
      <c r="B596" t="str" cm="1">
        <f t="array" ref="B596">IF(A596="","",_xlfn.CHOOSECOLS('Prematch Backend 2A'!596:596,_xlfn.MAKEARRAY(1,A596-2,_xlfn.LAMBDA(_xlpm.r,_xlpm.c,_xlpm.c))))</f>
        <v/>
      </c>
    </row>
    <row r="597" spans="2:2" x14ac:dyDescent="0.2">
      <c r="B597" t="str" cm="1">
        <f t="array" ref="B597">IF(A597="","",_xlfn.CHOOSECOLS('Prematch Backend 2A'!597:597,_xlfn.MAKEARRAY(1,A597-2,_xlfn.LAMBDA(_xlpm.r,_xlpm.c,_xlpm.c))))</f>
        <v/>
      </c>
    </row>
    <row r="598" spans="2:2" x14ac:dyDescent="0.2">
      <c r="B598" t="str" cm="1">
        <f t="array" ref="B598">IF(A598="","",_xlfn.CHOOSECOLS('Prematch Backend 2A'!598:598,_xlfn.MAKEARRAY(1,A598-2,_xlfn.LAMBDA(_xlpm.r,_xlpm.c,_xlpm.c))))</f>
        <v/>
      </c>
    </row>
    <row r="599" spans="2:2" x14ac:dyDescent="0.2">
      <c r="B599" t="str" cm="1">
        <f t="array" ref="B599">IF(A599="","",_xlfn.CHOOSECOLS('Prematch Backend 2A'!599:599,_xlfn.MAKEARRAY(1,A599-2,_xlfn.LAMBDA(_xlpm.r,_xlpm.c,_xlpm.c))))</f>
        <v/>
      </c>
    </row>
    <row r="600" spans="2:2" x14ac:dyDescent="0.2">
      <c r="B600" t="str" cm="1">
        <f t="array" ref="B600">IF(A600="","",_xlfn.CHOOSECOLS('Prematch Backend 2A'!600:600,_xlfn.MAKEARRAY(1,A600-2,_xlfn.LAMBDA(_xlpm.r,_xlpm.c,_xlpm.c))))</f>
        <v/>
      </c>
    </row>
    <row r="601" spans="2:2" x14ac:dyDescent="0.2">
      <c r="B601" t="str" cm="1">
        <f t="array" ref="B601">IF(A601="","",_xlfn.CHOOSECOLS('Prematch Backend 2A'!601:601,_xlfn.MAKEARRAY(1,A601-2,_xlfn.LAMBDA(_xlpm.r,_xlpm.c,_xlpm.c))))</f>
        <v/>
      </c>
    </row>
    <row r="602" spans="2:2" x14ac:dyDescent="0.2">
      <c r="B602" t="str" cm="1">
        <f t="array" ref="B602">IF(A602="","",_xlfn.CHOOSECOLS('Prematch Backend 2A'!602:602,_xlfn.MAKEARRAY(1,A602-2,_xlfn.LAMBDA(_xlpm.r,_xlpm.c,_xlpm.c))))</f>
        <v/>
      </c>
    </row>
    <row r="603" spans="2:2" x14ac:dyDescent="0.2">
      <c r="B603" t="str" cm="1">
        <f t="array" ref="B603">IF(A603="","",_xlfn.CHOOSECOLS('Prematch Backend 2A'!603:603,_xlfn.MAKEARRAY(1,A603-2,_xlfn.LAMBDA(_xlpm.r,_xlpm.c,_xlpm.c))))</f>
        <v/>
      </c>
    </row>
    <row r="604" spans="2:2" x14ac:dyDescent="0.2">
      <c r="B604" t="str" cm="1">
        <f t="array" ref="B604">IF(A604="","",_xlfn.CHOOSECOLS('Prematch Backend 2A'!604:604,_xlfn.MAKEARRAY(1,A604-2,_xlfn.LAMBDA(_xlpm.r,_xlpm.c,_xlpm.c))))</f>
        <v/>
      </c>
    </row>
    <row r="605" spans="2:2" x14ac:dyDescent="0.2">
      <c r="B605" t="str" cm="1">
        <f t="array" ref="B605">IF(A605="","",_xlfn.CHOOSECOLS('Prematch Backend 2A'!605:605,_xlfn.MAKEARRAY(1,A605-2,_xlfn.LAMBDA(_xlpm.r,_xlpm.c,_xlpm.c))))</f>
        <v/>
      </c>
    </row>
    <row r="606" spans="2:2" x14ac:dyDescent="0.2">
      <c r="B606" t="str" cm="1">
        <f t="array" ref="B606">IF(A606="","",_xlfn.CHOOSECOLS('Prematch Backend 2A'!606:606,_xlfn.MAKEARRAY(1,A606-2,_xlfn.LAMBDA(_xlpm.r,_xlpm.c,_xlpm.c))))</f>
        <v/>
      </c>
    </row>
    <row r="607" spans="2:2" x14ac:dyDescent="0.2">
      <c r="B607" t="str" cm="1">
        <f t="array" ref="B607">IF(A607="","",_xlfn.CHOOSECOLS('Prematch Backend 2A'!607:607,_xlfn.MAKEARRAY(1,A607-2,_xlfn.LAMBDA(_xlpm.r,_xlpm.c,_xlpm.c))))</f>
        <v/>
      </c>
    </row>
    <row r="608" spans="2:2" x14ac:dyDescent="0.2">
      <c r="B608" t="str" cm="1">
        <f t="array" ref="B608">IF(A608="","",_xlfn.CHOOSECOLS('Prematch Backend 2A'!608:608,_xlfn.MAKEARRAY(1,A608-2,_xlfn.LAMBDA(_xlpm.r,_xlpm.c,_xlpm.c))))</f>
        <v/>
      </c>
    </row>
    <row r="609" spans="2:2" x14ac:dyDescent="0.2">
      <c r="B609" t="str" cm="1">
        <f t="array" ref="B609">IF(A609="","",_xlfn.CHOOSECOLS('Prematch Backend 2A'!609:609,_xlfn.MAKEARRAY(1,A609-2,_xlfn.LAMBDA(_xlpm.r,_xlpm.c,_xlpm.c))))</f>
        <v/>
      </c>
    </row>
    <row r="610" spans="2:2" x14ac:dyDescent="0.2">
      <c r="B610" t="str" cm="1">
        <f t="array" ref="B610">IF(A610="","",_xlfn.CHOOSECOLS('Prematch Backend 2A'!610:610,_xlfn.MAKEARRAY(1,A610-2,_xlfn.LAMBDA(_xlpm.r,_xlpm.c,_xlpm.c))))</f>
        <v/>
      </c>
    </row>
    <row r="611" spans="2:2" x14ac:dyDescent="0.2">
      <c r="B611" t="str" cm="1">
        <f t="array" ref="B611">IF(A611="","",_xlfn.CHOOSECOLS('Prematch Backend 2A'!611:611,_xlfn.MAKEARRAY(1,A611-2,_xlfn.LAMBDA(_xlpm.r,_xlpm.c,_xlpm.c))))</f>
        <v/>
      </c>
    </row>
    <row r="612" spans="2:2" x14ac:dyDescent="0.2">
      <c r="B612" t="str" cm="1">
        <f t="array" ref="B612">IF(A612="","",_xlfn.CHOOSECOLS('Prematch Backend 2A'!612:612,_xlfn.MAKEARRAY(1,A612-2,_xlfn.LAMBDA(_xlpm.r,_xlpm.c,_xlpm.c))))</f>
        <v/>
      </c>
    </row>
    <row r="613" spans="2:2" x14ac:dyDescent="0.2">
      <c r="B613" t="str" cm="1">
        <f t="array" ref="B613">IF(A613="","",_xlfn.CHOOSECOLS('Prematch Backend 2A'!613:613,_xlfn.MAKEARRAY(1,A613-2,_xlfn.LAMBDA(_xlpm.r,_xlpm.c,_xlpm.c))))</f>
        <v/>
      </c>
    </row>
    <row r="614" spans="2:2" x14ac:dyDescent="0.2">
      <c r="B614" t="str" cm="1">
        <f t="array" ref="B614">IF(A614="","",_xlfn.CHOOSECOLS('Prematch Backend 2A'!614:614,_xlfn.MAKEARRAY(1,A614-2,_xlfn.LAMBDA(_xlpm.r,_xlpm.c,_xlpm.c))))</f>
        <v/>
      </c>
    </row>
    <row r="615" spans="2:2" x14ac:dyDescent="0.2">
      <c r="B615" t="str" cm="1">
        <f t="array" ref="B615">IF(A615="","",_xlfn.CHOOSECOLS('Prematch Backend 2A'!615:615,_xlfn.MAKEARRAY(1,A615-2,_xlfn.LAMBDA(_xlpm.r,_xlpm.c,_xlpm.c))))</f>
        <v/>
      </c>
    </row>
    <row r="616" spans="2:2" x14ac:dyDescent="0.2">
      <c r="B616" t="str" cm="1">
        <f t="array" ref="B616">IF(A616="","",_xlfn.CHOOSECOLS('Prematch Backend 2A'!616:616,_xlfn.MAKEARRAY(1,A616-2,_xlfn.LAMBDA(_xlpm.r,_xlpm.c,_xlpm.c))))</f>
        <v/>
      </c>
    </row>
    <row r="617" spans="2:2" x14ac:dyDescent="0.2">
      <c r="B617" t="str" cm="1">
        <f t="array" ref="B617">IF(A617="","",_xlfn.CHOOSECOLS('Prematch Backend 2A'!617:617,_xlfn.MAKEARRAY(1,A617-2,_xlfn.LAMBDA(_xlpm.r,_xlpm.c,_xlpm.c))))</f>
        <v/>
      </c>
    </row>
    <row r="618" spans="2:2" x14ac:dyDescent="0.2">
      <c r="B618" t="str" cm="1">
        <f t="array" ref="B618">IF(A618="","",_xlfn.CHOOSECOLS('Prematch Backend 2A'!618:618,_xlfn.MAKEARRAY(1,A618-2,_xlfn.LAMBDA(_xlpm.r,_xlpm.c,_xlpm.c))))</f>
        <v/>
      </c>
    </row>
    <row r="619" spans="2:2" x14ac:dyDescent="0.2">
      <c r="B619" t="str" cm="1">
        <f t="array" ref="B619">IF(A619="","",_xlfn.CHOOSECOLS('Prematch Backend 2A'!619:619,_xlfn.MAKEARRAY(1,A619-2,_xlfn.LAMBDA(_xlpm.r,_xlpm.c,_xlpm.c))))</f>
        <v/>
      </c>
    </row>
    <row r="620" spans="2:2" x14ac:dyDescent="0.2">
      <c r="B620" t="str" cm="1">
        <f t="array" ref="B620">IF(A620="","",_xlfn.CHOOSECOLS('Prematch Backend 2A'!620:620,_xlfn.MAKEARRAY(1,A620-2,_xlfn.LAMBDA(_xlpm.r,_xlpm.c,_xlpm.c))))</f>
        <v/>
      </c>
    </row>
    <row r="621" spans="2:2" x14ac:dyDescent="0.2">
      <c r="B621" t="str" cm="1">
        <f t="array" ref="B621">IF(A621="","",_xlfn.CHOOSECOLS('Prematch Backend 2A'!621:621,_xlfn.MAKEARRAY(1,A621-2,_xlfn.LAMBDA(_xlpm.r,_xlpm.c,_xlpm.c))))</f>
        <v/>
      </c>
    </row>
    <row r="622" spans="2:2" x14ac:dyDescent="0.2">
      <c r="B622" t="str" cm="1">
        <f t="array" ref="B622">IF(A622="","",_xlfn.CHOOSECOLS('Prematch Backend 2A'!622:622,_xlfn.MAKEARRAY(1,A622-2,_xlfn.LAMBDA(_xlpm.r,_xlpm.c,_xlpm.c))))</f>
        <v/>
      </c>
    </row>
    <row r="623" spans="2:2" x14ac:dyDescent="0.2">
      <c r="B623" t="str" cm="1">
        <f t="array" ref="B623">IF(A623="","",_xlfn.CHOOSECOLS('Prematch Backend 2A'!623:623,_xlfn.MAKEARRAY(1,A623-2,_xlfn.LAMBDA(_xlpm.r,_xlpm.c,_xlpm.c))))</f>
        <v/>
      </c>
    </row>
    <row r="624" spans="2:2" x14ac:dyDescent="0.2">
      <c r="B624" t="str" cm="1">
        <f t="array" ref="B624">IF(A624="","",_xlfn.CHOOSECOLS('Prematch Backend 2A'!624:624,_xlfn.MAKEARRAY(1,A624-2,_xlfn.LAMBDA(_xlpm.r,_xlpm.c,_xlpm.c))))</f>
        <v/>
      </c>
    </row>
    <row r="625" spans="2:2" x14ac:dyDescent="0.2">
      <c r="B625" t="str" cm="1">
        <f t="array" ref="B625">IF(A625="","",_xlfn.CHOOSECOLS('Prematch Backend 2A'!625:625,_xlfn.MAKEARRAY(1,A625-2,_xlfn.LAMBDA(_xlpm.r,_xlpm.c,_xlpm.c))))</f>
        <v/>
      </c>
    </row>
    <row r="626" spans="2:2" x14ac:dyDescent="0.2">
      <c r="B626" t="str" cm="1">
        <f t="array" ref="B626">IF(A626="","",_xlfn.CHOOSECOLS('Prematch Backend 2A'!626:626,_xlfn.MAKEARRAY(1,A626-2,_xlfn.LAMBDA(_xlpm.r,_xlpm.c,_xlpm.c))))</f>
        <v/>
      </c>
    </row>
    <row r="627" spans="2:2" x14ac:dyDescent="0.2">
      <c r="B627" t="str" cm="1">
        <f t="array" ref="B627">IF(A627="","",_xlfn.CHOOSECOLS('Prematch Backend 2A'!627:627,_xlfn.MAKEARRAY(1,A627-2,_xlfn.LAMBDA(_xlpm.r,_xlpm.c,_xlpm.c))))</f>
        <v/>
      </c>
    </row>
    <row r="628" spans="2:2" x14ac:dyDescent="0.2">
      <c r="B628" t="str" cm="1">
        <f t="array" ref="B628">IF(A628="","",_xlfn.CHOOSECOLS('Prematch Backend 2A'!628:628,_xlfn.MAKEARRAY(1,A628-2,_xlfn.LAMBDA(_xlpm.r,_xlpm.c,_xlpm.c))))</f>
        <v/>
      </c>
    </row>
    <row r="629" spans="2:2" x14ac:dyDescent="0.2">
      <c r="B629" t="str" cm="1">
        <f t="array" ref="B629">IF(A629="","",_xlfn.CHOOSECOLS('Prematch Backend 2A'!629:629,_xlfn.MAKEARRAY(1,A629-2,_xlfn.LAMBDA(_xlpm.r,_xlpm.c,_xlpm.c))))</f>
        <v/>
      </c>
    </row>
    <row r="630" spans="2:2" x14ac:dyDescent="0.2">
      <c r="B630" t="str" cm="1">
        <f t="array" ref="B630">IF(A630="","",_xlfn.CHOOSECOLS('Prematch Backend 2A'!630:630,_xlfn.MAKEARRAY(1,A630-2,_xlfn.LAMBDA(_xlpm.r,_xlpm.c,_xlpm.c))))</f>
        <v/>
      </c>
    </row>
    <row r="631" spans="2:2" x14ac:dyDescent="0.2">
      <c r="B631" t="str" cm="1">
        <f t="array" ref="B631">IF(A631="","",_xlfn.CHOOSECOLS('Prematch Backend 2A'!631:631,_xlfn.MAKEARRAY(1,A631-2,_xlfn.LAMBDA(_xlpm.r,_xlpm.c,_xlpm.c))))</f>
        <v/>
      </c>
    </row>
    <row r="632" spans="2:2" x14ac:dyDescent="0.2">
      <c r="B632" t="str" cm="1">
        <f t="array" ref="B632">IF(A632="","",_xlfn.CHOOSECOLS('Prematch Backend 2A'!632:632,_xlfn.MAKEARRAY(1,A632-2,_xlfn.LAMBDA(_xlpm.r,_xlpm.c,_xlpm.c))))</f>
        <v/>
      </c>
    </row>
    <row r="633" spans="2:2" x14ac:dyDescent="0.2">
      <c r="B633" t="str" cm="1">
        <f t="array" ref="B633">IF(A633="","",_xlfn.CHOOSECOLS('Prematch Backend 2A'!633:633,_xlfn.MAKEARRAY(1,A633-2,_xlfn.LAMBDA(_xlpm.r,_xlpm.c,_xlpm.c))))</f>
        <v/>
      </c>
    </row>
    <row r="634" spans="2:2" x14ac:dyDescent="0.2">
      <c r="B634" t="str" cm="1">
        <f t="array" ref="B634">IF(A634="","",_xlfn.CHOOSECOLS('Prematch Backend 2A'!634:634,_xlfn.MAKEARRAY(1,A634-2,_xlfn.LAMBDA(_xlpm.r,_xlpm.c,_xlpm.c))))</f>
        <v/>
      </c>
    </row>
    <row r="635" spans="2:2" x14ac:dyDescent="0.2">
      <c r="B635" t="str" cm="1">
        <f t="array" ref="B635">IF(A635="","",_xlfn.CHOOSECOLS('Prematch Backend 2A'!635:635,_xlfn.MAKEARRAY(1,A635-2,_xlfn.LAMBDA(_xlpm.r,_xlpm.c,_xlpm.c))))</f>
        <v/>
      </c>
    </row>
    <row r="636" spans="2:2" x14ac:dyDescent="0.2">
      <c r="B636" t="str" cm="1">
        <f t="array" ref="B636">IF(A636="","",_xlfn.CHOOSECOLS('Prematch Backend 2A'!636:636,_xlfn.MAKEARRAY(1,A636-2,_xlfn.LAMBDA(_xlpm.r,_xlpm.c,_xlpm.c))))</f>
        <v/>
      </c>
    </row>
    <row r="637" spans="2:2" x14ac:dyDescent="0.2">
      <c r="B637" t="str" cm="1">
        <f t="array" ref="B637">IF(A637="","",_xlfn.CHOOSECOLS('Prematch Backend 2A'!637:637,_xlfn.MAKEARRAY(1,A637-2,_xlfn.LAMBDA(_xlpm.r,_xlpm.c,_xlpm.c))))</f>
        <v/>
      </c>
    </row>
    <row r="638" spans="2:2" x14ac:dyDescent="0.2">
      <c r="B638" t="str" cm="1">
        <f t="array" ref="B638">IF(A638="","",_xlfn.CHOOSECOLS('Prematch Backend 2A'!638:638,_xlfn.MAKEARRAY(1,A638-2,_xlfn.LAMBDA(_xlpm.r,_xlpm.c,_xlpm.c))))</f>
        <v/>
      </c>
    </row>
    <row r="639" spans="2:2" x14ac:dyDescent="0.2">
      <c r="B639" t="str" cm="1">
        <f t="array" ref="B639">IF(A639="","",_xlfn.CHOOSECOLS('Prematch Backend 2A'!639:639,_xlfn.MAKEARRAY(1,A639-2,_xlfn.LAMBDA(_xlpm.r,_xlpm.c,_xlpm.c))))</f>
        <v/>
      </c>
    </row>
    <row r="640" spans="2:2" x14ac:dyDescent="0.2">
      <c r="B640" t="str" cm="1">
        <f t="array" ref="B640">IF(A640="","",_xlfn.CHOOSECOLS('Prematch Backend 2A'!640:640,_xlfn.MAKEARRAY(1,A640-2,_xlfn.LAMBDA(_xlpm.r,_xlpm.c,_xlpm.c))))</f>
        <v/>
      </c>
    </row>
    <row r="641" spans="2:2" x14ac:dyDescent="0.2">
      <c r="B641" t="str" cm="1">
        <f t="array" ref="B641">IF(A641="","",_xlfn.CHOOSECOLS('Prematch Backend 2A'!641:641,_xlfn.MAKEARRAY(1,A641-2,_xlfn.LAMBDA(_xlpm.r,_xlpm.c,_xlpm.c))))</f>
        <v/>
      </c>
    </row>
    <row r="642" spans="2:2" x14ac:dyDescent="0.2">
      <c r="B642" t="str" cm="1">
        <f t="array" ref="B642">IF(A642="","",_xlfn.CHOOSECOLS('Prematch Backend 2A'!642:642,_xlfn.MAKEARRAY(1,A642-2,_xlfn.LAMBDA(_xlpm.r,_xlpm.c,_xlpm.c))))</f>
        <v/>
      </c>
    </row>
    <row r="643" spans="2:2" x14ac:dyDescent="0.2">
      <c r="B643" t="str" cm="1">
        <f t="array" ref="B643">IF(A643="","",_xlfn.CHOOSECOLS('Prematch Backend 2A'!643:643,_xlfn.MAKEARRAY(1,A643-2,_xlfn.LAMBDA(_xlpm.r,_xlpm.c,_xlpm.c))))</f>
        <v/>
      </c>
    </row>
    <row r="644" spans="2:2" x14ac:dyDescent="0.2">
      <c r="B644" t="str" cm="1">
        <f t="array" ref="B644">IF(A644="","",_xlfn.CHOOSECOLS('Prematch Backend 2A'!644:644,_xlfn.MAKEARRAY(1,A644-2,_xlfn.LAMBDA(_xlpm.r,_xlpm.c,_xlpm.c))))</f>
        <v/>
      </c>
    </row>
    <row r="645" spans="2:2" x14ac:dyDescent="0.2">
      <c r="B645" t="str" cm="1">
        <f t="array" ref="B645">IF(A645="","",_xlfn.CHOOSECOLS('Prematch Backend 2A'!645:645,_xlfn.MAKEARRAY(1,A645-2,_xlfn.LAMBDA(_xlpm.r,_xlpm.c,_xlpm.c))))</f>
        <v/>
      </c>
    </row>
    <row r="646" spans="2:2" x14ac:dyDescent="0.2">
      <c r="B646" t="str" cm="1">
        <f t="array" ref="B646">IF(A646="","",_xlfn.CHOOSECOLS('Prematch Backend 2A'!646:646,_xlfn.MAKEARRAY(1,A646-2,_xlfn.LAMBDA(_xlpm.r,_xlpm.c,_xlpm.c))))</f>
        <v/>
      </c>
    </row>
    <row r="647" spans="2:2" x14ac:dyDescent="0.2">
      <c r="B647" t="str" cm="1">
        <f t="array" ref="B647">IF(A647="","",_xlfn.CHOOSECOLS('Prematch Backend 2A'!647:647,_xlfn.MAKEARRAY(1,A647-2,_xlfn.LAMBDA(_xlpm.r,_xlpm.c,_xlpm.c))))</f>
        <v/>
      </c>
    </row>
    <row r="648" spans="2:2" x14ac:dyDescent="0.2">
      <c r="B648" t="str" cm="1">
        <f t="array" ref="B648">IF(A648="","",_xlfn.CHOOSECOLS('Prematch Backend 2A'!648:648,_xlfn.MAKEARRAY(1,A648-2,_xlfn.LAMBDA(_xlpm.r,_xlpm.c,_xlpm.c))))</f>
        <v/>
      </c>
    </row>
    <row r="649" spans="2:2" x14ac:dyDescent="0.2">
      <c r="B649" t="str" cm="1">
        <f t="array" ref="B649">IF(A649="","",_xlfn.CHOOSECOLS('Prematch Backend 2A'!649:649,_xlfn.MAKEARRAY(1,A649-2,_xlfn.LAMBDA(_xlpm.r,_xlpm.c,_xlpm.c))))</f>
        <v/>
      </c>
    </row>
    <row r="650" spans="2:2" x14ac:dyDescent="0.2">
      <c r="B650" t="str" cm="1">
        <f t="array" ref="B650">IF(A650="","",_xlfn.CHOOSECOLS('Prematch Backend 2A'!650:650,_xlfn.MAKEARRAY(1,A650-2,_xlfn.LAMBDA(_xlpm.r,_xlpm.c,_xlpm.c))))</f>
        <v/>
      </c>
    </row>
    <row r="651" spans="2:2" x14ac:dyDescent="0.2">
      <c r="B651" t="str" cm="1">
        <f t="array" ref="B651">IF(A651="","",_xlfn.CHOOSECOLS('Prematch Backend 2A'!651:651,_xlfn.MAKEARRAY(1,A651-2,_xlfn.LAMBDA(_xlpm.r,_xlpm.c,_xlpm.c))))</f>
        <v/>
      </c>
    </row>
    <row r="652" spans="2:2" x14ac:dyDescent="0.2">
      <c r="B652" t="str" cm="1">
        <f t="array" ref="B652">IF(A652="","",_xlfn.CHOOSECOLS('Prematch Backend 2A'!652:652,_xlfn.MAKEARRAY(1,A652-2,_xlfn.LAMBDA(_xlpm.r,_xlpm.c,_xlpm.c))))</f>
        <v/>
      </c>
    </row>
    <row r="653" spans="2:2" x14ac:dyDescent="0.2">
      <c r="B653" t="str" cm="1">
        <f t="array" ref="B653">IF(A653="","",_xlfn.CHOOSECOLS('Prematch Backend 2A'!653:653,_xlfn.MAKEARRAY(1,A653-2,_xlfn.LAMBDA(_xlpm.r,_xlpm.c,_xlpm.c))))</f>
        <v/>
      </c>
    </row>
    <row r="654" spans="2:2" x14ac:dyDescent="0.2">
      <c r="B654" t="str" cm="1">
        <f t="array" ref="B654">IF(A654="","",_xlfn.CHOOSECOLS('Prematch Backend 2A'!654:654,_xlfn.MAKEARRAY(1,A654-2,_xlfn.LAMBDA(_xlpm.r,_xlpm.c,_xlpm.c))))</f>
        <v/>
      </c>
    </row>
    <row r="655" spans="2:2" x14ac:dyDescent="0.2">
      <c r="B655" t="str" cm="1">
        <f t="array" ref="B655">IF(A655="","",_xlfn.CHOOSECOLS('Prematch Backend 2A'!655:655,_xlfn.MAKEARRAY(1,A655-2,_xlfn.LAMBDA(_xlpm.r,_xlpm.c,_xlpm.c))))</f>
        <v/>
      </c>
    </row>
    <row r="656" spans="2:2" x14ac:dyDescent="0.2">
      <c r="B656" t="str" cm="1">
        <f t="array" ref="B656">IF(A656="","",_xlfn.CHOOSECOLS('Prematch Backend 2A'!656:656,_xlfn.MAKEARRAY(1,A656-2,_xlfn.LAMBDA(_xlpm.r,_xlpm.c,_xlpm.c))))</f>
        <v/>
      </c>
    </row>
    <row r="657" spans="2:2" x14ac:dyDescent="0.2">
      <c r="B657" t="str" cm="1">
        <f t="array" ref="B657">IF(A657="","",_xlfn.CHOOSECOLS('Prematch Backend 2A'!657:657,_xlfn.MAKEARRAY(1,A657-2,_xlfn.LAMBDA(_xlpm.r,_xlpm.c,_xlpm.c))))</f>
        <v/>
      </c>
    </row>
    <row r="658" spans="2:2" x14ac:dyDescent="0.2">
      <c r="B658" t="str" cm="1">
        <f t="array" ref="B658">IF(A658="","",_xlfn.CHOOSECOLS('Prematch Backend 2A'!658:658,_xlfn.MAKEARRAY(1,A658-2,_xlfn.LAMBDA(_xlpm.r,_xlpm.c,_xlpm.c))))</f>
        <v/>
      </c>
    </row>
    <row r="659" spans="2:2" x14ac:dyDescent="0.2">
      <c r="B659" t="str" cm="1">
        <f t="array" ref="B659">IF(A659="","",_xlfn.CHOOSECOLS('Prematch Backend 2A'!659:659,_xlfn.MAKEARRAY(1,A659-2,_xlfn.LAMBDA(_xlpm.r,_xlpm.c,_xlpm.c))))</f>
        <v/>
      </c>
    </row>
    <row r="660" spans="2:2" x14ac:dyDescent="0.2">
      <c r="B660" t="str" cm="1">
        <f t="array" ref="B660">IF(A660="","",_xlfn.CHOOSECOLS('Prematch Backend 2A'!660:660,_xlfn.MAKEARRAY(1,A660-2,_xlfn.LAMBDA(_xlpm.r,_xlpm.c,_xlpm.c))))</f>
        <v/>
      </c>
    </row>
    <row r="661" spans="2:2" x14ac:dyDescent="0.2">
      <c r="B661" t="str" cm="1">
        <f t="array" ref="B661">IF(A661="","",_xlfn.CHOOSECOLS('Prematch Backend 2A'!661:661,_xlfn.MAKEARRAY(1,A661-2,_xlfn.LAMBDA(_xlpm.r,_xlpm.c,_xlpm.c))))</f>
        <v/>
      </c>
    </row>
    <row r="662" spans="2:2" x14ac:dyDescent="0.2">
      <c r="B662" t="str" cm="1">
        <f t="array" ref="B662">IF(A662="","",_xlfn.CHOOSECOLS('Prematch Backend 2A'!662:662,_xlfn.MAKEARRAY(1,A662-2,_xlfn.LAMBDA(_xlpm.r,_xlpm.c,_xlpm.c))))</f>
        <v/>
      </c>
    </row>
    <row r="663" spans="2:2" x14ac:dyDescent="0.2">
      <c r="B663" t="str" cm="1">
        <f t="array" ref="B663">IF(A663="","",_xlfn.CHOOSECOLS('Prematch Backend 2A'!663:663,_xlfn.MAKEARRAY(1,A663-2,_xlfn.LAMBDA(_xlpm.r,_xlpm.c,_xlpm.c))))</f>
        <v/>
      </c>
    </row>
    <row r="664" spans="2:2" x14ac:dyDescent="0.2">
      <c r="B664" t="str" cm="1">
        <f t="array" ref="B664">IF(A664="","",_xlfn.CHOOSECOLS('Prematch Backend 2A'!664:664,_xlfn.MAKEARRAY(1,A664-2,_xlfn.LAMBDA(_xlpm.r,_xlpm.c,_xlpm.c))))</f>
        <v/>
      </c>
    </row>
    <row r="665" spans="2:2" x14ac:dyDescent="0.2">
      <c r="B665" t="str" cm="1">
        <f t="array" ref="B665">IF(A665="","",_xlfn.CHOOSECOLS('Prematch Backend 2A'!665:665,_xlfn.MAKEARRAY(1,A665-2,_xlfn.LAMBDA(_xlpm.r,_xlpm.c,_xlpm.c))))</f>
        <v/>
      </c>
    </row>
    <row r="666" spans="2:2" x14ac:dyDescent="0.2">
      <c r="B666" t="str" cm="1">
        <f t="array" ref="B666">IF(A666="","",_xlfn.CHOOSECOLS('Prematch Backend 2A'!666:666,_xlfn.MAKEARRAY(1,A666-2,_xlfn.LAMBDA(_xlpm.r,_xlpm.c,_xlpm.c))))</f>
        <v/>
      </c>
    </row>
    <row r="667" spans="2:2" x14ac:dyDescent="0.2">
      <c r="B667" t="str" cm="1">
        <f t="array" ref="B667">IF(A667="","",_xlfn.CHOOSECOLS('Prematch Backend 2A'!667:667,_xlfn.MAKEARRAY(1,A667-2,_xlfn.LAMBDA(_xlpm.r,_xlpm.c,_xlpm.c))))</f>
        <v/>
      </c>
    </row>
    <row r="668" spans="2:2" x14ac:dyDescent="0.2">
      <c r="B668" t="str" cm="1">
        <f t="array" ref="B668">IF(A668="","",_xlfn.CHOOSECOLS('Prematch Backend 2A'!668:668,_xlfn.MAKEARRAY(1,A668-2,_xlfn.LAMBDA(_xlpm.r,_xlpm.c,_xlpm.c))))</f>
        <v/>
      </c>
    </row>
    <row r="669" spans="2:2" x14ac:dyDescent="0.2">
      <c r="B669" t="str" cm="1">
        <f t="array" ref="B669">IF(A669="","",_xlfn.CHOOSECOLS('Prematch Backend 2A'!669:669,_xlfn.MAKEARRAY(1,A669-2,_xlfn.LAMBDA(_xlpm.r,_xlpm.c,_xlpm.c))))</f>
        <v/>
      </c>
    </row>
    <row r="670" spans="2:2" x14ac:dyDescent="0.2">
      <c r="B670" t="str" cm="1">
        <f t="array" ref="B670">IF(A670="","",_xlfn.CHOOSECOLS('Prematch Backend 2A'!670:670,_xlfn.MAKEARRAY(1,A670-2,_xlfn.LAMBDA(_xlpm.r,_xlpm.c,_xlpm.c))))</f>
        <v/>
      </c>
    </row>
    <row r="671" spans="2:2" x14ac:dyDescent="0.2">
      <c r="B671" t="str" cm="1">
        <f t="array" ref="B671">IF(A671="","",_xlfn.CHOOSECOLS('Prematch Backend 2A'!671:671,_xlfn.MAKEARRAY(1,A671-2,_xlfn.LAMBDA(_xlpm.r,_xlpm.c,_xlpm.c))))</f>
        <v/>
      </c>
    </row>
    <row r="672" spans="2:2" x14ac:dyDescent="0.2">
      <c r="B672" t="str" cm="1">
        <f t="array" ref="B672">IF(A672="","",_xlfn.CHOOSECOLS('Prematch Backend 2A'!672:672,_xlfn.MAKEARRAY(1,A672-2,_xlfn.LAMBDA(_xlpm.r,_xlpm.c,_xlpm.c))))</f>
        <v/>
      </c>
    </row>
    <row r="673" spans="2:2" x14ac:dyDescent="0.2">
      <c r="B673" t="str" cm="1">
        <f t="array" ref="B673">IF(A673="","",_xlfn.CHOOSECOLS('Prematch Backend 2A'!673:673,_xlfn.MAKEARRAY(1,A673-2,_xlfn.LAMBDA(_xlpm.r,_xlpm.c,_xlpm.c))))</f>
        <v/>
      </c>
    </row>
    <row r="674" spans="2:2" x14ac:dyDescent="0.2">
      <c r="B674" t="str" cm="1">
        <f t="array" ref="B674">IF(A674="","",_xlfn.CHOOSECOLS('Prematch Backend 2A'!674:674,_xlfn.MAKEARRAY(1,A674-2,_xlfn.LAMBDA(_xlpm.r,_xlpm.c,_xlpm.c))))</f>
        <v/>
      </c>
    </row>
    <row r="675" spans="2:2" x14ac:dyDescent="0.2">
      <c r="B675" t="str" cm="1">
        <f t="array" ref="B675">IF(A675="","",_xlfn.CHOOSECOLS('Prematch Backend 2A'!675:675,_xlfn.MAKEARRAY(1,A675-2,_xlfn.LAMBDA(_xlpm.r,_xlpm.c,_xlpm.c))))</f>
        <v/>
      </c>
    </row>
    <row r="676" spans="2:2" x14ac:dyDescent="0.2">
      <c r="B676" t="str" cm="1">
        <f t="array" ref="B676">IF(A676="","",_xlfn.CHOOSECOLS('Prematch Backend 2A'!676:676,_xlfn.MAKEARRAY(1,A676-2,_xlfn.LAMBDA(_xlpm.r,_xlpm.c,_xlpm.c))))</f>
        <v/>
      </c>
    </row>
    <row r="677" spans="2:2" x14ac:dyDescent="0.2">
      <c r="B677" t="str" cm="1">
        <f t="array" ref="B677">IF(A677="","",_xlfn.CHOOSECOLS('Prematch Backend 2A'!677:677,_xlfn.MAKEARRAY(1,A677-2,_xlfn.LAMBDA(_xlpm.r,_xlpm.c,_xlpm.c))))</f>
        <v/>
      </c>
    </row>
    <row r="678" spans="2:2" x14ac:dyDescent="0.2">
      <c r="B678" t="str" cm="1">
        <f t="array" ref="B678">IF(A678="","",_xlfn.CHOOSECOLS('Prematch Backend 2A'!678:678,_xlfn.MAKEARRAY(1,A678-2,_xlfn.LAMBDA(_xlpm.r,_xlpm.c,_xlpm.c))))</f>
        <v/>
      </c>
    </row>
    <row r="679" spans="2:2" x14ac:dyDescent="0.2">
      <c r="B679" t="str" cm="1">
        <f t="array" ref="B679">IF(A679="","",_xlfn.CHOOSECOLS('Prematch Backend 2A'!679:679,_xlfn.MAKEARRAY(1,A679-2,_xlfn.LAMBDA(_xlpm.r,_xlpm.c,_xlpm.c))))</f>
        <v/>
      </c>
    </row>
    <row r="680" spans="2:2" x14ac:dyDescent="0.2">
      <c r="B680" t="str" cm="1">
        <f t="array" ref="B680">IF(A680="","",_xlfn.CHOOSECOLS('Prematch Backend 2A'!680:680,_xlfn.MAKEARRAY(1,A680-2,_xlfn.LAMBDA(_xlpm.r,_xlpm.c,_xlpm.c))))</f>
        <v/>
      </c>
    </row>
    <row r="681" spans="2:2" x14ac:dyDescent="0.2">
      <c r="B681" t="str" cm="1">
        <f t="array" ref="B681">IF(A681="","",_xlfn.CHOOSECOLS('Prematch Backend 2A'!681:681,_xlfn.MAKEARRAY(1,A681-2,_xlfn.LAMBDA(_xlpm.r,_xlpm.c,_xlpm.c))))</f>
        <v/>
      </c>
    </row>
    <row r="682" spans="2:2" x14ac:dyDescent="0.2">
      <c r="B682" t="str" cm="1">
        <f t="array" ref="B682">IF(A682="","",_xlfn.CHOOSECOLS('Prematch Backend 2A'!682:682,_xlfn.MAKEARRAY(1,A682-2,_xlfn.LAMBDA(_xlpm.r,_xlpm.c,_xlpm.c))))</f>
        <v/>
      </c>
    </row>
    <row r="683" spans="2:2" x14ac:dyDescent="0.2">
      <c r="B683" t="str" cm="1">
        <f t="array" ref="B683">IF(A683="","",_xlfn.CHOOSECOLS('Prematch Backend 2A'!683:683,_xlfn.MAKEARRAY(1,A683-2,_xlfn.LAMBDA(_xlpm.r,_xlpm.c,_xlpm.c))))</f>
        <v/>
      </c>
    </row>
    <row r="684" spans="2:2" x14ac:dyDescent="0.2">
      <c r="B684" t="str" cm="1">
        <f t="array" ref="B684">IF(A684="","",_xlfn.CHOOSECOLS('Prematch Backend 2A'!684:684,_xlfn.MAKEARRAY(1,A684-2,_xlfn.LAMBDA(_xlpm.r,_xlpm.c,_xlpm.c))))</f>
        <v/>
      </c>
    </row>
    <row r="685" spans="2:2" x14ac:dyDescent="0.2">
      <c r="B685" t="str" cm="1">
        <f t="array" ref="B685">IF(A685="","",_xlfn.CHOOSECOLS('Prematch Backend 2A'!685:685,_xlfn.MAKEARRAY(1,A685-2,_xlfn.LAMBDA(_xlpm.r,_xlpm.c,_xlpm.c))))</f>
        <v/>
      </c>
    </row>
    <row r="686" spans="2:2" x14ac:dyDescent="0.2">
      <c r="B686" t="str" cm="1">
        <f t="array" ref="B686">IF(A686="","",_xlfn.CHOOSECOLS('Prematch Backend 2A'!686:686,_xlfn.MAKEARRAY(1,A686-2,_xlfn.LAMBDA(_xlpm.r,_xlpm.c,_xlpm.c))))</f>
        <v/>
      </c>
    </row>
    <row r="687" spans="2:2" x14ac:dyDescent="0.2">
      <c r="B687" t="str" cm="1">
        <f t="array" ref="B687">IF(A687="","",_xlfn.CHOOSECOLS('Prematch Backend 2A'!687:687,_xlfn.MAKEARRAY(1,A687-2,_xlfn.LAMBDA(_xlpm.r,_xlpm.c,_xlpm.c))))</f>
        <v/>
      </c>
    </row>
    <row r="688" spans="2:2" x14ac:dyDescent="0.2">
      <c r="B688" t="str" cm="1">
        <f t="array" ref="B688">IF(A688="","",_xlfn.CHOOSECOLS('Prematch Backend 2A'!688:688,_xlfn.MAKEARRAY(1,A688-2,_xlfn.LAMBDA(_xlpm.r,_xlpm.c,_xlpm.c))))</f>
        <v/>
      </c>
    </row>
    <row r="689" spans="2:2" x14ac:dyDescent="0.2">
      <c r="B689" t="str" cm="1">
        <f t="array" ref="B689">IF(A689="","",_xlfn.CHOOSECOLS('Prematch Backend 2A'!689:689,_xlfn.MAKEARRAY(1,A689-2,_xlfn.LAMBDA(_xlpm.r,_xlpm.c,_xlpm.c))))</f>
        <v/>
      </c>
    </row>
    <row r="690" spans="2:2" x14ac:dyDescent="0.2">
      <c r="B690" t="str" cm="1">
        <f t="array" ref="B690">IF(A690="","",_xlfn.CHOOSECOLS('Prematch Backend 2A'!690:690,_xlfn.MAKEARRAY(1,A690-2,_xlfn.LAMBDA(_xlpm.r,_xlpm.c,_xlpm.c))))</f>
        <v/>
      </c>
    </row>
    <row r="691" spans="2:2" x14ac:dyDescent="0.2">
      <c r="B691" t="str" cm="1">
        <f t="array" ref="B691">IF(A691="","",_xlfn.CHOOSECOLS('Prematch Backend 2A'!691:691,_xlfn.MAKEARRAY(1,A691-2,_xlfn.LAMBDA(_xlpm.r,_xlpm.c,_xlpm.c))))</f>
        <v/>
      </c>
    </row>
    <row r="692" spans="2:2" x14ac:dyDescent="0.2">
      <c r="B692" t="str" cm="1">
        <f t="array" ref="B692">IF(A692="","",_xlfn.CHOOSECOLS('Prematch Backend 2A'!692:692,_xlfn.MAKEARRAY(1,A692-2,_xlfn.LAMBDA(_xlpm.r,_xlpm.c,_xlpm.c))))</f>
        <v/>
      </c>
    </row>
    <row r="693" spans="2:2" x14ac:dyDescent="0.2">
      <c r="B693" t="str" cm="1">
        <f t="array" ref="B693">IF(A693="","",_xlfn.CHOOSECOLS('Prematch Backend 2A'!693:693,_xlfn.MAKEARRAY(1,A693-2,_xlfn.LAMBDA(_xlpm.r,_xlpm.c,_xlpm.c))))</f>
        <v/>
      </c>
    </row>
    <row r="694" spans="2:2" x14ac:dyDescent="0.2">
      <c r="B694" t="str" cm="1">
        <f t="array" ref="B694">IF(A694="","",_xlfn.CHOOSECOLS('Prematch Backend 2A'!694:694,_xlfn.MAKEARRAY(1,A694-2,_xlfn.LAMBDA(_xlpm.r,_xlpm.c,_xlpm.c))))</f>
        <v/>
      </c>
    </row>
    <row r="695" spans="2:2" x14ac:dyDescent="0.2">
      <c r="B695" t="str" cm="1">
        <f t="array" ref="B695">IF(A695="","",_xlfn.CHOOSECOLS('Prematch Backend 2A'!695:695,_xlfn.MAKEARRAY(1,A695-2,_xlfn.LAMBDA(_xlpm.r,_xlpm.c,_xlpm.c))))</f>
        <v/>
      </c>
    </row>
    <row r="696" spans="2:2" x14ac:dyDescent="0.2">
      <c r="B696" t="str" cm="1">
        <f t="array" ref="B696">IF(A696="","",_xlfn.CHOOSECOLS('Prematch Backend 2A'!696:696,_xlfn.MAKEARRAY(1,A696-2,_xlfn.LAMBDA(_xlpm.r,_xlpm.c,_xlpm.c))))</f>
        <v/>
      </c>
    </row>
    <row r="697" spans="2:2" x14ac:dyDescent="0.2">
      <c r="B697" t="str" cm="1">
        <f t="array" ref="B697">IF(A697="","",_xlfn.CHOOSECOLS('Prematch Backend 2A'!697:697,_xlfn.MAKEARRAY(1,A697-2,_xlfn.LAMBDA(_xlpm.r,_xlpm.c,_xlpm.c))))</f>
        <v/>
      </c>
    </row>
    <row r="698" spans="2:2" x14ac:dyDescent="0.2">
      <c r="B698" t="str" cm="1">
        <f t="array" ref="B698">IF(A698="","",_xlfn.CHOOSECOLS('Prematch Backend 2A'!698:698,_xlfn.MAKEARRAY(1,A698-2,_xlfn.LAMBDA(_xlpm.r,_xlpm.c,_xlpm.c))))</f>
        <v/>
      </c>
    </row>
    <row r="699" spans="2:2" x14ac:dyDescent="0.2">
      <c r="B699" t="str" cm="1">
        <f t="array" ref="B699">IF(A699="","",_xlfn.CHOOSECOLS('Prematch Backend 2A'!699:699,_xlfn.MAKEARRAY(1,A699-2,_xlfn.LAMBDA(_xlpm.r,_xlpm.c,_xlpm.c))))</f>
        <v/>
      </c>
    </row>
    <row r="700" spans="2:2" x14ac:dyDescent="0.2">
      <c r="B700" t="str" cm="1">
        <f t="array" ref="B700">IF(A700="","",_xlfn.CHOOSECOLS('Prematch Backend 2A'!700:700,_xlfn.MAKEARRAY(1,A700-2,_xlfn.LAMBDA(_xlpm.r,_xlpm.c,_xlpm.c))))</f>
        <v/>
      </c>
    </row>
    <row r="701" spans="2:2" x14ac:dyDescent="0.2">
      <c r="B701" t="str" cm="1">
        <f t="array" ref="B701">IF(A701="","",_xlfn.CHOOSECOLS('Prematch Backend 2A'!701:701,_xlfn.MAKEARRAY(1,A701-2,_xlfn.LAMBDA(_xlpm.r,_xlpm.c,_xlpm.c))))</f>
        <v/>
      </c>
    </row>
    <row r="702" spans="2:2" x14ac:dyDescent="0.2">
      <c r="B702" t="str" cm="1">
        <f t="array" ref="B702">IF(A702="","",_xlfn.CHOOSECOLS('Prematch Backend 2A'!702:702,_xlfn.MAKEARRAY(1,A702-2,_xlfn.LAMBDA(_xlpm.r,_xlpm.c,_xlpm.c))))</f>
        <v/>
      </c>
    </row>
    <row r="703" spans="2:2" x14ac:dyDescent="0.2">
      <c r="B703" t="str" cm="1">
        <f t="array" ref="B703">IF(A703="","",_xlfn.CHOOSECOLS('Prematch Backend 2A'!703:703,_xlfn.MAKEARRAY(1,A703-2,_xlfn.LAMBDA(_xlpm.r,_xlpm.c,_xlpm.c))))</f>
        <v/>
      </c>
    </row>
    <row r="704" spans="2:2" x14ac:dyDescent="0.2">
      <c r="B704" t="str" cm="1">
        <f t="array" ref="B704">IF(A704="","",_xlfn.CHOOSECOLS('Prematch Backend 2A'!704:704,_xlfn.MAKEARRAY(1,A704-2,_xlfn.LAMBDA(_xlpm.r,_xlpm.c,_xlpm.c))))</f>
        <v/>
      </c>
    </row>
    <row r="705" spans="2:2" x14ac:dyDescent="0.2">
      <c r="B705" t="str" cm="1">
        <f t="array" ref="B705">IF(A705="","",_xlfn.CHOOSECOLS('Prematch Backend 2A'!705:705,_xlfn.MAKEARRAY(1,A705-2,_xlfn.LAMBDA(_xlpm.r,_xlpm.c,_xlpm.c))))</f>
        <v/>
      </c>
    </row>
    <row r="706" spans="2:2" x14ac:dyDescent="0.2">
      <c r="B706" t="str" cm="1">
        <f t="array" ref="B706">IF(A706="","",_xlfn.CHOOSECOLS('Prematch Backend 2A'!706:706,_xlfn.MAKEARRAY(1,A706-2,_xlfn.LAMBDA(_xlpm.r,_xlpm.c,_xlpm.c))))</f>
        <v/>
      </c>
    </row>
    <row r="707" spans="2:2" x14ac:dyDescent="0.2">
      <c r="B707" t="str" cm="1">
        <f t="array" ref="B707">IF(A707="","",_xlfn.CHOOSECOLS('Prematch Backend 2A'!707:707,_xlfn.MAKEARRAY(1,A707-2,_xlfn.LAMBDA(_xlpm.r,_xlpm.c,_xlpm.c))))</f>
        <v/>
      </c>
    </row>
    <row r="708" spans="2:2" x14ac:dyDescent="0.2">
      <c r="B708" t="str" cm="1">
        <f t="array" ref="B708">IF(A708="","",_xlfn.CHOOSECOLS('Prematch Backend 2A'!708:708,_xlfn.MAKEARRAY(1,A708-2,_xlfn.LAMBDA(_xlpm.r,_xlpm.c,_xlpm.c))))</f>
        <v/>
      </c>
    </row>
    <row r="709" spans="2:2" x14ac:dyDescent="0.2">
      <c r="B709" t="str" cm="1">
        <f t="array" ref="B709">IF(A709="","",_xlfn.CHOOSECOLS('Prematch Backend 2A'!709:709,_xlfn.MAKEARRAY(1,A709-2,_xlfn.LAMBDA(_xlpm.r,_xlpm.c,_xlpm.c))))</f>
        <v/>
      </c>
    </row>
    <row r="710" spans="2:2" x14ac:dyDescent="0.2">
      <c r="B710" t="str" cm="1">
        <f t="array" ref="B710">IF(A710="","",_xlfn.CHOOSECOLS('Prematch Backend 2A'!710:710,_xlfn.MAKEARRAY(1,A710-2,_xlfn.LAMBDA(_xlpm.r,_xlpm.c,_xlpm.c))))</f>
        <v/>
      </c>
    </row>
    <row r="711" spans="2:2" x14ac:dyDescent="0.2">
      <c r="B711" t="str" cm="1">
        <f t="array" ref="B711">IF(A711="","",_xlfn.CHOOSECOLS('Prematch Backend 2A'!711:711,_xlfn.MAKEARRAY(1,A711-2,_xlfn.LAMBDA(_xlpm.r,_xlpm.c,_xlpm.c))))</f>
        <v/>
      </c>
    </row>
    <row r="712" spans="2:2" x14ac:dyDescent="0.2">
      <c r="B712" t="str" cm="1">
        <f t="array" ref="B712">IF(A712="","",_xlfn.CHOOSECOLS('Prematch Backend 2A'!712:712,_xlfn.MAKEARRAY(1,A712-2,_xlfn.LAMBDA(_xlpm.r,_xlpm.c,_xlpm.c))))</f>
        <v/>
      </c>
    </row>
    <row r="713" spans="2:2" x14ac:dyDescent="0.2">
      <c r="B713" t="str" cm="1">
        <f t="array" ref="B713">IF(A713="","",_xlfn.CHOOSECOLS('Prematch Backend 2A'!713:713,_xlfn.MAKEARRAY(1,A713-2,_xlfn.LAMBDA(_xlpm.r,_xlpm.c,_xlpm.c))))</f>
        <v/>
      </c>
    </row>
    <row r="714" spans="2:2" x14ac:dyDescent="0.2">
      <c r="B714" t="str" cm="1">
        <f t="array" ref="B714">IF(A714="","",_xlfn.CHOOSECOLS('Prematch Backend 2A'!714:714,_xlfn.MAKEARRAY(1,A714-2,_xlfn.LAMBDA(_xlpm.r,_xlpm.c,_xlpm.c))))</f>
        <v/>
      </c>
    </row>
    <row r="715" spans="2:2" x14ac:dyDescent="0.2">
      <c r="B715" t="str" cm="1">
        <f t="array" ref="B715">IF(A715="","",_xlfn.CHOOSECOLS('Prematch Backend 2A'!715:715,_xlfn.MAKEARRAY(1,A715-2,_xlfn.LAMBDA(_xlpm.r,_xlpm.c,_xlpm.c))))</f>
        <v/>
      </c>
    </row>
    <row r="716" spans="2:2" x14ac:dyDescent="0.2">
      <c r="B716" t="str" cm="1">
        <f t="array" ref="B716">IF(A716="","",_xlfn.CHOOSECOLS('Prematch Backend 2A'!716:716,_xlfn.MAKEARRAY(1,A716-2,_xlfn.LAMBDA(_xlpm.r,_xlpm.c,_xlpm.c))))</f>
        <v/>
      </c>
    </row>
    <row r="717" spans="2:2" x14ac:dyDescent="0.2">
      <c r="B717" t="str" cm="1">
        <f t="array" ref="B717">IF(A717="","",_xlfn.CHOOSECOLS('Prematch Backend 2A'!717:717,_xlfn.MAKEARRAY(1,A717-2,_xlfn.LAMBDA(_xlpm.r,_xlpm.c,_xlpm.c))))</f>
        <v/>
      </c>
    </row>
    <row r="718" spans="2:2" x14ac:dyDescent="0.2">
      <c r="B718" t="str" cm="1">
        <f t="array" ref="B718">IF(A718="","",_xlfn.CHOOSECOLS('Prematch Backend 2A'!718:718,_xlfn.MAKEARRAY(1,A718-2,_xlfn.LAMBDA(_xlpm.r,_xlpm.c,_xlpm.c))))</f>
        <v/>
      </c>
    </row>
    <row r="719" spans="2:2" x14ac:dyDescent="0.2">
      <c r="B719" t="str" cm="1">
        <f t="array" ref="B719">IF(A719="","",_xlfn.CHOOSECOLS('Prematch Backend 2A'!719:719,_xlfn.MAKEARRAY(1,A719-2,_xlfn.LAMBDA(_xlpm.r,_xlpm.c,_xlpm.c))))</f>
        <v/>
      </c>
    </row>
    <row r="720" spans="2:2" x14ac:dyDescent="0.2">
      <c r="B720" t="str" cm="1">
        <f t="array" ref="B720">IF(A720="","",_xlfn.CHOOSECOLS('Prematch Backend 2A'!720:720,_xlfn.MAKEARRAY(1,A720-2,_xlfn.LAMBDA(_xlpm.r,_xlpm.c,_xlpm.c))))</f>
        <v/>
      </c>
    </row>
    <row r="721" spans="2:2" x14ac:dyDescent="0.2">
      <c r="B721" t="str" cm="1">
        <f t="array" ref="B721">IF(A721="","",_xlfn.CHOOSECOLS('Prematch Backend 2A'!721:721,_xlfn.MAKEARRAY(1,A721-2,_xlfn.LAMBDA(_xlpm.r,_xlpm.c,_xlpm.c))))</f>
        <v/>
      </c>
    </row>
    <row r="722" spans="2:2" x14ac:dyDescent="0.2">
      <c r="B722" t="str" cm="1">
        <f t="array" ref="B722">IF(A722="","",_xlfn.CHOOSECOLS('Prematch Backend 2A'!722:722,_xlfn.MAKEARRAY(1,A722-2,_xlfn.LAMBDA(_xlpm.r,_xlpm.c,_xlpm.c))))</f>
        <v/>
      </c>
    </row>
    <row r="723" spans="2:2" x14ac:dyDescent="0.2">
      <c r="B723" t="str" cm="1">
        <f t="array" ref="B723">IF(A723="","",_xlfn.CHOOSECOLS('Prematch Backend 2A'!723:723,_xlfn.MAKEARRAY(1,A723-2,_xlfn.LAMBDA(_xlpm.r,_xlpm.c,_xlpm.c))))</f>
        <v/>
      </c>
    </row>
    <row r="724" spans="2:2" x14ac:dyDescent="0.2">
      <c r="B724" t="str" cm="1">
        <f t="array" ref="B724">IF(A724="","",_xlfn.CHOOSECOLS('Prematch Backend 2A'!724:724,_xlfn.MAKEARRAY(1,A724-2,_xlfn.LAMBDA(_xlpm.r,_xlpm.c,_xlpm.c))))</f>
        <v/>
      </c>
    </row>
    <row r="725" spans="2:2" x14ac:dyDescent="0.2">
      <c r="B725" t="str" cm="1">
        <f t="array" ref="B725">IF(A725="","",_xlfn.CHOOSECOLS('Prematch Backend 2A'!725:725,_xlfn.MAKEARRAY(1,A725-2,_xlfn.LAMBDA(_xlpm.r,_xlpm.c,_xlpm.c))))</f>
        <v/>
      </c>
    </row>
    <row r="726" spans="2:2" x14ac:dyDescent="0.2">
      <c r="B726" t="str" cm="1">
        <f t="array" ref="B726">IF(A726="","",_xlfn.CHOOSECOLS('Prematch Backend 2A'!726:726,_xlfn.MAKEARRAY(1,A726-2,_xlfn.LAMBDA(_xlpm.r,_xlpm.c,_xlpm.c))))</f>
        <v/>
      </c>
    </row>
    <row r="727" spans="2:2" x14ac:dyDescent="0.2">
      <c r="B727" t="str" cm="1">
        <f t="array" ref="B727">IF(A727="","",_xlfn.CHOOSECOLS('Prematch Backend 2A'!727:727,_xlfn.MAKEARRAY(1,A727-2,_xlfn.LAMBDA(_xlpm.r,_xlpm.c,_xlpm.c))))</f>
        <v/>
      </c>
    </row>
    <row r="728" spans="2:2" x14ac:dyDescent="0.2">
      <c r="B728" t="str" cm="1">
        <f t="array" ref="B728">IF(A728="","",_xlfn.CHOOSECOLS('Prematch Backend 2A'!728:728,_xlfn.MAKEARRAY(1,A728-2,_xlfn.LAMBDA(_xlpm.r,_xlpm.c,_xlpm.c))))</f>
        <v/>
      </c>
    </row>
    <row r="729" spans="2:2" x14ac:dyDescent="0.2">
      <c r="B729" t="str" cm="1">
        <f t="array" ref="B729">IF(A729="","",_xlfn.CHOOSECOLS('Prematch Backend 2A'!729:729,_xlfn.MAKEARRAY(1,A729-2,_xlfn.LAMBDA(_xlpm.r,_xlpm.c,_xlpm.c))))</f>
        <v/>
      </c>
    </row>
    <row r="730" spans="2:2" x14ac:dyDescent="0.2">
      <c r="B730" t="str" cm="1">
        <f t="array" ref="B730">IF(A730="","",_xlfn.CHOOSECOLS('Prematch Backend 2A'!730:730,_xlfn.MAKEARRAY(1,A730-2,_xlfn.LAMBDA(_xlpm.r,_xlpm.c,_xlpm.c))))</f>
        <v/>
      </c>
    </row>
    <row r="731" spans="2:2" x14ac:dyDescent="0.2">
      <c r="B731" t="str" cm="1">
        <f t="array" ref="B731">IF(A731="","",_xlfn.CHOOSECOLS('Prematch Backend 2A'!731:731,_xlfn.MAKEARRAY(1,A731-2,_xlfn.LAMBDA(_xlpm.r,_xlpm.c,_xlpm.c))))</f>
        <v/>
      </c>
    </row>
    <row r="732" spans="2:2" x14ac:dyDescent="0.2">
      <c r="B732" t="str" cm="1">
        <f t="array" ref="B732">IF(A732="","",_xlfn.CHOOSECOLS('Prematch Backend 2A'!732:732,_xlfn.MAKEARRAY(1,A732-2,_xlfn.LAMBDA(_xlpm.r,_xlpm.c,_xlpm.c))))</f>
        <v/>
      </c>
    </row>
    <row r="733" spans="2:2" x14ac:dyDescent="0.2">
      <c r="B733" t="str" cm="1">
        <f t="array" ref="B733">IF(A733="","",_xlfn.CHOOSECOLS('Prematch Backend 2A'!733:733,_xlfn.MAKEARRAY(1,A733-2,_xlfn.LAMBDA(_xlpm.r,_xlpm.c,_xlpm.c))))</f>
        <v/>
      </c>
    </row>
    <row r="734" spans="2:2" x14ac:dyDescent="0.2">
      <c r="B734" t="str" cm="1">
        <f t="array" ref="B734">IF(A734="","",_xlfn.CHOOSECOLS('Prematch Backend 2A'!734:734,_xlfn.MAKEARRAY(1,A734-2,_xlfn.LAMBDA(_xlpm.r,_xlpm.c,_xlpm.c))))</f>
        <v/>
      </c>
    </row>
    <row r="735" spans="2:2" x14ac:dyDescent="0.2">
      <c r="B735" t="str" cm="1">
        <f t="array" ref="B735">IF(A735="","",_xlfn.CHOOSECOLS('Prematch Backend 2A'!735:735,_xlfn.MAKEARRAY(1,A735-2,_xlfn.LAMBDA(_xlpm.r,_xlpm.c,_xlpm.c))))</f>
        <v/>
      </c>
    </row>
    <row r="736" spans="2:2" x14ac:dyDescent="0.2">
      <c r="B736" t="str" cm="1">
        <f t="array" ref="B736">IF(A736="","",_xlfn.CHOOSECOLS('Prematch Backend 2A'!736:736,_xlfn.MAKEARRAY(1,A736-2,_xlfn.LAMBDA(_xlpm.r,_xlpm.c,_xlpm.c))))</f>
        <v/>
      </c>
    </row>
    <row r="737" spans="2:2" x14ac:dyDescent="0.2">
      <c r="B737" t="str" cm="1">
        <f t="array" ref="B737">IF(A737="","",_xlfn.CHOOSECOLS('Prematch Backend 2A'!737:737,_xlfn.MAKEARRAY(1,A737-2,_xlfn.LAMBDA(_xlpm.r,_xlpm.c,_xlpm.c))))</f>
        <v/>
      </c>
    </row>
    <row r="738" spans="2:2" x14ac:dyDescent="0.2">
      <c r="B738" t="str" cm="1">
        <f t="array" ref="B738">IF(A738="","",_xlfn.CHOOSECOLS('Prematch Backend 2A'!738:738,_xlfn.MAKEARRAY(1,A738-2,_xlfn.LAMBDA(_xlpm.r,_xlpm.c,_xlpm.c))))</f>
        <v/>
      </c>
    </row>
    <row r="739" spans="2:2" x14ac:dyDescent="0.2">
      <c r="B739" t="str" cm="1">
        <f t="array" ref="B739">IF(A739="","",_xlfn.CHOOSECOLS('Prematch Backend 2A'!739:739,_xlfn.MAKEARRAY(1,A739-2,_xlfn.LAMBDA(_xlpm.r,_xlpm.c,_xlpm.c))))</f>
        <v/>
      </c>
    </row>
    <row r="740" spans="2:2" x14ac:dyDescent="0.2">
      <c r="B740" t="str" cm="1">
        <f t="array" ref="B740">IF(A740="","",_xlfn.CHOOSECOLS('Prematch Backend 2A'!740:740,_xlfn.MAKEARRAY(1,A740-2,_xlfn.LAMBDA(_xlpm.r,_xlpm.c,_xlpm.c))))</f>
        <v/>
      </c>
    </row>
    <row r="741" spans="2:2" x14ac:dyDescent="0.2">
      <c r="B741" t="str" cm="1">
        <f t="array" ref="B741">IF(A741="","",_xlfn.CHOOSECOLS('Prematch Backend 2A'!741:741,_xlfn.MAKEARRAY(1,A741-2,_xlfn.LAMBDA(_xlpm.r,_xlpm.c,_xlpm.c))))</f>
        <v/>
      </c>
    </row>
    <row r="742" spans="2:2" x14ac:dyDescent="0.2">
      <c r="B742" t="str" cm="1">
        <f t="array" ref="B742">IF(A742="","",_xlfn.CHOOSECOLS('Prematch Backend 2A'!742:742,_xlfn.MAKEARRAY(1,A742-2,_xlfn.LAMBDA(_xlpm.r,_xlpm.c,_xlpm.c))))</f>
        <v/>
      </c>
    </row>
    <row r="743" spans="2:2" x14ac:dyDescent="0.2">
      <c r="B743" t="str" cm="1">
        <f t="array" ref="B743">IF(A743="","",_xlfn.CHOOSECOLS('Prematch Backend 2A'!743:743,_xlfn.MAKEARRAY(1,A743-2,_xlfn.LAMBDA(_xlpm.r,_xlpm.c,_xlpm.c))))</f>
        <v/>
      </c>
    </row>
    <row r="744" spans="2:2" x14ac:dyDescent="0.2">
      <c r="B744" t="str" cm="1">
        <f t="array" ref="B744">IF(A744="","",_xlfn.CHOOSECOLS('Prematch Backend 2A'!744:744,_xlfn.MAKEARRAY(1,A744-2,_xlfn.LAMBDA(_xlpm.r,_xlpm.c,_xlpm.c))))</f>
        <v/>
      </c>
    </row>
    <row r="745" spans="2:2" x14ac:dyDescent="0.2">
      <c r="B745" t="str" cm="1">
        <f t="array" ref="B745">IF(A745="","",_xlfn.CHOOSECOLS('Prematch Backend 2A'!745:745,_xlfn.MAKEARRAY(1,A745-2,_xlfn.LAMBDA(_xlpm.r,_xlpm.c,_xlpm.c))))</f>
        <v/>
      </c>
    </row>
    <row r="746" spans="2:2" x14ac:dyDescent="0.2">
      <c r="B746" t="str" cm="1">
        <f t="array" ref="B746">IF(A746="","",_xlfn.CHOOSECOLS('Prematch Backend 2A'!746:746,_xlfn.MAKEARRAY(1,A746-2,_xlfn.LAMBDA(_xlpm.r,_xlpm.c,_xlpm.c))))</f>
        <v/>
      </c>
    </row>
    <row r="747" spans="2:2" x14ac:dyDescent="0.2">
      <c r="B747" t="str" cm="1">
        <f t="array" ref="B747">IF(A747="","",_xlfn.CHOOSECOLS('Prematch Backend 2A'!747:747,_xlfn.MAKEARRAY(1,A747-2,_xlfn.LAMBDA(_xlpm.r,_xlpm.c,_xlpm.c))))</f>
        <v/>
      </c>
    </row>
    <row r="748" spans="2:2" x14ac:dyDescent="0.2">
      <c r="B748" t="str" cm="1">
        <f t="array" ref="B748">IF(A748="","",_xlfn.CHOOSECOLS('Prematch Backend 2A'!748:748,_xlfn.MAKEARRAY(1,A748-2,_xlfn.LAMBDA(_xlpm.r,_xlpm.c,_xlpm.c))))</f>
        <v/>
      </c>
    </row>
    <row r="749" spans="2:2" x14ac:dyDescent="0.2">
      <c r="B749" t="str" cm="1">
        <f t="array" ref="B749">IF(A749="","",_xlfn.CHOOSECOLS('Prematch Backend 2A'!749:749,_xlfn.MAKEARRAY(1,A749-2,_xlfn.LAMBDA(_xlpm.r,_xlpm.c,_xlpm.c))))</f>
        <v/>
      </c>
    </row>
    <row r="750" spans="2:2" x14ac:dyDescent="0.2">
      <c r="B750" t="str" cm="1">
        <f t="array" ref="B750">IF(A750="","",_xlfn.CHOOSECOLS('Prematch Backend 2A'!750:750,_xlfn.MAKEARRAY(1,A750-2,_xlfn.LAMBDA(_xlpm.r,_xlpm.c,_xlpm.c))))</f>
        <v/>
      </c>
    </row>
    <row r="751" spans="2:2" x14ac:dyDescent="0.2">
      <c r="B751" t="str" cm="1">
        <f t="array" ref="B751">IF(A751="","",_xlfn.CHOOSECOLS('Prematch Backend 2A'!751:751,_xlfn.MAKEARRAY(1,A751-2,_xlfn.LAMBDA(_xlpm.r,_xlpm.c,_xlpm.c))))</f>
        <v/>
      </c>
    </row>
    <row r="752" spans="2:2" x14ac:dyDescent="0.2">
      <c r="B752" t="str" cm="1">
        <f t="array" ref="B752">IF(A752="","",_xlfn.CHOOSECOLS('Prematch Backend 2A'!752:752,_xlfn.MAKEARRAY(1,A752-2,_xlfn.LAMBDA(_xlpm.r,_xlpm.c,_xlpm.c))))</f>
        <v/>
      </c>
    </row>
    <row r="753" spans="2:2" x14ac:dyDescent="0.2">
      <c r="B753" t="str" cm="1">
        <f t="array" ref="B753">IF(A753="","",_xlfn.CHOOSECOLS('Prematch Backend 2A'!753:753,_xlfn.MAKEARRAY(1,A753-2,_xlfn.LAMBDA(_xlpm.r,_xlpm.c,_xlpm.c))))</f>
        <v/>
      </c>
    </row>
    <row r="754" spans="2:2" x14ac:dyDescent="0.2">
      <c r="B754" t="str" cm="1">
        <f t="array" ref="B754">IF(A754="","",_xlfn.CHOOSECOLS('Prematch Backend 2A'!754:754,_xlfn.MAKEARRAY(1,A754-2,_xlfn.LAMBDA(_xlpm.r,_xlpm.c,_xlpm.c))))</f>
        <v/>
      </c>
    </row>
    <row r="755" spans="2:2" x14ac:dyDescent="0.2">
      <c r="B755" t="str" cm="1">
        <f t="array" ref="B755">IF(A755="","",_xlfn.CHOOSECOLS('Prematch Backend 2A'!755:755,_xlfn.MAKEARRAY(1,A755-2,_xlfn.LAMBDA(_xlpm.r,_xlpm.c,_xlpm.c))))</f>
        <v/>
      </c>
    </row>
    <row r="756" spans="2:2" x14ac:dyDescent="0.2">
      <c r="B756" t="str" cm="1">
        <f t="array" ref="B756">IF(A756="","",_xlfn.CHOOSECOLS('Prematch Backend 2A'!756:756,_xlfn.MAKEARRAY(1,A756-2,_xlfn.LAMBDA(_xlpm.r,_xlpm.c,_xlpm.c))))</f>
        <v/>
      </c>
    </row>
    <row r="757" spans="2:2" x14ac:dyDescent="0.2">
      <c r="B757" t="str" cm="1">
        <f t="array" ref="B757">IF(A757="","",_xlfn.CHOOSECOLS('Prematch Backend 2A'!757:757,_xlfn.MAKEARRAY(1,A757-2,_xlfn.LAMBDA(_xlpm.r,_xlpm.c,_xlpm.c))))</f>
        <v/>
      </c>
    </row>
    <row r="758" spans="2:2" x14ac:dyDescent="0.2">
      <c r="B758" t="str" cm="1">
        <f t="array" ref="B758">IF(A758="","",_xlfn.CHOOSECOLS('Prematch Backend 2A'!758:758,_xlfn.MAKEARRAY(1,A758-2,_xlfn.LAMBDA(_xlpm.r,_xlpm.c,_xlpm.c))))</f>
        <v/>
      </c>
    </row>
    <row r="759" spans="2:2" x14ac:dyDescent="0.2">
      <c r="B759" t="str" cm="1">
        <f t="array" ref="B759">IF(A759="","",_xlfn.CHOOSECOLS('Prematch Backend 2A'!759:759,_xlfn.MAKEARRAY(1,A759-2,_xlfn.LAMBDA(_xlpm.r,_xlpm.c,_xlpm.c))))</f>
        <v/>
      </c>
    </row>
    <row r="760" spans="2:2" x14ac:dyDescent="0.2">
      <c r="B760" t="str" cm="1">
        <f t="array" ref="B760">IF(A760="","",_xlfn.CHOOSECOLS('Prematch Backend 2A'!760:760,_xlfn.MAKEARRAY(1,A760-2,_xlfn.LAMBDA(_xlpm.r,_xlpm.c,_xlpm.c))))</f>
        <v/>
      </c>
    </row>
    <row r="761" spans="2:2" x14ac:dyDescent="0.2">
      <c r="B761" t="str" cm="1">
        <f t="array" ref="B761">IF(A761="","",_xlfn.CHOOSECOLS('Prematch Backend 2A'!761:761,_xlfn.MAKEARRAY(1,A761-2,_xlfn.LAMBDA(_xlpm.r,_xlpm.c,_xlpm.c))))</f>
        <v/>
      </c>
    </row>
    <row r="762" spans="2:2" x14ac:dyDescent="0.2">
      <c r="B762" t="str" cm="1">
        <f t="array" ref="B762">IF(A762="","",_xlfn.CHOOSECOLS('Prematch Backend 2A'!762:762,_xlfn.MAKEARRAY(1,A762-2,_xlfn.LAMBDA(_xlpm.r,_xlpm.c,_xlpm.c))))</f>
        <v/>
      </c>
    </row>
    <row r="763" spans="2:2" x14ac:dyDescent="0.2">
      <c r="B763" t="str" cm="1">
        <f t="array" ref="B763">IF(A763="","",_xlfn.CHOOSECOLS('Prematch Backend 2A'!763:763,_xlfn.MAKEARRAY(1,A763-2,_xlfn.LAMBDA(_xlpm.r,_xlpm.c,_xlpm.c))))</f>
        <v/>
      </c>
    </row>
    <row r="764" spans="2:2" x14ac:dyDescent="0.2">
      <c r="B764" t="str" cm="1">
        <f t="array" ref="B764">IF(A764="","",_xlfn.CHOOSECOLS('Prematch Backend 2A'!764:764,_xlfn.MAKEARRAY(1,A764-2,_xlfn.LAMBDA(_xlpm.r,_xlpm.c,_xlpm.c))))</f>
        <v/>
      </c>
    </row>
    <row r="765" spans="2:2" x14ac:dyDescent="0.2">
      <c r="B765" t="str" cm="1">
        <f t="array" ref="B765">IF(A765="","",_xlfn.CHOOSECOLS('Prematch Backend 2A'!765:765,_xlfn.MAKEARRAY(1,A765-2,_xlfn.LAMBDA(_xlpm.r,_xlpm.c,_xlpm.c))))</f>
        <v/>
      </c>
    </row>
    <row r="766" spans="2:2" x14ac:dyDescent="0.2">
      <c r="B766" t="str" cm="1">
        <f t="array" ref="B766">IF(A766="","",_xlfn.CHOOSECOLS('Prematch Backend 2A'!766:766,_xlfn.MAKEARRAY(1,A766-2,_xlfn.LAMBDA(_xlpm.r,_xlpm.c,_xlpm.c))))</f>
        <v/>
      </c>
    </row>
    <row r="767" spans="2:2" x14ac:dyDescent="0.2">
      <c r="B767" t="str" cm="1">
        <f t="array" ref="B767">IF(A767="","",_xlfn.CHOOSECOLS('Prematch Backend 2A'!767:767,_xlfn.MAKEARRAY(1,A767-2,_xlfn.LAMBDA(_xlpm.r,_xlpm.c,_xlpm.c))))</f>
        <v/>
      </c>
    </row>
    <row r="768" spans="2:2" x14ac:dyDescent="0.2">
      <c r="B768" t="str" cm="1">
        <f t="array" ref="B768">IF(A768="","",_xlfn.CHOOSECOLS('Prematch Backend 2A'!768:768,_xlfn.MAKEARRAY(1,A768-2,_xlfn.LAMBDA(_xlpm.r,_xlpm.c,_xlpm.c))))</f>
        <v/>
      </c>
    </row>
    <row r="769" spans="2:2" x14ac:dyDescent="0.2">
      <c r="B769" t="str" cm="1">
        <f t="array" ref="B769">IF(A769="","",_xlfn.CHOOSECOLS('Prematch Backend 2A'!769:769,_xlfn.MAKEARRAY(1,A769-2,_xlfn.LAMBDA(_xlpm.r,_xlpm.c,_xlpm.c))))</f>
        <v/>
      </c>
    </row>
    <row r="770" spans="2:2" x14ac:dyDescent="0.2">
      <c r="B770" t="str" cm="1">
        <f t="array" ref="B770">IF(A770="","",_xlfn.CHOOSECOLS('Prematch Backend 2A'!770:770,_xlfn.MAKEARRAY(1,A770-2,_xlfn.LAMBDA(_xlpm.r,_xlpm.c,_xlpm.c))))</f>
        <v/>
      </c>
    </row>
    <row r="771" spans="2:2" x14ac:dyDescent="0.2">
      <c r="B771" t="str" cm="1">
        <f t="array" ref="B771">IF(A771="","",_xlfn.CHOOSECOLS('Prematch Backend 2A'!771:771,_xlfn.MAKEARRAY(1,A771-2,_xlfn.LAMBDA(_xlpm.r,_xlpm.c,_xlpm.c))))</f>
        <v/>
      </c>
    </row>
    <row r="772" spans="2:2" x14ac:dyDescent="0.2">
      <c r="B772" t="str" cm="1">
        <f t="array" ref="B772">IF(A772="","",_xlfn.CHOOSECOLS('Prematch Backend 2A'!772:772,_xlfn.MAKEARRAY(1,A772-2,_xlfn.LAMBDA(_xlpm.r,_xlpm.c,_xlpm.c))))</f>
        <v/>
      </c>
    </row>
    <row r="773" spans="2:2" x14ac:dyDescent="0.2">
      <c r="B773" t="str" cm="1">
        <f t="array" ref="B773">IF(A773="","",_xlfn.CHOOSECOLS('Prematch Backend 2A'!773:773,_xlfn.MAKEARRAY(1,A773-2,_xlfn.LAMBDA(_xlpm.r,_xlpm.c,_xlpm.c))))</f>
        <v/>
      </c>
    </row>
    <row r="774" spans="2:2" x14ac:dyDescent="0.2">
      <c r="B774" t="str" cm="1">
        <f t="array" ref="B774">IF(A774="","",_xlfn.CHOOSECOLS('Prematch Backend 2A'!774:774,_xlfn.MAKEARRAY(1,A774-2,_xlfn.LAMBDA(_xlpm.r,_xlpm.c,_xlpm.c))))</f>
        <v/>
      </c>
    </row>
    <row r="775" spans="2:2" x14ac:dyDescent="0.2">
      <c r="B775" t="str" cm="1">
        <f t="array" ref="B775">IF(A775="","",_xlfn.CHOOSECOLS('Prematch Backend 2A'!775:775,_xlfn.MAKEARRAY(1,A775-2,_xlfn.LAMBDA(_xlpm.r,_xlpm.c,_xlpm.c))))</f>
        <v/>
      </c>
    </row>
    <row r="776" spans="2:2" x14ac:dyDescent="0.2">
      <c r="B776" t="str" cm="1">
        <f t="array" ref="B776">IF(A776="","",_xlfn.CHOOSECOLS('Prematch Backend 2A'!776:776,_xlfn.MAKEARRAY(1,A776-2,_xlfn.LAMBDA(_xlpm.r,_xlpm.c,_xlpm.c))))</f>
        <v/>
      </c>
    </row>
    <row r="777" spans="2:2" x14ac:dyDescent="0.2">
      <c r="B777" t="str" cm="1">
        <f t="array" ref="B777">IF(A777="","",_xlfn.CHOOSECOLS('Prematch Backend 2A'!777:777,_xlfn.MAKEARRAY(1,A777-2,_xlfn.LAMBDA(_xlpm.r,_xlpm.c,_xlpm.c))))</f>
        <v/>
      </c>
    </row>
    <row r="778" spans="2:2" x14ac:dyDescent="0.2">
      <c r="B778" t="str" cm="1">
        <f t="array" ref="B778">IF(A778="","",_xlfn.CHOOSECOLS('Prematch Backend 2A'!778:778,_xlfn.MAKEARRAY(1,A778-2,_xlfn.LAMBDA(_xlpm.r,_xlpm.c,_xlpm.c))))</f>
        <v/>
      </c>
    </row>
    <row r="779" spans="2:2" x14ac:dyDescent="0.2">
      <c r="B779" t="str" cm="1">
        <f t="array" ref="B779">IF(A779="","",_xlfn.CHOOSECOLS('Prematch Backend 2A'!779:779,_xlfn.MAKEARRAY(1,A779-2,_xlfn.LAMBDA(_xlpm.r,_xlpm.c,_xlpm.c))))</f>
        <v/>
      </c>
    </row>
    <row r="780" spans="2:2" x14ac:dyDescent="0.2">
      <c r="B780" t="str" cm="1">
        <f t="array" ref="B780">IF(A780="","",_xlfn.CHOOSECOLS('Prematch Backend 2A'!780:780,_xlfn.MAKEARRAY(1,A780-2,_xlfn.LAMBDA(_xlpm.r,_xlpm.c,_xlpm.c))))</f>
        <v/>
      </c>
    </row>
    <row r="781" spans="2:2" x14ac:dyDescent="0.2">
      <c r="B781" t="str" cm="1">
        <f t="array" ref="B781">IF(A781="","",_xlfn.CHOOSECOLS('Prematch Backend 2A'!781:781,_xlfn.MAKEARRAY(1,A781-2,_xlfn.LAMBDA(_xlpm.r,_xlpm.c,_xlpm.c))))</f>
        <v/>
      </c>
    </row>
    <row r="782" spans="2:2" x14ac:dyDescent="0.2">
      <c r="B782" t="str" cm="1">
        <f t="array" ref="B782">IF(A782="","",_xlfn.CHOOSECOLS('Prematch Backend 2A'!782:782,_xlfn.MAKEARRAY(1,A782-2,_xlfn.LAMBDA(_xlpm.r,_xlpm.c,_xlpm.c))))</f>
        <v/>
      </c>
    </row>
    <row r="783" spans="2:2" x14ac:dyDescent="0.2">
      <c r="B783" t="str" cm="1">
        <f t="array" ref="B783">IF(A783="","",_xlfn.CHOOSECOLS('Prematch Backend 2A'!783:783,_xlfn.MAKEARRAY(1,A783-2,_xlfn.LAMBDA(_xlpm.r,_xlpm.c,_xlpm.c))))</f>
        <v/>
      </c>
    </row>
    <row r="784" spans="2:2" x14ac:dyDescent="0.2">
      <c r="B784" t="str" cm="1">
        <f t="array" ref="B784">IF(A784="","",_xlfn.CHOOSECOLS('Prematch Backend 2A'!784:784,_xlfn.MAKEARRAY(1,A784-2,_xlfn.LAMBDA(_xlpm.r,_xlpm.c,_xlpm.c))))</f>
        <v/>
      </c>
    </row>
    <row r="785" spans="2:2" x14ac:dyDescent="0.2">
      <c r="B785" t="str" cm="1">
        <f t="array" ref="B785">IF(A785="","",_xlfn.CHOOSECOLS('Prematch Backend 2A'!785:785,_xlfn.MAKEARRAY(1,A785-2,_xlfn.LAMBDA(_xlpm.r,_xlpm.c,_xlpm.c))))</f>
        <v/>
      </c>
    </row>
    <row r="786" spans="2:2" x14ac:dyDescent="0.2">
      <c r="B786" t="str" cm="1">
        <f t="array" ref="B786">IF(A786="","",_xlfn.CHOOSECOLS('Prematch Backend 2A'!786:786,_xlfn.MAKEARRAY(1,A786-2,_xlfn.LAMBDA(_xlpm.r,_xlpm.c,_xlpm.c))))</f>
        <v/>
      </c>
    </row>
    <row r="787" spans="2:2" x14ac:dyDescent="0.2">
      <c r="B787" t="str" cm="1">
        <f t="array" ref="B787">IF(A787="","",_xlfn.CHOOSECOLS('Prematch Backend 2A'!787:787,_xlfn.MAKEARRAY(1,A787-2,_xlfn.LAMBDA(_xlpm.r,_xlpm.c,_xlpm.c))))</f>
        <v/>
      </c>
    </row>
    <row r="788" spans="2:2" x14ac:dyDescent="0.2">
      <c r="B788" t="str" cm="1">
        <f t="array" ref="B788">IF(A788="","",_xlfn.CHOOSECOLS('Prematch Backend 2A'!788:788,_xlfn.MAKEARRAY(1,A788-2,_xlfn.LAMBDA(_xlpm.r,_xlpm.c,_xlpm.c))))</f>
        <v/>
      </c>
    </row>
    <row r="789" spans="2:2" x14ac:dyDescent="0.2">
      <c r="B789" t="str" cm="1">
        <f t="array" ref="B789">IF(A789="","",_xlfn.CHOOSECOLS('Prematch Backend 2A'!789:789,_xlfn.MAKEARRAY(1,A789-2,_xlfn.LAMBDA(_xlpm.r,_xlpm.c,_xlpm.c))))</f>
        <v/>
      </c>
    </row>
    <row r="790" spans="2:2" x14ac:dyDescent="0.2">
      <c r="B790" t="str" cm="1">
        <f t="array" ref="B790">IF(A790="","",_xlfn.CHOOSECOLS('Prematch Backend 2A'!790:790,_xlfn.MAKEARRAY(1,A790-2,_xlfn.LAMBDA(_xlpm.r,_xlpm.c,_xlpm.c))))</f>
        <v/>
      </c>
    </row>
    <row r="791" spans="2:2" x14ac:dyDescent="0.2">
      <c r="B791" t="str" cm="1">
        <f t="array" ref="B791">IF(A791="","",_xlfn.CHOOSECOLS('Prematch Backend 2A'!791:791,_xlfn.MAKEARRAY(1,A791-2,_xlfn.LAMBDA(_xlpm.r,_xlpm.c,_xlpm.c))))</f>
        <v/>
      </c>
    </row>
    <row r="792" spans="2:2" x14ac:dyDescent="0.2">
      <c r="B792" t="str" cm="1">
        <f t="array" ref="B792">IF(A792="","",_xlfn.CHOOSECOLS('Prematch Backend 2A'!792:792,_xlfn.MAKEARRAY(1,A792-2,_xlfn.LAMBDA(_xlpm.r,_xlpm.c,_xlpm.c))))</f>
        <v/>
      </c>
    </row>
    <row r="793" spans="2:2" x14ac:dyDescent="0.2">
      <c r="B793" t="str" cm="1">
        <f t="array" ref="B793">IF(A793="","",_xlfn.CHOOSECOLS('Prematch Backend 2A'!793:793,_xlfn.MAKEARRAY(1,A793-2,_xlfn.LAMBDA(_xlpm.r,_xlpm.c,_xlpm.c))))</f>
        <v/>
      </c>
    </row>
    <row r="794" spans="2:2" x14ac:dyDescent="0.2">
      <c r="B794" t="str" cm="1">
        <f t="array" ref="B794">IF(A794="","",_xlfn.CHOOSECOLS('Prematch Backend 2A'!794:794,_xlfn.MAKEARRAY(1,A794-2,_xlfn.LAMBDA(_xlpm.r,_xlpm.c,_xlpm.c))))</f>
        <v/>
      </c>
    </row>
    <row r="795" spans="2:2" x14ac:dyDescent="0.2">
      <c r="B795" t="str" cm="1">
        <f t="array" ref="B795">IF(A795="","",_xlfn.CHOOSECOLS('Prematch Backend 2A'!795:795,_xlfn.MAKEARRAY(1,A795-2,_xlfn.LAMBDA(_xlpm.r,_xlpm.c,_xlpm.c))))</f>
        <v/>
      </c>
    </row>
    <row r="796" spans="2:2" x14ac:dyDescent="0.2">
      <c r="B796" t="str" cm="1">
        <f t="array" ref="B796">IF(A796="","",_xlfn.CHOOSECOLS('Prematch Backend 2A'!796:796,_xlfn.MAKEARRAY(1,A796-2,_xlfn.LAMBDA(_xlpm.r,_xlpm.c,_xlpm.c))))</f>
        <v/>
      </c>
    </row>
    <row r="797" spans="2:2" x14ac:dyDescent="0.2">
      <c r="B797" t="str" cm="1">
        <f t="array" ref="B797">IF(A797="","",_xlfn.CHOOSECOLS('Prematch Backend 2A'!797:797,_xlfn.MAKEARRAY(1,A797-2,_xlfn.LAMBDA(_xlpm.r,_xlpm.c,_xlpm.c))))</f>
        <v/>
      </c>
    </row>
    <row r="798" spans="2:2" x14ac:dyDescent="0.2">
      <c r="B798" t="str" cm="1">
        <f t="array" ref="B798">IF(A798="","",_xlfn.CHOOSECOLS('Prematch Backend 2A'!798:798,_xlfn.MAKEARRAY(1,A798-2,_xlfn.LAMBDA(_xlpm.r,_xlpm.c,_xlpm.c))))</f>
        <v/>
      </c>
    </row>
    <row r="799" spans="2:2" x14ac:dyDescent="0.2">
      <c r="B799" t="str" cm="1">
        <f t="array" ref="B799">IF(A799="","",_xlfn.CHOOSECOLS('Prematch Backend 2A'!799:799,_xlfn.MAKEARRAY(1,A799-2,_xlfn.LAMBDA(_xlpm.r,_xlpm.c,_xlpm.c))))</f>
        <v/>
      </c>
    </row>
    <row r="800" spans="2:2" x14ac:dyDescent="0.2">
      <c r="B800" t="str" cm="1">
        <f t="array" ref="B800">IF(A800="","",_xlfn.CHOOSECOLS('Prematch Backend 2A'!800:800,_xlfn.MAKEARRAY(1,A800-2,_xlfn.LAMBDA(_xlpm.r,_xlpm.c,_xlpm.c))))</f>
        <v/>
      </c>
    </row>
    <row r="801" spans="2:2" x14ac:dyDescent="0.2">
      <c r="B801" t="str" cm="1">
        <f t="array" ref="B801">IF(A801="","",_xlfn.CHOOSECOLS('Prematch Backend 2A'!801:801,_xlfn.MAKEARRAY(1,A801-2,_xlfn.LAMBDA(_xlpm.r,_xlpm.c,_xlpm.c))))</f>
        <v/>
      </c>
    </row>
    <row r="802" spans="2:2" x14ac:dyDescent="0.2">
      <c r="B802" t="str" cm="1">
        <f t="array" ref="B802">IF(A802="","",_xlfn.CHOOSECOLS('Prematch Backend 2A'!802:802,_xlfn.MAKEARRAY(1,A802-2,_xlfn.LAMBDA(_xlpm.r,_xlpm.c,_xlpm.c))))</f>
        <v/>
      </c>
    </row>
    <row r="803" spans="2:2" x14ac:dyDescent="0.2">
      <c r="B803" t="str" cm="1">
        <f t="array" ref="B803">IF(A803="","",_xlfn.CHOOSECOLS('Prematch Backend 2A'!803:803,_xlfn.MAKEARRAY(1,A803-2,_xlfn.LAMBDA(_xlpm.r,_xlpm.c,_xlpm.c))))</f>
        <v/>
      </c>
    </row>
    <row r="804" spans="2:2" x14ac:dyDescent="0.2">
      <c r="B804" t="str" cm="1">
        <f t="array" ref="B804">IF(A804="","",_xlfn.CHOOSECOLS('Prematch Backend 2A'!804:804,_xlfn.MAKEARRAY(1,A804-2,_xlfn.LAMBDA(_xlpm.r,_xlpm.c,_xlpm.c))))</f>
        <v/>
      </c>
    </row>
    <row r="805" spans="2:2" x14ac:dyDescent="0.2">
      <c r="B805" t="str" cm="1">
        <f t="array" ref="B805">IF(A805="","",_xlfn.CHOOSECOLS('Prematch Backend 2A'!805:805,_xlfn.MAKEARRAY(1,A805-2,_xlfn.LAMBDA(_xlpm.r,_xlpm.c,_xlpm.c))))</f>
        <v/>
      </c>
    </row>
    <row r="806" spans="2:2" x14ac:dyDescent="0.2">
      <c r="B806" t="str" cm="1">
        <f t="array" ref="B806">IF(A806="","",_xlfn.CHOOSECOLS('Prematch Backend 2A'!806:806,_xlfn.MAKEARRAY(1,A806-2,_xlfn.LAMBDA(_xlpm.r,_xlpm.c,_xlpm.c))))</f>
        <v/>
      </c>
    </row>
    <row r="807" spans="2:2" x14ac:dyDescent="0.2">
      <c r="B807" t="str" cm="1">
        <f t="array" ref="B807">IF(A807="","",_xlfn.CHOOSECOLS('Prematch Backend 2A'!807:807,_xlfn.MAKEARRAY(1,A807-2,_xlfn.LAMBDA(_xlpm.r,_xlpm.c,_xlpm.c))))</f>
        <v/>
      </c>
    </row>
    <row r="808" spans="2:2" x14ac:dyDescent="0.2">
      <c r="B808" t="str" cm="1">
        <f t="array" ref="B808">IF(A808="","",_xlfn.CHOOSECOLS('Prematch Backend 2A'!808:808,_xlfn.MAKEARRAY(1,A808-2,_xlfn.LAMBDA(_xlpm.r,_xlpm.c,_xlpm.c))))</f>
        <v/>
      </c>
    </row>
    <row r="809" spans="2:2" x14ac:dyDescent="0.2">
      <c r="B809" t="str" cm="1">
        <f t="array" ref="B809">IF(A809="","",_xlfn.CHOOSECOLS('Prematch Backend 2A'!809:809,_xlfn.MAKEARRAY(1,A809-2,_xlfn.LAMBDA(_xlpm.r,_xlpm.c,_xlpm.c))))</f>
        <v/>
      </c>
    </row>
    <row r="810" spans="2:2" x14ac:dyDescent="0.2">
      <c r="B810" t="str" cm="1">
        <f t="array" ref="B810">IF(A810="","",_xlfn.CHOOSECOLS('Prematch Backend 2A'!810:810,_xlfn.MAKEARRAY(1,A810-2,_xlfn.LAMBDA(_xlpm.r,_xlpm.c,_xlpm.c))))</f>
        <v/>
      </c>
    </row>
    <row r="811" spans="2:2" x14ac:dyDescent="0.2">
      <c r="B811" t="str" cm="1">
        <f t="array" ref="B811">IF(A811="","",_xlfn.CHOOSECOLS('Prematch Backend 2A'!811:811,_xlfn.MAKEARRAY(1,A811-2,_xlfn.LAMBDA(_xlpm.r,_xlpm.c,_xlpm.c))))</f>
        <v/>
      </c>
    </row>
    <row r="812" spans="2:2" x14ac:dyDescent="0.2">
      <c r="B812" t="str" cm="1">
        <f t="array" ref="B812">IF(A812="","",_xlfn.CHOOSECOLS('Prematch Backend 2A'!812:812,_xlfn.MAKEARRAY(1,A812-2,_xlfn.LAMBDA(_xlpm.r,_xlpm.c,_xlpm.c))))</f>
        <v/>
      </c>
    </row>
    <row r="813" spans="2:2" x14ac:dyDescent="0.2">
      <c r="B813" t="str" cm="1">
        <f t="array" ref="B813">IF(A813="","",_xlfn.CHOOSECOLS('Prematch Backend 2A'!813:813,_xlfn.MAKEARRAY(1,A813-2,_xlfn.LAMBDA(_xlpm.r,_xlpm.c,_xlpm.c))))</f>
        <v/>
      </c>
    </row>
    <row r="814" spans="2:2" x14ac:dyDescent="0.2">
      <c r="B814" t="str" cm="1">
        <f t="array" ref="B814">IF(A814="","",_xlfn.CHOOSECOLS('Prematch Backend 2A'!814:814,_xlfn.MAKEARRAY(1,A814-2,_xlfn.LAMBDA(_xlpm.r,_xlpm.c,_xlpm.c))))</f>
        <v/>
      </c>
    </row>
    <row r="815" spans="2:2" x14ac:dyDescent="0.2">
      <c r="B815" t="str" cm="1">
        <f t="array" ref="B815">IF(A815="","",_xlfn.CHOOSECOLS('Prematch Backend 2A'!815:815,_xlfn.MAKEARRAY(1,A815-2,_xlfn.LAMBDA(_xlpm.r,_xlpm.c,_xlpm.c))))</f>
        <v/>
      </c>
    </row>
    <row r="816" spans="2:2" x14ac:dyDescent="0.2">
      <c r="B816" t="str" cm="1">
        <f t="array" ref="B816">IF(A816="","",_xlfn.CHOOSECOLS('Prematch Backend 2A'!816:816,_xlfn.MAKEARRAY(1,A816-2,_xlfn.LAMBDA(_xlpm.r,_xlpm.c,_xlpm.c))))</f>
        <v/>
      </c>
    </row>
    <row r="817" spans="2:2" x14ac:dyDescent="0.2">
      <c r="B817" t="str" cm="1">
        <f t="array" ref="B817">IF(A817="","",_xlfn.CHOOSECOLS('Prematch Backend 2A'!817:817,_xlfn.MAKEARRAY(1,A817-2,_xlfn.LAMBDA(_xlpm.r,_xlpm.c,_xlpm.c))))</f>
        <v/>
      </c>
    </row>
    <row r="818" spans="2:2" x14ac:dyDescent="0.2">
      <c r="B818" t="str" cm="1">
        <f t="array" ref="B818">IF(A818="","",_xlfn.CHOOSECOLS('Prematch Backend 2A'!818:818,_xlfn.MAKEARRAY(1,A818-2,_xlfn.LAMBDA(_xlpm.r,_xlpm.c,_xlpm.c))))</f>
        <v/>
      </c>
    </row>
    <row r="819" spans="2:2" x14ac:dyDescent="0.2">
      <c r="B819" t="str" cm="1">
        <f t="array" ref="B819">IF(A819="","",_xlfn.CHOOSECOLS('Prematch Backend 2A'!819:819,_xlfn.MAKEARRAY(1,A819-2,_xlfn.LAMBDA(_xlpm.r,_xlpm.c,_xlpm.c))))</f>
        <v/>
      </c>
    </row>
    <row r="820" spans="2:2" x14ac:dyDescent="0.2">
      <c r="B820" t="str" cm="1">
        <f t="array" ref="B820">IF(A820="","",_xlfn.CHOOSECOLS('Prematch Backend 2A'!820:820,_xlfn.MAKEARRAY(1,A820-2,_xlfn.LAMBDA(_xlpm.r,_xlpm.c,_xlpm.c))))</f>
        <v/>
      </c>
    </row>
    <row r="821" spans="2:2" x14ac:dyDescent="0.2">
      <c r="B821" t="str" cm="1">
        <f t="array" ref="B821">IF(A821="","",_xlfn.CHOOSECOLS('Prematch Backend 2A'!821:821,_xlfn.MAKEARRAY(1,A821-2,_xlfn.LAMBDA(_xlpm.r,_xlpm.c,_xlpm.c))))</f>
        <v/>
      </c>
    </row>
    <row r="822" spans="2:2" x14ac:dyDescent="0.2">
      <c r="B822" t="str" cm="1">
        <f t="array" ref="B822">IF(A822="","",_xlfn.CHOOSECOLS('Prematch Backend 2A'!822:822,_xlfn.MAKEARRAY(1,A822-2,_xlfn.LAMBDA(_xlpm.r,_xlpm.c,_xlpm.c))))</f>
        <v/>
      </c>
    </row>
    <row r="823" spans="2:2" x14ac:dyDescent="0.2">
      <c r="B823" t="str" cm="1">
        <f t="array" ref="B823">IF(A823="","",_xlfn.CHOOSECOLS('Prematch Backend 2A'!823:823,_xlfn.MAKEARRAY(1,A823-2,_xlfn.LAMBDA(_xlpm.r,_xlpm.c,_xlpm.c))))</f>
        <v/>
      </c>
    </row>
    <row r="824" spans="2:2" x14ac:dyDescent="0.2">
      <c r="B824" t="str" cm="1">
        <f t="array" ref="B824">IF(A824="","",_xlfn.CHOOSECOLS('Prematch Backend 2A'!824:824,_xlfn.MAKEARRAY(1,A824-2,_xlfn.LAMBDA(_xlpm.r,_xlpm.c,_xlpm.c))))</f>
        <v/>
      </c>
    </row>
    <row r="825" spans="2:2" x14ac:dyDescent="0.2">
      <c r="B825" t="str" cm="1">
        <f t="array" ref="B825">IF(A825="","",_xlfn.CHOOSECOLS('Prematch Backend 2A'!825:825,_xlfn.MAKEARRAY(1,A825-2,_xlfn.LAMBDA(_xlpm.r,_xlpm.c,_xlpm.c))))</f>
        <v/>
      </c>
    </row>
    <row r="826" spans="2:2" x14ac:dyDescent="0.2">
      <c r="B826" t="str" cm="1">
        <f t="array" ref="B826">IF(A826="","",_xlfn.CHOOSECOLS('Prematch Backend 2A'!826:826,_xlfn.MAKEARRAY(1,A826-2,_xlfn.LAMBDA(_xlpm.r,_xlpm.c,_xlpm.c))))</f>
        <v/>
      </c>
    </row>
    <row r="827" spans="2:2" x14ac:dyDescent="0.2">
      <c r="B827" t="str" cm="1">
        <f t="array" ref="B827">IF(A827="","",_xlfn.CHOOSECOLS('Prematch Backend 2A'!827:827,_xlfn.MAKEARRAY(1,A827-2,_xlfn.LAMBDA(_xlpm.r,_xlpm.c,_xlpm.c))))</f>
        <v/>
      </c>
    </row>
    <row r="828" spans="2:2" x14ac:dyDescent="0.2">
      <c r="B828" t="str" cm="1">
        <f t="array" ref="B828">IF(A828="","",_xlfn.CHOOSECOLS('Prematch Backend 2A'!828:828,_xlfn.MAKEARRAY(1,A828-2,_xlfn.LAMBDA(_xlpm.r,_xlpm.c,_xlpm.c))))</f>
        <v/>
      </c>
    </row>
    <row r="829" spans="2:2" x14ac:dyDescent="0.2">
      <c r="B829" t="str" cm="1">
        <f t="array" ref="B829">IF(A829="","",_xlfn.CHOOSECOLS('Prematch Backend 2A'!829:829,_xlfn.MAKEARRAY(1,A829-2,_xlfn.LAMBDA(_xlpm.r,_xlpm.c,_xlpm.c))))</f>
        <v/>
      </c>
    </row>
    <row r="830" spans="2:2" x14ac:dyDescent="0.2">
      <c r="B830" t="str" cm="1">
        <f t="array" ref="B830">IF(A830="","",_xlfn.CHOOSECOLS('Prematch Backend 2A'!830:830,_xlfn.MAKEARRAY(1,A830-2,_xlfn.LAMBDA(_xlpm.r,_xlpm.c,_xlpm.c))))</f>
        <v/>
      </c>
    </row>
    <row r="831" spans="2:2" x14ac:dyDescent="0.2">
      <c r="B831" t="str" cm="1">
        <f t="array" ref="B831">IF(A831="","",_xlfn.CHOOSECOLS('Prematch Backend 2A'!831:831,_xlfn.MAKEARRAY(1,A831-2,_xlfn.LAMBDA(_xlpm.r,_xlpm.c,_xlpm.c))))</f>
        <v/>
      </c>
    </row>
    <row r="832" spans="2:2" x14ac:dyDescent="0.2">
      <c r="B832" t="str" cm="1">
        <f t="array" ref="B832">IF(A832="","",_xlfn.CHOOSECOLS('Prematch Backend 2A'!832:832,_xlfn.MAKEARRAY(1,A832-2,_xlfn.LAMBDA(_xlpm.r,_xlpm.c,_xlpm.c))))</f>
        <v/>
      </c>
    </row>
    <row r="833" spans="2:2" x14ac:dyDescent="0.2">
      <c r="B833" t="str" cm="1">
        <f t="array" ref="B833">IF(A833="","",_xlfn.CHOOSECOLS('Prematch Backend 2A'!833:833,_xlfn.MAKEARRAY(1,A833-2,_xlfn.LAMBDA(_xlpm.r,_xlpm.c,_xlpm.c))))</f>
        <v/>
      </c>
    </row>
    <row r="834" spans="2:2" x14ac:dyDescent="0.2">
      <c r="B834" t="str" cm="1">
        <f t="array" ref="B834">IF(A834="","",_xlfn.CHOOSECOLS('Prematch Backend 2A'!834:834,_xlfn.MAKEARRAY(1,A834-2,_xlfn.LAMBDA(_xlpm.r,_xlpm.c,_xlpm.c))))</f>
        <v/>
      </c>
    </row>
    <row r="835" spans="2:2" x14ac:dyDescent="0.2">
      <c r="B835" t="str" cm="1">
        <f t="array" ref="B835">IF(A835="","",_xlfn.CHOOSECOLS('Prematch Backend 2A'!835:835,_xlfn.MAKEARRAY(1,A835-2,_xlfn.LAMBDA(_xlpm.r,_xlpm.c,_xlpm.c))))</f>
        <v/>
      </c>
    </row>
    <row r="836" spans="2:2" x14ac:dyDescent="0.2">
      <c r="B836" t="str" cm="1">
        <f t="array" ref="B836">IF(A836="","",_xlfn.CHOOSECOLS('Prematch Backend 2A'!836:836,_xlfn.MAKEARRAY(1,A836-2,_xlfn.LAMBDA(_xlpm.r,_xlpm.c,_xlpm.c))))</f>
        <v/>
      </c>
    </row>
    <row r="837" spans="2:2" x14ac:dyDescent="0.2">
      <c r="B837" t="str" cm="1">
        <f t="array" ref="B837">IF(A837="","",_xlfn.CHOOSECOLS('Prematch Backend 2A'!837:837,_xlfn.MAKEARRAY(1,A837-2,_xlfn.LAMBDA(_xlpm.r,_xlpm.c,_xlpm.c))))</f>
        <v/>
      </c>
    </row>
    <row r="838" spans="2:2" x14ac:dyDescent="0.2">
      <c r="B838" t="str" cm="1">
        <f t="array" ref="B838">IF(A838="","",_xlfn.CHOOSECOLS('Prematch Backend 2A'!838:838,_xlfn.MAKEARRAY(1,A838-2,_xlfn.LAMBDA(_xlpm.r,_xlpm.c,_xlpm.c))))</f>
        <v/>
      </c>
    </row>
    <row r="839" spans="2:2" x14ac:dyDescent="0.2">
      <c r="B839" t="str" cm="1">
        <f t="array" ref="B839">IF(A839="","",_xlfn.CHOOSECOLS('Prematch Backend 2A'!839:839,_xlfn.MAKEARRAY(1,A839-2,_xlfn.LAMBDA(_xlpm.r,_xlpm.c,_xlpm.c))))</f>
        <v/>
      </c>
    </row>
    <row r="840" spans="2:2" x14ac:dyDescent="0.2">
      <c r="B840" t="str" cm="1">
        <f t="array" ref="B840">IF(A840="","",_xlfn.CHOOSECOLS('Prematch Backend 2A'!840:840,_xlfn.MAKEARRAY(1,A840-2,_xlfn.LAMBDA(_xlpm.r,_xlpm.c,_xlpm.c))))</f>
        <v/>
      </c>
    </row>
    <row r="841" spans="2:2" x14ac:dyDescent="0.2">
      <c r="B841" t="str" cm="1">
        <f t="array" ref="B841">IF(A841="","",_xlfn.CHOOSECOLS('Prematch Backend 2A'!841:841,_xlfn.MAKEARRAY(1,A841-2,_xlfn.LAMBDA(_xlpm.r,_xlpm.c,_xlpm.c))))</f>
        <v/>
      </c>
    </row>
    <row r="842" spans="2:2" x14ac:dyDescent="0.2">
      <c r="B842" t="str" cm="1">
        <f t="array" ref="B842">IF(A842="","",_xlfn.CHOOSECOLS('Prematch Backend 2A'!842:842,_xlfn.MAKEARRAY(1,A842-2,_xlfn.LAMBDA(_xlpm.r,_xlpm.c,_xlpm.c))))</f>
        <v/>
      </c>
    </row>
    <row r="843" spans="2:2" x14ac:dyDescent="0.2">
      <c r="B843" t="str" cm="1">
        <f t="array" ref="B843">IF(A843="","",_xlfn.CHOOSECOLS('Prematch Backend 2A'!843:843,_xlfn.MAKEARRAY(1,A843-2,_xlfn.LAMBDA(_xlpm.r,_xlpm.c,_xlpm.c))))</f>
        <v/>
      </c>
    </row>
    <row r="844" spans="2:2" x14ac:dyDescent="0.2">
      <c r="B844" t="str" cm="1">
        <f t="array" ref="B844">IF(A844="","",_xlfn.CHOOSECOLS('Prematch Backend 2A'!844:844,_xlfn.MAKEARRAY(1,A844-2,_xlfn.LAMBDA(_xlpm.r,_xlpm.c,_xlpm.c))))</f>
        <v/>
      </c>
    </row>
    <row r="845" spans="2:2" x14ac:dyDescent="0.2">
      <c r="B845" t="str" cm="1">
        <f t="array" ref="B845">IF(A845="","",_xlfn.CHOOSECOLS('Prematch Backend 2A'!845:845,_xlfn.MAKEARRAY(1,A845-2,_xlfn.LAMBDA(_xlpm.r,_xlpm.c,_xlpm.c))))</f>
        <v/>
      </c>
    </row>
    <row r="846" spans="2:2" x14ac:dyDescent="0.2">
      <c r="B846" t="str" cm="1">
        <f t="array" ref="B846">IF(A846="","",_xlfn.CHOOSECOLS('Prematch Backend 2A'!846:846,_xlfn.MAKEARRAY(1,A846-2,_xlfn.LAMBDA(_xlpm.r,_xlpm.c,_xlpm.c))))</f>
        <v/>
      </c>
    </row>
    <row r="847" spans="2:2" x14ac:dyDescent="0.2">
      <c r="B847" t="str" cm="1">
        <f t="array" ref="B847">IF(A847="","",_xlfn.CHOOSECOLS('Prematch Backend 2A'!847:847,_xlfn.MAKEARRAY(1,A847-2,_xlfn.LAMBDA(_xlpm.r,_xlpm.c,_xlpm.c))))</f>
        <v/>
      </c>
    </row>
    <row r="848" spans="2:2" x14ac:dyDescent="0.2">
      <c r="B848" t="str" cm="1">
        <f t="array" ref="B848">IF(A848="","",_xlfn.CHOOSECOLS('Prematch Backend 2A'!848:848,_xlfn.MAKEARRAY(1,A848-2,_xlfn.LAMBDA(_xlpm.r,_xlpm.c,_xlpm.c))))</f>
        <v/>
      </c>
    </row>
    <row r="849" spans="2:2" x14ac:dyDescent="0.2">
      <c r="B849" t="str" cm="1">
        <f t="array" ref="B849">IF(A849="","",_xlfn.CHOOSECOLS('Prematch Backend 2A'!849:849,_xlfn.MAKEARRAY(1,A849-2,_xlfn.LAMBDA(_xlpm.r,_xlpm.c,_xlpm.c))))</f>
        <v/>
      </c>
    </row>
    <row r="850" spans="2:2" x14ac:dyDescent="0.2">
      <c r="B850" t="str" cm="1">
        <f t="array" ref="B850">IF(A850="","",_xlfn.CHOOSECOLS('Prematch Backend 2A'!850:850,_xlfn.MAKEARRAY(1,A850-2,_xlfn.LAMBDA(_xlpm.r,_xlpm.c,_xlpm.c))))</f>
        <v/>
      </c>
    </row>
    <row r="851" spans="2:2" x14ac:dyDescent="0.2">
      <c r="B851" t="str" cm="1">
        <f t="array" ref="B851">IF(A851="","",_xlfn.CHOOSECOLS('Prematch Backend 2A'!851:851,_xlfn.MAKEARRAY(1,A851-2,_xlfn.LAMBDA(_xlpm.r,_xlpm.c,_xlpm.c))))</f>
        <v/>
      </c>
    </row>
    <row r="852" spans="2:2" x14ac:dyDescent="0.2">
      <c r="B852" t="str" cm="1">
        <f t="array" ref="B852">IF(A852="","",_xlfn.CHOOSECOLS('Prematch Backend 2A'!852:852,_xlfn.MAKEARRAY(1,A852-2,_xlfn.LAMBDA(_xlpm.r,_xlpm.c,_xlpm.c))))</f>
        <v/>
      </c>
    </row>
    <row r="853" spans="2:2" x14ac:dyDescent="0.2">
      <c r="B853" t="str" cm="1">
        <f t="array" ref="B853">IF(A853="","",_xlfn.CHOOSECOLS('Prematch Backend 2A'!853:853,_xlfn.MAKEARRAY(1,A853-2,_xlfn.LAMBDA(_xlpm.r,_xlpm.c,_xlpm.c))))</f>
        <v/>
      </c>
    </row>
    <row r="854" spans="2:2" x14ac:dyDescent="0.2">
      <c r="B854" t="str" cm="1">
        <f t="array" ref="B854">IF(A854="","",_xlfn.CHOOSECOLS('Prematch Backend 2A'!854:854,_xlfn.MAKEARRAY(1,A854-2,_xlfn.LAMBDA(_xlpm.r,_xlpm.c,_xlpm.c))))</f>
        <v/>
      </c>
    </row>
    <row r="855" spans="2:2" x14ac:dyDescent="0.2">
      <c r="B855" t="str" cm="1">
        <f t="array" ref="B855">IF(A855="","",_xlfn.CHOOSECOLS('Prematch Backend 2A'!855:855,_xlfn.MAKEARRAY(1,A855-2,_xlfn.LAMBDA(_xlpm.r,_xlpm.c,_xlpm.c))))</f>
        <v/>
      </c>
    </row>
    <row r="856" spans="2:2" x14ac:dyDescent="0.2">
      <c r="B856" t="str" cm="1">
        <f t="array" ref="B856">IF(A856="","",_xlfn.CHOOSECOLS('Prematch Backend 2A'!856:856,_xlfn.MAKEARRAY(1,A856-2,_xlfn.LAMBDA(_xlpm.r,_xlpm.c,_xlpm.c))))</f>
        <v/>
      </c>
    </row>
    <row r="857" spans="2:2" x14ac:dyDescent="0.2">
      <c r="B857" t="str" cm="1">
        <f t="array" ref="B857">IF(A857="","",_xlfn.CHOOSECOLS('Prematch Backend 2A'!857:857,_xlfn.MAKEARRAY(1,A857-2,_xlfn.LAMBDA(_xlpm.r,_xlpm.c,_xlpm.c))))</f>
        <v/>
      </c>
    </row>
    <row r="858" spans="2:2" x14ac:dyDescent="0.2">
      <c r="B858" t="str" cm="1">
        <f t="array" ref="B858">IF(A858="","",_xlfn.CHOOSECOLS('Prematch Backend 2A'!858:858,_xlfn.MAKEARRAY(1,A858-2,_xlfn.LAMBDA(_xlpm.r,_xlpm.c,_xlpm.c))))</f>
        <v/>
      </c>
    </row>
    <row r="859" spans="2:2" x14ac:dyDescent="0.2">
      <c r="B859" t="str" cm="1">
        <f t="array" ref="B859">IF(A859="","",_xlfn.CHOOSECOLS('Prematch Backend 2A'!859:859,_xlfn.MAKEARRAY(1,A859-2,_xlfn.LAMBDA(_xlpm.r,_xlpm.c,_xlpm.c))))</f>
        <v/>
      </c>
    </row>
    <row r="860" spans="2:2" x14ac:dyDescent="0.2">
      <c r="B860" t="str" cm="1">
        <f t="array" ref="B860">IF(A860="","",_xlfn.CHOOSECOLS('Prematch Backend 2A'!860:860,_xlfn.MAKEARRAY(1,A860-2,_xlfn.LAMBDA(_xlpm.r,_xlpm.c,_xlpm.c))))</f>
        <v/>
      </c>
    </row>
    <row r="861" spans="2:2" x14ac:dyDescent="0.2">
      <c r="B861" t="str" cm="1">
        <f t="array" ref="B861">IF(A861="","",_xlfn.CHOOSECOLS('Prematch Backend 2A'!861:861,_xlfn.MAKEARRAY(1,A861-2,_xlfn.LAMBDA(_xlpm.r,_xlpm.c,_xlpm.c))))</f>
        <v/>
      </c>
    </row>
    <row r="862" spans="2:2" x14ac:dyDescent="0.2">
      <c r="B862" t="str" cm="1">
        <f t="array" ref="B862">IF(A862="","",_xlfn.CHOOSECOLS('Prematch Backend 2A'!862:862,_xlfn.MAKEARRAY(1,A862-2,_xlfn.LAMBDA(_xlpm.r,_xlpm.c,_xlpm.c))))</f>
        <v/>
      </c>
    </row>
    <row r="863" spans="2:2" x14ac:dyDescent="0.2">
      <c r="B863" t="str" cm="1">
        <f t="array" ref="B863">IF(A863="","",_xlfn.CHOOSECOLS('Prematch Backend 2A'!863:863,_xlfn.MAKEARRAY(1,A863-2,_xlfn.LAMBDA(_xlpm.r,_xlpm.c,_xlpm.c))))</f>
        <v/>
      </c>
    </row>
    <row r="864" spans="2:2" x14ac:dyDescent="0.2">
      <c r="B864" t="str" cm="1">
        <f t="array" ref="B864">IF(A864="","",_xlfn.CHOOSECOLS('Prematch Backend 2A'!864:864,_xlfn.MAKEARRAY(1,A864-2,_xlfn.LAMBDA(_xlpm.r,_xlpm.c,_xlpm.c))))</f>
        <v/>
      </c>
    </row>
    <row r="865" spans="2:2" x14ac:dyDescent="0.2">
      <c r="B865" t="str" cm="1">
        <f t="array" ref="B865">IF(A865="","",_xlfn.CHOOSECOLS('Prematch Backend 2A'!865:865,_xlfn.MAKEARRAY(1,A865-2,_xlfn.LAMBDA(_xlpm.r,_xlpm.c,_xlpm.c))))</f>
        <v/>
      </c>
    </row>
    <row r="866" spans="2:2" x14ac:dyDescent="0.2">
      <c r="B866" t="str" cm="1">
        <f t="array" ref="B866">IF(A866="","",_xlfn.CHOOSECOLS('Prematch Backend 2A'!866:866,_xlfn.MAKEARRAY(1,A866-2,_xlfn.LAMBDA(_xlpm.r,_xlpm.c,_xlpm.c))))</f>
        <v/>
      </c>
    </row>
    <row r="867" spans="2:2" x14ac:dyDescent="0.2">
      <c r="B867" t="str" cm="1">
        <f t="array" ref="B867">IF(A867="","",_xlfn.CHOOSECOLS('Prematch Backend 2A'!867:867,_xlfn.MAKEARRAY(1,A867-2,_xlfn.LAMBDA(_xlpm.r,_xlpm.c,_xlpm.c))))</f>
        <v/>
      </c>
    </row>
    <row r="868" spans="2:2" x14ac:dyDescent="0.2">
      <c r="B868" t="str" cm="1">
        <f t="array" ref="B868">IF(A868="","",_xlfn.CHOOSECOLS('Prematch Backend 2A'!868:868,_xlfn.MAKEARRAY(1,A868-2,_xlfn.LAMBDA(_xlpm.r,_xlpm.c,_xlpm.c))))</f>
        <v/>
      </c>
    </row>
    <row r="869" spans="2:2" x14ac:dyDescent="0.2">
      <c r="B869" t="str" cm="1">
        <f t="array" ref="B869">IF(A869="","",_xlfn.CHOOSECOLS('Prematch Backend 2A'!869:869,_xlfn.MAKEARRAY(1,A869-2,_xlfn.LAMBDA(_xlpm.r,_xlpm.c,_xlpm.c))))</f>
        <v/>
      </c>
    </row>
    <row r="870" spans="2:2" x14ac:dyDescent="0.2">
      <c r="B870" t="str" cm="1">
        <f t="array" ref="B870">IF(A870="","",_xlfn.CHOOSECOLS('Prematch Backend 2A'!870:870,_xlfn.MAKEARRAY(1,A870-2,_xlfn.LAMBDA(_xlpm.r,_xlpm.c,_xlpm.c))))</f>
        <v/>
      </c>
    </row>
    <row r="871" spans="2:2" x14ac:dyDescent="0.2">
      <c r="B871" t="str" cm="1">
        <f t="array" ref="B871">IF(A871="","",_xlfn.CHOOSECOLS('Prematch Backend 2A'!871:871,_xlfn.MAKEARRAY(1,A871-2,_xlfn.LAMBDA(_xlpm.r,_xlpm.c,_xlpm.c))))</f>
        <v/>
      </c>
    </row>
    <row r="872" spans="2:2" x14ac:dyDescent="0.2">
      <c r="B872" t="str" cm="1">
        <f t="array" ref="B872">IF(A872="","",_xlfn.CHOOSECOLS('Prematch Backend 2A'!872:872,_xlfn.MAKEARRAY(1,A872-2,_xlfn.LAMBDA(_xlpm.r,_xlpm.c,_xlpm.c))))</f>
        <v/>
      </c>
    </row>
    <row r="873" spans="2:2" x14ac:dyDescent="0.2">
      <c r="B873" t="str" cm="1">
        <f t="array" ref="B873">IF(A873="","",_xlfn.CHOOSECOLS('Prematch Backend 2A'!873:873,_xlfn.MAKEARRAY(1,A873-2,_xlfn.LAMBDA(_xlpm.r,_xlpm.c,_xlpm.c))))</f>
        <v/>
      </c>
    </row>
    <row r="874" spans="2:2" x14ac:dyDescent="0.2">
      <c r="B874" t="str" cm="1">
        <f t="array" ref="B874">IF(A874="","",_xlfn.CHOOSECOLS('Prematch Backend 2A'!874:874,_xlfn.MAKEARRAY(1,A874-2,_xlfn.LAMBDA(_xlpm.r,_xlpm.c,_xlpm.c))))</f>
        <v/>
      </c>
    </row>
    <row r="875" spans="2:2" x14ac:dyDescent="0.2">
      <c r="B875" t="str" cm="1">
        <f t="array" ref="B875">IF(A875="","",_xlfn.CHOOSECOLS('Prematch Backend 2A'!875:875,_xlfn.MAKEARRAY(1,A875-2,_xlfn.LAMBDA(_xlpm.r,_xlpm.c,_xlpm.c))))</f>
        <v/>
      </c>
    </row>
    <row r="876" spans="2:2" x14ac:dyDescent="0.2">
      <c r="B876" t="str" cm="1">
        <f t="array" ref="B876">IF(A876="","",_xlfn.CHOOSECOLS('Prematch Backend 2A'!876:876,_xlfn.MAKEARRAY(1,A876-2,_xlfn.LAMBDA(_xlpm.r,_xlpm.c,_xlpm.c))))</f>
        <v/>
      </c>
    </row>
    <row r="877" spans="2:2" x14ac:dyDescent="0.2">
      <c r="B877" t="str" cm="1">
        <f t="array" ref="B877">IF(A877="","",_xlfn.CHOOSECOLS('Prematch Backend 2A'!877:877,_xlfn.MAKEARRAY(1,A877-2,_xlfn.LAMBDA(_xlpm.r,_xlpm.c,_xlpm.c))))</f>
        <v/>
      </c>
    </row>
    <row r="878" spans="2:2" x14ac:dyDescent="0.2">
      <c r="B878" t="str" cm="1">
        <f t="array" ref="B878">IF(A878="","",_xlfn.CHOOSECOLS('Prematch Backend 2A'!878:878,_xlfn.MAKEARRAY(1,A878-2,_xlfn.LAMBDA(_xlpm.r,_xlpm.c,_xlpm.c))))</f>
        <v/>
      </c>
    </row>
    <row r="879" spans="2:2" x14ac:dyDescent="0.2">
      <c r="B879" t="str" cm="1">
        <f t="array" ref="B879">IF(A879="","",_xlfn.CHOOSECOLS('Prematch Backend 2A'!879:879,_xlfn.MAKEARRAY(1,A879-2,_xlfn.LAMBDA(_xlpm.r,_xlpm.c,_xlpm.c))))</f>
        <v/>
      </c>
    </row>
    <row r="880" spans="2:2" x14ac:dyDescent="0.2">
      <c r="B880" t="str" cm="1">
        <f t="array" ref="B880">IF(A880="","",_xlfn.CHOOSECOLS('Prematch Backend 2A'!880:880,_xlfn.MAKEARRAY(1,A880-2,_xlfn.LAMBDA(_xlpm.r,_xlpm.c,_xlpm.c))))</f>
        <v/>
      </c>
    </row>
    <row r="881" spans="2:2" x14ac:dyDescent="0.2">
      <c r="B881" t="str" cm="1">
        <f t="array" ref="B881">IF(A881="","",_xlfn.CHOOSECOLS('Prematch Backend 2A'!881:881,_xlfn.MAKEARRAY(1,A881-2,_xlfn.LAMBDA(_xlpm.r,_xlpm.c,_xlpm.c))))</f>
        <v/>
      </c>
    </row>
    <row r="882" spans="2:2" x14ac:dyDescent="0.2">
      <c r="B882" t="str" cm="1">
        <f t="array" ref="B882">IF(A882="","",_xlfn.CHOOSECOLS('Prematch Backend 2A'!882:882,_xlfn.MAKEARRAY(1,A882-2,_xlfn.LAMBDA(_xlpm.r,_xlpm.c,_xlpm.c))))</f>
        <v/>
      </c>
    </row>
    <row r="883" spans="2:2" x14ac:dyDescent="0.2">
      <c r="B883" t="str" cm="1">
        <f t="array" ref="B883">IF(A883="","",_xlfn.CHOOSECOLS('Prematch Backend 2A'!883:883,_xlfn.MAKEARRAY(1,A883-2,_xlfn.LAMBDA(_xlpm.r,_xlpm.c,_xlpm.c))))</f>
        <v/>
      </c>
    </row>
    <row r="884" spans="2:2" x14ac:dyDescent="0.2">
      <c r="B884" t="str" cm="1">
        <f t="array" ref="B884">IF(A884="","",_xlfn.CHOOSECOLS('Prematch Backend 2A'!884:884,_xlfn.MAKEARRAY(1,A884-2,_xlfn.LAMBDA(_xlpm.r,_xlpm.c,_xlpm.c))))</f>
        <v/>
      </c>
    </row>
    <row r="885" spans="2:2" x14ac:dyDescent="0.2">
      <c r="B885" t="str" cm="1">
        <f t="array" ref="B885">IF(A885="","",_xlfn.CHOOSECOLS('Prematch Backend 2A'!885:885,_xlfn.MAKEARRAY(1,A885-2,_xlfn.LAMBDA(_xlpm.r,_xlpm.c,_xlpm.c))))</f>
        <v/>
      </c>
    </row>
    <row r="886" spans="2:2" x14ac:dyDescent="0.2">
      <c r="B886" t="str" cm="1">
        <f t="array" ref="B886">IF(A886="","",_xlfn.CHOOSECOLS('Prematch Backend 2A'!886:886,_xlfn.MAKEARRAY(1,A886-2,_xlfn.LAMBDA(_xlpm.r,_xlpm.c,_xlpm.c))))</f>
        <v/>
      </c>
    </row>
    <row r="887" spans="2:2" x14ac:dyDescent="0.2">
      <c r="B887" t="str" cm="1">
        <f t="array" ref="B887">IF(A887="","",_xlfn.CHOOSECOLS('Prematch Backend 2A'!887:887,_xlfn.MAKEARRAY(1,A887-2,_xlfn.LAMBDA(_xlpm.r,_xlpm.c,_xlpm.c))))</f>
        <v/>
      </c>
    </row>
    <row r="888" spans="2:2" x14ac:dyDescent="0.2">
      <c r="B888" t="str" cm="1">
        <f t="array" ref="B888">IF(A888="","",_xlfn.CHOOSECOLS('Prematch Backend 2A'!888:888,_xlfn.MAKEARRAY(1,A888-2,_xlfn.LAMBDA(_xlpm.r,_xlpm.c,_xlpm.c))))</f>
        <v/>
      </c>
    </row>
    <row r="889" spans="2:2" x14ac:dyDescent="0.2">
      <c r="B889" t="str" cm="1">
        <f t="array" ref="B889">IF(A889="","",_xlfn.CHOOSECOLS('Prematch Backend 2A'!889:889,_xlfn.MAKEARRAY(1,A889-2,_xlfn.LAMBDA(_xlpm.r,_xlpm.c,_xlpm.c))))</f>
        <v/>
      </c>
    </row>
    <row r="890" spans="2:2" x14ac:dyDescent="0.2">
      <c r="B890" t="str" cm="1">
        <f t="array" ref="B890">IF(A890="","",_xlfn.CHOOSECOLS('Prematch Backend 2A'!890:890,_xlfn.MAKEARRAY(1,A890-2,_xlfn.LAMBDA(_xlpm.r,_xlpm.c,_xlpm.c))))</f>
        <v/>
      </c>
    </row>
    <row r="891" spans="2:2" x14ac:dyDescent="0.2">
      <c r="B891" t="str" cm="1">
        <f t="array" ref="B891">IF(A891="","",_xlfn.CHOOSECOLS('Prematch Backend 2A'!891:891,_xlfn.MAKEARRAY(1,A891-2,_xlfn.LAMBDA(_xlpm.r,_xlpm.c,_xlpm.c))))</f>
        <v/>
      </c>
    </row>
    <row r="892" spans="2:2" x14ac:dyDescent="0.2">
      <c r="B892" t="str" cm="1">
        <f t="array" ref="B892">IF(A892="","",_xlfn.CHOOSECOLS('Prematch Backend 2A'!892:892,_xlfn.MAKEARRAY(1,A892-2,_xlfn.LAMBDA(_xlpm.r,_xlpm.c,_xlpm.c))))</f>
        <v/>
      </c>
    </row>
    <row r="893" spans="2:2" x14ac:dyDescent="0.2">
      <c r="B893" t="str" cm="1">
        <f t="array" ref="B893">IF(A893="","",_xlfn.CHOOSECOLS('Prematch Backend 2A'!893:893,_xlfn.MAKEARRAY(1,A893-2,_xlfn.LAMBDA(_xlpm.r,_xlpm.c,_xlpm.c))))</f>
        <v/>
      </c>
    </row>
    <row r="894" spans="2:2" x14ac:dyDescent="0.2">
      <c r="B894" t="str" cm="1">
        <f t="array" ref="B894">IF(A894="","",_xlfn.CHOOSECOLS('Prematch Backend 2A'!894:894,_xlfn.MAKEARRAY(1,A894-2,_xlfn.LAMBDA(_xlpm.r,_xlpm.c,_xlpm.c))))</f>
        <v/>
      </c>
    </row>
    <row r="895" spans="2:2" x14ac:dyDescent="0.2">
      <c r="B895" t="str" cm="1">
        <f t="array" ref="B895">IF(A895="","",_xlfn.CHOOSECOLS('Prematch Backend 2A'!895:895,_xlfn.MAKEARRAY(1,A895-2,_xlfn.LAMBDA(_xlpm.r,_xlpm.c,_xlpm.c))))</f>
        <v/>
      </c>
    </row>
    <row r="896" spans="2:2" x14ac:dyDescent="0.2">
      <c r="B896" t="str" cm="1">
        <f t="array" ref="B896">IF(A896="","",_xlfn.CHOOSECOLS('Prematch Backend 2A'!896:896,_xlfn.MAKEARRAY(1,A896-2,_xlfn.LAMBDA(_xlpm.r,_xlpm.c,_xlpm.c))))</f>
        <v/>
      </c>
    </row>
    <row r="897" spans="2:2" x14ac:dyDescent="0.2">
      <c r="B897" t="str" cm="1">
        <f t="array" ref="B897">IF(A897="","",_xlfn.CHOOSECOLS('Prematch Backend 2A'!897:897,_xlfn.MAKEARRAY(1,A897-2,_xlfn.LAMBDA(_xlpm.r,_xlpm.c,_xlpm.c))))</f>
        <v/>
      </c>
    </row>
    <row r="898" spans="2:2" x14ac:dyDescent="0.2">
      <c r="B898" t="str" cm="1">
        <f t="array" ref="B898">IF(A898="","",_xlfn.CHOOSECOLS('Prematch Backend 2A'!898:898,_xlfn.MAKEARRAY(1,A898-2,_xlfn.LAMBDA(_xlpm.r,_xlpm.c,_xlpm.c))))</f>
        <v/>
      </c>
    </row>
    <row r="899" spans="2:2" x14ac:dyDescent="0.2">
      <c r="B899" t="str" cm="1">
        <f t="array" ref="B899">IF(A899="","",_xlfn.CHOOSECOLS('Prematch Backend 2A'!899:899,_xlfn.MAKEARRAY(1,A899-2,_xlfn.LAMBDA(_xlpm.r,_xlpm.c,_xlpm.c))))</f>
        <v/>
      </c>
    </row>
    <row r="900" spans="2:2" x14ac:dyDescent="0.2">
      <c r="B900" t="str" cm="1">
        <f t="array" ref="B900">IF(A900="","",_xlfn.CHOOSECOLS('Prematch Backend 2A'!900:900,_xlfn.MAKEARRAY(1,A900-2,_xlfn.LAMBDA(_xlpm.r,_xlpm.c,_xlpm.c))))</f>
        <v/>
      </c>
    </row>
    <row r="901" spans="2:2" x14ac:dyDescent="0.2">
      <c r="B901" t="str" cm="1">
        <f t="array" ref="B901">IF(A901="","",_xlfn.CHOOSECOLS('Prematch Backend 2A'!901:901,_xlfn.MAKEARRAY(1,A901-2,_xlfn.LAMBDA(_xlpm.r,_xlpm.c,_xlpm.c))))</f>
        <v/>
      </c>
    </row>
    <row r="902" spans="2:2" x14ac:dyDescent="0.2">
      <c r="B902" t="str" cm="1">
        <f t="array" ref="B902">IF(A902="","",_xlfn.CHOOSECOLS('Prematch Backend 2A'!902:902,_xlfn.MAKEARRAY(1,A902-2,_xlfn.LAMBDA(_xlpm.r,_xlpm.c,_xlpm.c))))</f>
        <v/>
      </c>
    </row>
    <row r="903" spans="2:2" x14ac:dyDescent="0.2">
      <c r="B903" t="str" cm="1">
        <f t="array" ref="B903">IF(A903="","",_xlfn.CHOOSECOLS('Prematch Backend 2A'!903:903,_xlfn.MAKEARRAY(1,A903-2,_xlfn.LAMBDA(_xlpm.r,_xlpm.c,_xlpm.c))))</f>
        <v/>
      </c>
    </row>
    <row r="904" spans="2:2" x14ac:dyDescent="0.2">
      <c r="B904" t="str" cm="1">
        <f t="array" ref="B904">IF(A904="","",_xlfn.CHOOSECOLS('Prematch Backend 2A'!904:904,_xlfn.MAKEARRAY(1,A904-2,_xlfn.LAMBDA(_xlpm.r,_xlpm.c,_xlpm.c))))</f>
        <v/>
      </c>
    </row>
    <row r="905" spans="2:2" x14ac:dyDescent="0.2">
      <c r="B905" t="str" cm="1">
        <f t="array" ref="B905">IF(A905="","",_xlfn.CHOOSECOLS('Prematch Backend 2A'!905:905,_xlfn.MAKEARRAY(1,A905-2,_xlfn.LAMBDA(_xlpm.r,_xlpm.c,_xlpm.c))))</f>
        <v/>
      </c>
    </row>
    <row r="906" spans="2:2" x14ac:dyDescent="0.2">
      <c r="B906" t="str" cm="1">
        <f t="array" ref="B906">IF(A906="","",_xlfn.CHOOSECOLS('Prematch Backend 2A'!906:906,_xlfn.MAKEARRAY(1,A906-2,_xlfn.LAMBDA(_xlpm.r,_xlpm.c,_xlpm.c))))</f>
        <v/>
      </c>
    </row>
    <row r="907" spans="2:2" x14ac:dyDescent="0.2">
      <c r="B907" t="str" cm="1">
        <f t="array" ref="B907">IF(A907="","",_xlfn.CHOOSECOLS('Prematch Backend 2A'!907:907,_xlfn.MAKEARRAY(1,A907-2,_xlfn.LAMBDA(_xlpm.r,_xlpm.c,_xlpm.c))))</f>
        <v/>
      </c>
    </row>
    <row r="908" spans="2:2" x14ac:dyDescent="0.2">
      <c r="B908" t="str" cm="1">
        <f t="array" ref="B908">IF(A908="","",_xlfn.CHOOSECOLS('Prematch Backend 2A'!908:908,_xlfn.MAKEARRAY(1,A908-2,_xlfn.LAMBDA(_xlpm.r,_xlpm.c,_xlpm.c))))</f>
        <v/>
      </c>
    </row>
    <row r="909" spans="2:2" x14ac:dyDescent="0.2">
      <c r="B909" t="str" cm="1">
        <f t="array" ref="B909">IF(A909="","",_xlfn.CHOOSECOLS('Prematch Backend 2A'!909:909,_xlfn.MAKEARRAY(1,A909-2,_xlfn.LAMBDA(_xlpm.r,_xlpm.c,_xlpm.c))))</f>
        <v/>
      </c>
    </row>
    <row r="910" spans="2:2" x14ac:dyDescent="0.2">
      <c r="B910" t="str" cm="1">
        <f t="array" ref="B910">IF(A910="","",_xlfn.CHOOSECOLS('Prematch Backend 2A'!910:910,_xlfn.MAKEARRAY(1,A910-2,_xlfn.LAMBDA(_xlpm.r,_xlpm.c,_xlpm.c))))</f>
        <v/>
      </c>
    </row>
    <row r="911" spans="2:2" x14ac:dyDescent="0.2">
      <c r="B911" t="str" cm="1">
        <f t="array" ref="B911">IF(A911="","",_xlfn.CHOOSECOLS('Prematch Backend 2A'!911:911,_xlfn.MAKEARRAY(1,A911-2,_xlfn.LAMBDA(_xlpm.r,_xlpm.c,_xlpm.c))))</f>
        <v/>
      </c>
    </row>
    <row r="912" spans="2:2" x14ac:dyDescent="0.2">
      <c r="B912" t="str" cm="1">
        <f t="array" ref="B912">IF(A912="","",_xlfn.CHOOSECOLS('Prematch Backend 2A'!912:912,_xlfn.MAKEARRAY(1,A912-2,_xlfn.LAMBDA(_xlpm.r,_xlpm.c,_xlpm.c))))</f>
        <v/>
      </c>
    </row>
    <row r="913" spans="2:2" x14ac:dyDescent="0.2">
      <c r="B913" t="str" cm="1">
        <f t="array" ref="B913">IF(A913="","",_xlfn.CHOOSECOLS('Prematch Backend 2A'!913:913,_xlfn.MAKEARRAY(1,A913-2,_xlfn.LAMBDA(_xlpm.r,_xlpm.c,_xlpm.c))))</f>
        <v/>
      </c>
    </row>
    <row r="914" spans="2:2" x14ac:dyDescent="0.2">
      <c r="B914" t="str" cm="1">
        <f t="array" ref="B914">IF(A914="","",_xlfn.CHOOSECOLS('Prematch Backend 2A'!914:914,_xlfn.MAKEARRAY(1,A914-2,_xlfn.LAMBDA(_xlpm.r,_xlpm.c,_xlpm.c))))</f>
        <v/>
      </c>
    </row>
    <row r="915" spans="2:2" x14ac:dyDescent="0.2">
      <c r="B915" t="str" cm="1">
        <f t="array" ref="B915">IF(A915="","",_xlfn.CHOOSECOLS('Prematch Backend 2A'!915:915,_xlfn.MAKEARRAY(1,A915-2,_xlfn.LAMBDA(_xlpm.r,_xlpm.c,_xlpm.c))))</f>
        <v/>
      </c>
    </row>
    <row r="916" spans="2:2" x14ac:dyDescent="0.2">
      <c r="B916" t="str" cm="1">
        <f t="array" ref="B916">IF(A916="","",_xlfn.CHOOSECOLS('Prematch Backend 2A'!916:916,_xlfn.MAKEARRAY(1,A916-2,_xlfn.LAMBDA(_xlpm.r,_xlpm.c,_xlpm.c))))</f>
        <v/>
      </c>
    </row>
    <row r="917" spans="2:2" x14ac:dyDescent="0.2">
      <c r="B917" t="str" cm="1">
        <f t="array" ref="B917">IF(A917="","",_xlfn.CHOOSECOLS('Prematch Backend 2A'!917:917,_xlfn.MAKEARRAY(1,A917-2,_xlfn.LAMBDA(_xlpm.r,_xlpm.c,_xlpm.c))))</f>
        <v/>
      </c>
    </row>
    <row r="918" spans="2:2" x14ac:dyDescent="0.2">
      <c r="B918" t="str" cm="1">
        <f t="array" ref="B918">IF(A918="","",_xlfn.CHOOSECOLS('Prematch Backend 2A'!918:918,_xlfn.MAKEARRAY(1,A918-2,_xlfn.LAMBDA(_xlpm.r,_xlpm.c,_xlpm.c))))</f>
        <v/>
      </c>
    </row>
    <row r="919" spans="2:2" x14ac:dyDescent="0.2">
      <c r="B919" t="str" cm="1">
        <f t="array" ref="B919">IF(A919="","",_xlfn.CHOOSECOLS('Prematch Backend 2A'!919:919,_xlfn.MAKEARRAY(1,A919-2,_xlfn.LAMBDA(_xlpm.r,_xlpm.c,_xlpm.c))))</f>
        <v/>
      </c>
    </row>
    <row r="920" spans="2:2" x14ac:dyDescent="0.2">
      <c r="B920" t="str" cm="1">
        <f t="array" ref="B920">IF(A920="","",_xlfn.CHOOSECOLS('Prematch Backend 2A'!920:920,_xlfn.MAKEARRAY(1,A920-2,_xlfn.LAMBDA(_xlpm.r,_xlpm.c,_xlpm.c))))</f>
        <v/>
      </c>
    </row>
    <row r="921" spans="2:2" x14ac:dyDescent="0.2">
      <c r="B921" t="str" cm="1">
        <f t="array" ref="B921">IF(A921="","",_xlfn.CHOOSECOLS('Prematch Backend 2A'!921:921,_xlfn.MAKEARRAY(1,A921-2,_xlfn.LAMBDA(_xlpm.r,_xlpm.c,_xlpm.c))))</f>
        <v/>
      </c>
    </row>
    <row r="922" spans="2:2" x14ac:dyDescent="0.2">
      <c r="B922" t="str" cm="1">
        <f t="array" ref="B922">IF(A922="","",_xlfn.CHOOSECOLS('Prematch Backend 2A'!922:922,_xlfn.MAKEARRAY(1,A922-2,_xlfn.LAMBDA(_xlpm.r,_xlpm.c,_xlpm.c))))</f>
        <v/>
      </c>
    </row>
    <row r="923" spans="2:2" x14ac:dyDescent="0.2">
      <c r="B923" t="str" cm="1">
        <f t="array" ref="B923">IF(A923="","",_xlfn.CHOOSECOLS('Prematch Backend 2A'!923:923,_xlfn.MAKEARRAY(1,A923-2,_xlfn.LAMBDA(_xlpm.r,_xlpm.c,_xlpm.c))))</f>
        <v/>
      </c>
    </row>
    <row r="924" spans="2:2" x14ac:dyDescent="0.2">
      <c r="B924" t="str" cm="1">
        <f t="array" ref="B924">IF(A924="","",_xlfn.CHOOSECOLS('Prematch Backend 2A'!924:924,_xlfn.MAKEARRAY(1,A924-2,_xlfn.LAMBDA(_xlpm.r,_xlpm.c,_xlpm.c))))</f>
        <v/>
      </c>
    </row>
    <row r="925" spans="2:2" x14ac:dyDescent="0.2">
      <c r="B925" t="str" cm="1">
        <f t="array" ref="B925">IF(A925="","",_xlfn.CHOOSECOLS('Prematch Backend 2A'!925:925,_xlfn.MAKEARRAY(1,A925-2,_xlfn.LAMBDA(_xlpm.r,_xlpm.c,_xlpm.c))))</f>
        <v/>
      </c>
    </row>
    <row r="926" spans="2:2" x14ac:dyDescent="0.2">
      <c r="B926" t="str" cm="1">
        <f t="array" ref="B926">IF(A926="","",_xlfn.CHOOSECOLS('Prematch Backend 2A'!926:926,_xlfn.MAKEARRAY(1,A926-2,_xlfn.LAMBDA(_xlpm.r,_xlpm.c,_xlpm.c))))</f>
        <v/>
      </c>
    </row>
    <row r="927" spans="2:2" x14ac:dyDescent="0.2">
      <c r="B927" t="str" cm="1">
        <f t="array" ref="B927">IF(A927="","",_xlfn.CHOOSECOLS('Prematch Backend 2A'!927:927,_xlfn.MAKEARRAY(1,A927-2,_xlfn.LAMBDA(_xlpm.r,_xlpm.c,_xlpm.c))))</f>
        <v/>
      </c>
    </row>
    <row r="928" spans="2:2" x14ac:dyDescent="0.2">
      <c r="B928" t="str" cm="1">
        <f t="array" ref="B928">IF(A928="","",_xlfn.CHOOSECOLS('Prematch Backend 2A'!928:928,_xlfn.MAKEARRAY(1,A928-2,_xlfn.LAMBDA(_xlpm.r,_xlpm.c,_xlpm.c))))</f>
        <v/>
      </c>
    </row>
    <row r="929" spans="2:2" x14ac:dyDescent="0.2">
      <c r="B929" t="str" cm="1">
        <f t="array" ref="B929">IF(A929="","",_xlfn.CHOOSECOLS('Prematch Backend 2A'!929:929,_xlfn.MAKEARRAY(1,A929-2,_xlfn.LAMBDA(_xlpm.r,_xlpm.c,_xlpm.c))))</f>
        <v/>
      </c>
    </row>
    <row r="930" spans="2:2" x14ac:dyDescent="0.2">
      <c r="B930" t="str" cm="1">
        <f t="array" ref="B930">IF(A930="","",_xlfn.CHOOSECOLS('Prematch Backend 2A'!930:930,_xlfn.MAKEARRAY(1,A930-2,_xlfn.LAMBDA(_xlpm.r,_xlpm.c,_xlpm.c))))</f>
        <v/>
      </c>
    </row>
    <row r="931" spans="2:2" x14ac:dyDescent="0.2">
      <c r="B931" t="str" cm="1">
        <f t="array" ref="B931">IF(A931="","",_xlfn.CHOOSECOLS('Prematch Backend 2A'!931:931,_xlfn.MAKEARRAY(1,A931-2,_xlfn.LAMBDA(_xlpm.r,_xlpm.c,_xlpm.c))))</f>
        <v/>
      </c>
    </row>
    <row r="932" spans="2:2" x14ac:dyDescent="0.2">
      <c r="B932" t="str" cm="1">
        <f t="array" ref="B932">IF(A932="","",_xlfn.CHOOSECOLS('Prematch Backend 2A'!932:932,_xlfn.MAKEARRAY(1,A932-2,_xlfn.LAMBDA(_xlpm.r,_xlpm.c,_xlpm.c))))</f>
        <v/>
      </c>
    </row>
    <row r="933" spans="2:2" x14ac:dyDescent="0.2">
      <c r="B933" t="str" cm="1">
        <f t="array" ref="B933">IF(A933="","",_xlfn.CHOOSECOLS('Prematch Backend 2A'!933:933,_xlfn.MAKEARRAY(1,A933-2,_xlfn.LAMBDA(_xlpm.r,_xlpm.c,_xlpm.c))))</f>
        <v/>
      </c>
    </row>
    <row r="934" spans="2:2" x14ac:dyDescent="0.2">
      <c r="B934" t="str" cm="1">
        <f t="array" ref="B934">IF(A934="","",_xlfn.CHOOSECOLS('Prematch Backend 2A'!934:934,_xlfn.MAKEARRAY(1,A934-2,_xlfn.LAMBDA(_xlpm.r,_xlpm.c,_xlpm.c))))</f>
        <v/>
      </c>
    </row>
    <row r="935" spans="2:2" x14ac:dyDescent="0.2">
      <c r="B935" t="str" cm="1">
        <f t="array" ref="B935">IF(A935="","",_xlfn.CHOOSECOLS('Prematch Backend 2A'!935:935,_xlfn.MAKEARRAY(1,A935-2,_xlfn.LAMBDA(_xlpm.r,_xlpm.c,_xlpm.c))))</f>
        <v/>
      </c>
    </row>
    <row r="936" spans="2:2" x14ac:dyDescent="0.2">
      <c r="B936" t="str" cm="1">
        <f t="array" ref="B936">IF(A936="","",_xlfn.CHOOSECOLS('Prematch Backend 2A'!936:936,_xlfn.MAKEARRAY(1,A936-2,_xlfn.LAMBDA(_xlpm.r,_xlpm.c,_xlpm.c))))</f>
        <v/>
      </c>
    </row>
    <row r="937" spans="2:2" x14ac:dyDescent="0.2">
      <c r="B937" t="str" cm="1">
        <f t="array" ref="B937">IF(A937="","",_xlfn.CHOOSECOLS('Prematch Backend 2A'!937:937,_xlfn.MAKEARRAY(1,A937-2,_xlfn.LAMBDA(_xlpm.r,_xlpm.c,_xlpm.c))))</f>
        <v/>
      </c>
    </row>
    <row r="938" spans="2:2" x14ac:dyDescent="0.2">
      <c r="B938" t="str" cm="1">
        <f t="array" ref="B938">IF(A938="","",_xlfn.CHOOSECOLS('Prematch Backend 2A'!938:938,_xlfn.MAKEARRAY(1,A938-2,_xlfn.LAMBDA(_xlpm.r,_xlpm.c,_xlpm.c))))</f>
        <v/>
      </c>
    </row>
    <row r="939" spans="2:2" x14ac:dyDescent="0.2">
      <c r="B939" t="str" cm="1">
        <f t="array" ref="B939">IF(A939="","",_xlfn.CHOOSECOLS('Prematch Backend 2A'!939:939,_xlfn.MAKEARRAY(1,A939-2,_xlfn.LAMBDA(_xlpm.r,_xlpm.c,_xlpm.c))))</f>
        <v/>
      </c>
    </row>
    <row r="940" spans="2:2" x14ac:dyDescent="0.2">
      <c r="B940" t="str" cm="1">
        <f t="array" ref="B940">IF(A940="","",_xlfn.CHOOSECOLS('Prematch Backend 2A'!940:940,_xlfn.MAKEARRAY(1,A940-2,_xlfn.LAMBDA(_xlpm.r,_xlpm.c,_xlpm.c))))</f>
        <v/>
      </c>
    </row>
    <row r="941" spans="2:2" x14ac:dyDescent="0.2">
      <c r="B941" t="str" cm="1">
        <f t="array" ref="B941">IF(A941="","",_xlfn.CHOOSECOLS('Prematch Backend 2A'!941:941,_xlfn.MAKEARRAY(1,A941-2,_xlfn.LAMBDA(_xlpm.r,_xlpm.c,_xlpm.c))))</f>
        <v/>
      </c>
    </row>
    <row r="942" spans="2:2" x14ac:dyDescent="0.2">
      <c r="B942" t="str" cm="1">
        <f t="array" ref="B942">IF(A942="","",_xlfn.CHOOSECOLS('Prematch Backend 2A'!942:942,_xlfn.MAKEARRAY(1,A942-2,_xlfn.LAMBDA(_xlpm.r,_xlpm.c,_xlpm.c))))</f>
        <v/>
      </c>
    </row>
    <row r="943" spans="2:2" x14ac:dyDescent="0.2">
      <c r="B943" t="str" cm="1">
        <f t="array" ref="B943">IF(A943="","",_xlfn.CHOOSECOLS('Prematch Backend 2A'!943:943,_xlfn.MAKEARRAY(1,A943-2,_xlfn.LAMBDA(_xlpm.r,_xlpm.c,_xlpm.c))))</f>
        <v/>
      </c>
    </row>
    <row r="944" spans="2:2" x14ac:dyDescent="0.2">
      <c r="B944" t="str" cm="1">
        <f t="array" ref="B944">IF(A944="","",_xlfn.CHOOSECOLS('Prematch Backend 2A'!944:944,_xlfn.MAKEARRAY(1,A944-2,_xlfn.LAMBDA(_xlpm.r,_xlpm.c,_xlpm.c))))</f>
        <v/>
      </c>
    </row>
    <row r="945" spans="2:2" x14ac:dyDescent="0.2">
      <c r="B945" t="str" cm="1">
        <f t="array" ref="B945">IF(A945="","",_xlfn.CHOOSECOLS('Prematch Backend 2A'!945:945,_xlfn.MAKEARRAY(1,A945-2,_xlfn.LAMBDA(_xlpm.r,_xlpm.c,_xlpm.c))))</f>
        <v/>
      </c>
    </row>
    <row r="946" spans="2:2" x14ac:dyDescent="0.2">
      <c r="B946" t="str" cm="1">
        <f t="array" ref="B946">IF(A946="","",_xlfn.CHOOSECOLS('Prematch Backend 2A'!946:946,_xlfn.MAKEARRAY(1,A946-2,_xlfn.LAMBDA(_xlpm.r,_xlpm.c,_xlpm.c))))</f>
        <v/>
      </c>
    </row>
    <row r="947" spans="2:2" x14ac:dyDescent="0.2">
      <c r="B947" t="str" cm="1">
        <f t="array" ref="B947">IF(A947="","",_xlfn.CHOOSECOLS('Prematch Backend 2A'!947:947,_xlfn.MAKEARRAY(1,A947-2,_xlfn.LAMBDA(_xlpm.r,_xlpm.c,_xlpm.c))))</f>
        <v/>
      </c>
    </row>
    <row r="948" spans="2:2" x14ac:dyDescent="0.2">
      <c r="B948" t="str" cm="1">
        <f t="array" ref="B948">IF(A948="","",_xlfn.CHOOSECOLS('Prematch Backend 2A'!948:948,_xlfn.MAKEARRAY(1,A948-2,_xlfn.LAMBDA(_xlpm.r,_xlpm.c,_xlpm.c))))</f>
        <v/>
      </c>
    </row>
    <row r="949" spans="2:2" x14ac:dyDescent="0.2">
      <c r="B949" t="str" cm="1">
        <f t="array" ref="B949">IF(A949="","",_xlfn.CHOOSECOLS('Prematch Backend 2A'!949:949,_xlfn.MAKEARRAY(1,A949-2,_xlfn.LAMBDA(_xlpm.r,_xlpm.c,_xlpm.c))))</f>
        <v/>
      </c>
    </row>
    <row r="950" spans="2:2" x14ac:dyDescent="0.2">
      <c r="B950" t="str" cm="1">
        <f t="array" ref="B950">IF(A950="","",_xlfn.CHOOSECOLS('Prematch Backend 2A'!950:950,_xlfn.MAKEARRAY(1,A950-2,_xlfn.LAMBDA(_xlpm.r,_xlpm.c,_xlpm.c))))</f>
        <v/>
      </c>
    </row>
    <row r="951" spans="2:2" x14ac:dyDescent="0.2">
      <c r="B951" t="str" cm="1">
        <f t="array" ref="B951">IF(A951="","",_xlfn.CHOOSECOLS('Prematch Backend 2A'!951:951,_xlfn.MAKEARRAY(1,A951-2,_xlfn.LAMBDA(_xlpm.r,_xlpm.c,_xlpm.c))))</f>
        <v/>
      </c>
    </row>
    <row r="952" spans="2:2" x14ac:dyDescent="0.2">
      <c r="B952" t="str" cm="1">
        <f t="array" ref="B952">IF(A952="","",_xlfn.CHOOSECOLS('Prematch Backend 2A'!952:952,_xlfn.MAKEARRAY(1,A952-2,_xlfn.LAMBDA(_xlpm.r,_xlpm.c,_xlpm.c))))</f>
        <v/>
      </c>
    </row>
    <row r="953" spans="2:2" x14ac:dyDescent="0.2">
      <c r="B953" t="str" cm="1">
        <f t="array" ref="B953">IF(A953="","",_xlfn.CHOOSECOLS('Prematch Backend 2A'!953:953,_xlfn.MAKEARRAY(1,A953-2,_xlfn.LAMBDA(_xlpm.r,_xlpm.c,_xlpm.c))))</f>
        <v/>
      </c>
    </row>
    <row r="954" spans="2:2" x14ac:dyDescent="0.2">
      <c r="B954" t="str" cm="1">
        <f t="array" ref="B954">IF(A954="","",_xlfn.CHOOSECOLS('Prematch Backend 2A'!954:954,_xlfn.MAKEARRAY(1,A954-2,_xlfn.LAMBDA(_xlpm.r,_xlpm.c,_xlpm.c))))</f>
        <v/>
      </c>
    </row>
    <row r="955" spans="2:2" x14ac:dyDescent="0.2">
      <c r="B955" t="str" cm="1">
        <f t="array" ref="B955">IF(A955="","",_xlfn.CHOOSECOLS('Prematch Backend 2A'!955:955,_xlfn.MAKEARRAY(1,A955-2,_xlfn.LAMBDA(_xlpm.r,_xlpm.c,_xlpm.c))))</f>
        <v/>
      </c>
    </row>
    <row r="956" spans="2:2" x14ac:dyDescent="0.2">
      <c r="B956" t="str" cm="1">
        <f t="array" ref="B956">IF(A956="","",_xlfn.CHOOSECOLS('Prematch Backend 2A'!956:956,_xlfn.MAKEARRAY(1,A956-2,_xlfn.LAMBDA(_xlpm.r,_xlpm.c,_xlpm.c))))</f>
        <v/>
      </c>
    </row>
    <row r="957" spans="2:2" x14ac:dyDescent="0.2">
      <c r="B957" t="str" cm="1">
        <f t="array" ref="B957">IF(A957="","",_xlfn.CHOOSECOLS('Prematch Backend 2A'!957:957,_xlfn.MAKEARRAY(1,A957-2,_xlfn.LAMBDA(_xlpm.r,_xlpm.c,_xlpm.c))))</f>
        <v/>
      </c>
    </row>
    <row r="958" spans="2:2" x14ac:dyDescent="0.2">
      <c r="B958" t="str" cm="1">
        <f t="array" ref="B958">IF(A958="","",_xlfn.CHOOSECOLS('Prematch Backend 2A'!958:958,_xlfn.MAKEARRAY(1,A958-2,_xlfn.LAMBDA(_xlpm.r,_xlpm.c,_xlpm.c))))</f>
        <v/>
      </c>
    </row>
    <row r="959" spans="2:2" x14ac:dyDescent="0.2">
      <c r="B959" t="str" cm="1">
        <f t="array" ref="B959">IF(A959="","",_xlfn.CHOOSECOLS('Prematch Backend 2A'!959:959,_xlfn.MAKEARRAY(1,A959-2,_xlfn.LAMBDA(_xlpm.r,_xlpm.c,_xlpm.c))))</f>
        <v/>
      </c>
    </row>
    <row r="960" spans="2:2" x14ac:dyDescent="0.2">
      <c r="B960" t="str" cm="1">
        <f t="array" ref="B960">IF(A960="","",_xlfn.CHOOSECOLS('Prematch Backend 2A'!960:960,_xlfn.MAKEARRAY(1,A960-2,_xlfn.LAMBDA(_xlpm.r,_xlpm.c,_xlpm.c))))</f>
        <v/>
      </c>
    </row>
    <row r="961" spans="2:2" x14ac:dyDescent="0.2">
      <c r="B961" t="str" cm="1">
        <f t="array" ref="B961">IF(A961="","",_xlfn.CHOOSECOLS('Prematch Backend 2A'!961:961,_xlfn.MAKEARRAY(1,A961-2,_xlfn.LAMBDA(_xlpm.r,_xlpm.c,_xlpm.c))))</f>
        <v/>
      </c>
    </row>
    <row r="962" spans="2:2" x14ac:dyDescent="0.2">
      <c r="B962" t="str" cm="1">
        <f t="array" ref="B962">IF(A962="","",_xlfn.CHOOSECOLS('Prematch Backend 2A'!962:962,_xlfn.MAKEARRAY(1,A962-2,_xlfn.LAMBDA(_xlpm.r,_xlpm.c,_xlpm.c))))</f>
        <v/>
      </c>
    </row>
    <row r="963" spans="2:2" x14ac:dyDescent="0.2">
      <c r="B963" t="str" cm="1">
        <f t="array" ref="B963">IF(A963="","",_xlfn.CHOOSECOLS('Prematch Backend 2A'!963:963,_xlfn.MAKEARRAY(1,A963-2,_xlfn.LAMBDA(_xlpm.r,_xlpm.c,_xlpm.c))))</f>
        <v/>
      </c>
    </row>
    <row r="964" spans="2:2" x14ac:dyDescent="0.2">
      <c r="B964" t="str" cm="1">
        <f t="array" ref="B964">IF(A964="","",_xlfn.CHOOSECOLS('Prematch Backend 2A'!964:964,_xlfn.MAKEARRAY(1,A964-2,_xlfn.LAMBDA(_xlpm.r,_xlpm.c,_xlpm.c))))</f>
        <v/>
      </c>
    </row>
    <row r="965" spans="2:2" x14ac:dyDescent="0.2">
      <c r="B965" t="str" cm="1">
        <f t="array" ref="B965">IF(A965="","",_xlfn.CHOOSECOLS('Prematch Backend 2A'!965:965,_xlfn.MAKEARRAY(1,A965-2,_xlfn.LAMBDA(_xlpm.r,_xlpm.c,_xlpm.c))))</f>
        <v/>
      </c>
    </row>
    <row r="966" spans="2:2" x14ac:dyDescent="0.2">
      <c r="B966" t="str" cm="1">
        <f t="array" ref="B966">IF(A966="","",_xlfn.CHOOSECOLS('Prematch Backend 2A'!966:966,_xlfn.MAKEARRAY(1,A966-2,_xlfn.LAMBDA(_xlpm.r,_xlpm.c,_xlpm.c))))</f>
        <v/>
      </c>
    </row>
    <row r="967" spans="2:2" x14ac:dyDescent="0.2">
      <c r="B967" t="str" cm="1">
        <f t="array" ref="B967">IF(A967="","",_xlfn.CHOOSECOLS('Prematch Backend 2A'!967:967,_xlfn.MAKEARRAY(1,A967-2,_xlfn.LAMBDA(_xlpm.r,_xlpm.c,_xlpm.c))))</f>
        <v/>
      </c>
    </row>
    <row r="968" spans="2:2" x14ac:dyDescent="0.2">
      <c r="B968" t="str" cm="1">
        <f t="array" ref="B968">IF(A968="","",_xlfn.CHOOSECOLS('Prematch Backend 2A'!968:968,_xlfn.MAKEARRAY(1,A968-2,_xlfn.LAMBDA(_xlpm.r,_xlpm.c,_xlpm.c))))</f>
        <v/>
      </c>
    </row>
    <row r="969" spans="2:2" x14ac:dyDescent="0.2">
      <c r="B969" t="str" cm="1">
        <f t="array" ref="B969">IF(A969="","",_xlfn.CHOOSECOLS('Prematch Backend 2A'!969:969,_xlfn.MAKEARRAY(1,A969-2,_xlfn.LAMBDA(_xlpm.r,_xlpm.c,_xlpm.c))))</f>
        <v/>
      </c>
    </row>
    <row r="970" spans="2:2" x14ac:dyDescent="0.2">
      <c r="B970" t="str" cm="1">
        <f t="array" ref="B970">IF(A970="","",_xlfn.CHOOSECOLS('Prematch Backend 2A'!970:970,_xlfn.MAKEARRAY(1,A970-2,_xlfn.LAMBDA(_xlpm.r,_xlpm.c,_xlpm.c))))</f>
        <v/>
      </c>
    </row>
    <row r="971" spans="2:2" x14ac:dyDescent="0.2">
      <c r="B971" t="str" cm="1">
        <f t="array" ref="B971">IF(A971="","",_xlfn.CHOOSECOLS('Prematch Backend 2A'!971:971,_xlfn.MAKEARRAY(1,A971-2,_xlfn.LAMBDA(_xlpm.r,_xlpm.c,_xlpm.c))))</f>
        <v/>
      </c>
    </row>
    <row r="972" spans="2:2" x14ac:dyDescent="0.2">
      <c r="B972" t="str" cm="1">
        <f t="array" ref="B972">IF(A972="","",_xlfn.CHOOSECOLS('Prematch Backend 2A'!972:972,_xlfn.MAKEARRAY(1,A972-2,_xlfn.LAMBDA(_xlpm.r,_xlpm.c,_xlpm.c))))</f>
        <v/>
      </c>
    </row>
    <row r="973" spans="2:2" x14ac:dyDescent="0.2">
      <c r="B973" t="str" cm="1">
        <f t="array" ref="B973">IF(A973="","",_xlfn.CHOOSECOLS('Prematch Backend 2A'!973:973,_xlfn.MAKEARRAY(1,A973-2,_xlfn.LAMBDA(_xlpm.r,_xlpm.c,_xlpm.c))))</f>
        <v/>
      </c>
    </row>
    <row r="974" spans="2:2" x14ac:dyDescent="0.2">
      <c r="B974" t="str" cm="1">
        <f t="array" ref="B974">IF(A974="","",_xlfn.CHOOSECOLS('Prematch Backend 2A'!974:974,_xlfn.MAKEARRAY(1,A974-2,_xlfn.LAMBDA(_xlpm.r,_xlpm.c,_xlpm.c))))</f>
        <v/>
      </c>
    </row>
    <row r="975" spans="2:2" x14ac:dyDescent="0.2">
      <c r="B975" t="str" cm="1">
        <f t="array" ref="B975">IF(A975="","",_xlfn.CHOOSECOLS('Prematch Backend 2A'!975:975,_xlfn.MAKEARRAY(1,A975-2,_xlfn.LAMBDA(_xlpm.r,_xlpm.c,_xlpm.c))))</f>
        <v/>
      </c>
    </row>
    <row r="976" spans="2:2" x14ac:dyDescent="0.2">
      <c r="B976" t="str" cm="1">
        <f t="array" ref="B976">IF(A976="","",_xlfn.CHOOSECOLS('Prematch Backend 2A'!976:976,_xlfn.MAKEARRAY(1,A976-2,_xlfn.LAMBDA(_xlpm.r,_xlpm.c,_xlpm.c))))</f>
        <v/>
      </c>
    </row>
    <row r="977" spans="2:2" x14ac:dyDescent="0.2">
      <c r="B977" t="str" cm="1">
        <f t="array" ref="B977">IF(A977="","",_xlfn.CHOOSECOLS('Prematch Backend 2A'!977:977,_xlfn.MAKEARRAY(1,A977-2,_xlfn.LAMBDA(_xlpm.r,_xlpm.c,_xlpm.c))))</f>
        <v/>
      </c>
    </row>
    <row r="978" spans="2:2" x14ac:dyDescent="0.2">
      <c r="B978" t="str" cm="1">
        <f t="array" ref="B978">IF(A978="","",_xlfn.CHOOSECOLS('Prematch Backend 2A'!978:978,_xlfn.MAKEARRAY(1,A978-2,_xlfn.LAMBDA(_xlpm.r,_xlpm.c,_xlpm.c))))</f>
        <v/>
      </c>
    </row>
    <row r="979" spans="2:2" x14ac:dyDescent="0.2">
      <c r="B979" t="str" cm="1">
        <f t="array" ref="B979">IF(A979="","",_xlfn.CHOOSECOLS('Prematch Backend 2A'!979:979,_xlfn.MAKEARRAY(1,A979-2,_xlfn.LAMBDA(_xlpm.r,_xlpm.c,_xlpm.c))))</f>
        <v/>
      </c>
    </row>
    <row r="980" spans="2:2" x14ac:dyDescent="0.2">
      <c r="B980" t="str" cm="1">
        <f t="array" ref="B980">IF(A980="","",_xlfn.CHOOSECOLS('Prematch Backend 2A'!980:980,_xlfn.MAKEARRAY(1,A980-2,_xlfn.LAMBDA(_xlpm.r,_xlpm.c,_xlpm.c))))</f>
        <v/>
      </c>
    </row>
    <row r="981" spans="2:2" x14ac:dyDescent="0.2">
      <c r="B981" t="str" cm="1">
        <f t="array" ref="B981">IF(A981="","",_xlfn.CHOOSECOLS('Prematch Backend 2A'!981:981,_xlfn.MAKEARRAY(1,A981-2,_xlfn.LAMBDA(_xlpm.r,_xlpm.c,_xlpm.c))))</f>
        <v/>
      </c>
    </row>
    <row r="982" spans="2:2" x14ac:dyDescent="0.2">
      <c r="B982" t="str" cm="1">
        <f t="array" ref="B982">IF(A982="","",_xlfn.CHOOSECOLS('Prematch Backend 2A'!982:982,_xlfn.MAKEARRAY(1,A982-2,_xlfn.LAMBDA(_xlpm.r,_xlpm.c,_xlpm.c))))</f>
        <v/>
      </c>
    </row>
    <row r="983" spans="2:2" x14ac:dyDescent="0.2">
      <c r="B983" t="str" cm="1">
        <f t="array" ref="B983">IF(A983="","",_xlfn.CHOOSECOLS('Prematch Backend 2A'!983:983,_xlfn.MAKEARRAY(1,A983-2,_xlfn.LAMBDA(_xlpm.r,_xlpm.c,_xlpm.c))))</f>
        <v/>
      </c>
    </row>
    <row r="984" spans="2:2" x14ac:dyDescent="0.2">
      <c r="B984" t="str" cm="1">
        <f t="array" ref="B984">IF(A984="","",_xlfn.CHOOSECOLS('Prematch Backend 2A'!984:984,_xlfn.MAKEARRAY(1,A984-2,_xlfn.LAMBDA(_xlpm.r,_xlpm.c,_xlpm.c))))</f>
        <v/>
      </c>
    </row>
    <row r="985" spans="2:2" x14ac:dyDescent="0.2">
      <c r="B985" t="str" cm="1">
        <f t="array" ref="B985">IF(A985="","",_xlfn.CHOOSECOLS('Prematch Backend 2A'!985:985,_xlfn.MAKEARRAY(1,A985-2,_xlfn.LAMBDA(_xlpm.r,_xlpm.c,_xlpm.c))))</f>
        <v/>
      </c>
    </row>
    <row r="986" spans="2:2" x14ac:dyDescent="0.2">
      <c r="B986" t="str" cm="1">
        <f t="array" ref="B986">IF(A986="","",_xlfn.CHOOSECOLS('Prematch Backend 2A'!986:986,_xlfn.MAKEARRAY(1,A986-2,_xlfn.LAMBDA(_xlpm.r,_xlpm.c,_xlpm.c))))</f>
        <v/>
      </c>
    </row>
    <row r="987" spans="2:2" x14ac:dyDescent="0.2">
      <c r="B987" t="str" cm="1">
        <f t="array" ref="B987">IF(A987="","",_xlfn.CHOOSECOLS('Prematch Backend 2A'!987:987,_xlfn.MAKEARRAY(1,A987-2,_xlfn.LAMBDA(_xlpm.r,_xlpm.c,_xlpm.c))))</f>
        <v/>
      </c>
    </row>
    <row r="988" spans="2:2" x14ac:dyDescent="0.2">
      <c r="B988" t="str" cm="1">
        <f t="array" ref="B988">IF(A988="","",_xlfn.CHOOSECOLS('Prematch Backend 2A'!988:988,_xlfn.MAKEARRAY(1,A988-2,_xlfn.LAMBDA(_xlpm.r,_xlpm.c,_xlpm.c))))</f>
        <v/>
      </c>
    </row>
    <row r="989" spans="2:2" x14ac:dyDescent="0.2">
      <c r="B989" t="str" cm="1">
        <f t="array" ref="B989">IF(A989="","",_xlfn.CHOOSECOLS('Prematch Backend 2A'!989:989,_xlfn.MAKEARRAY(1,A989-2,_xlfn.LAMBDA(_xlpm.r,_xlpm.c,_xlpm.c))))</f>
        <v/>
      </c>
    </row>
    <row r="990" spans="2:2" x14ac:dyDescent="0.2">
      <c r="B990" t="str" cm="1">
        <f t="array" ref="B990">IF(A990="","",_xlfn.CHOOSECOLS('Prematch Backend 2A'!990:990,_xlfn.MAKEARRAY(1,A990-2,_xlfn.LAMBDA(_xlpm.r,_xlpm.c,_xlpm.c))))</f>
        <v/>
      </c>
    </row>
    <row r="991" spans="2:2" x14ac:dyDescent="0.2">
      <c r="B991" t="str" cm="1">
        <f t="array" ref="B991">IF(A991="","",_xlfn.CHOOSECOLS('Prematch Backend 2A'!991:991,_xlfn.MAKEARRAY(1,A991-2,_xlfn.LAMBDA(_xlpm.r,_xlpm.c,_xlpm.c))))</f>
        <v/>
      </c>
    </row>
    <row r="992" spans="2:2" x14ac:dyDescent="0.2">
      <c r="B992" t="str" cm="1">
        <f t="array" ref="B992">IF(A992="","",_xlfn.CHOOSECOLS('Prematch Backend 2A'!992:992,_xlfn.MAKEARRAY(1,A992-2,_xlfn.LAMBDA(_xlpm.r,_xlpm.c,_xlpm.c))))</f>
        <v/>
      </c>
    </row>
    <row r="993" spans="2:2" x14ac:dyDescent="0.2">
      <c r="B993" t="str" cm="1">
        <f t="array" ref="B993">IF(A993="","",_xlfn.CHOOSECOLS('Prematch Backend 2A'!993:993,_xlfn.MAKEARRAY(1,A993-2,_xlfn.LAMBDA(_xlpm.r,_xlpm.c,_xlpm.c))))</f>
        <v/>
      </c>
    </row>
    <row r="994" spans="2:2" x14ac:dyDescent="0.2">
      <c r="B994" t="str" cm="1">
        <f t="array" ref="B994">IF(A994="","",_xlfn.CHOOSECOLS('Prematch Backend 2A'!994:994,_xlfn.MAKEARRAY(1,A994-2,_xlfn.LAMBDA(_xlpm.r,_xlpm.c,_xlpm.c))))</f>
        <v/>
      </c>
    </row>
    <row r="995" spans="2:2" x14ac:dyDescent="0.2">
      <c r="B995" t="str" cm="1">
        <f t="array" ref="B995">IF(A995="","",_xlfn.CHOOSECOLS('Prematch Backend 2A'!995:995,_xlfn.MAKEARRAY(1,A995-2,_xlfn.LAMBDA(_xlpm.r,_xlpm.c,_xlpm.c))))</f>
        <v/>
      </c>
    </row>
    <row r="996" spans="2:2" x14ac:dyDescent="0.2">
      <c r="B996" t="str" cm="1">
        <f t="array" ref="B996">IF(A996="","",_xlfn.CHOOSECOLS('Prematch Backend 2A'!996:996,_xlfn.MAKEARRAY(1,A996-2,_xlfn.LAMBDA(_xlpm.r,_xlpm.c,_xlpm.c))))</f>
        <v/>
      </c>
    </row>
    <row r="997" spans="2:2" x14ac:dyDescent="0.2">
      <c r="B997" t="str" cm="1">
        <f t="array" ref="B997">IF(A997="","",_xlfn.CHOOSECOLS('Prematch Backend 2A'!997:997,_xlfn.MAKEARRAY(1,A997-2,_xlfn.LAMBDA(_xlpm.r,_xlpm.c,_xlpm.c))))</f>
        <v/>
      </c>
    </row>
    <row r="998" spans="2:2" x14ac:dyDescent="0.2">
      <c r="B998" t="str" cm="1">
        <f t="array" ref="B998">IF(A998="","",_xlfn.CHOOSECOLS('Prematch Backend 2A'!998:998,_xlfn.MAKEARRAY(1,A998-2,_xlfn.LAMBDA(_xlpm.r,_xlpm.c,_xlpm.c))))</f>
        <v/>
      </c>
    </row>
    <row r="999" spans="2:2" x14ac:dyDescent="0.2">
      <c r="B999" t="str" cm="1">
        <f t="array" ref="B999">IF(A999="","",_xlfn.CHOOSECOLS('Prematch Backend 2A'!999:999,_xlfn.MAKEARRAY(1,A999-2,_xlfn.LAMBDA(_xlpm.r,_xlpm.c,_xlpm.c))))</f>
        <v/>
      </c>
    </row>
    <row r="1000" spans="2:2" x14ac:dyDescent="0.2">
      <c r="B1000" t="str" cm="1">
        <f t="array" ref="B1000">IF(A1000="","",_xlfn.CHOOSECOLS('Prematch Backend 2A'!1000:1000,_xlfn.MAKEARRAY(1,A1000-2,_xlfn.LAMBDA(_xlpm.r,_xlpm.c,_xlpm.c))))</f>
        <v/>
      </c>
    </row>
    <row r="1001" spans="2:2" x14ac:dyDescent="0.2">
      <c r="B1001" t="str" cm="1">
        <f t="array" ref="B1001">IF(A1001="","",_xlfn.CHOOSECOLS('Prematch Backend 2A'!1001:1001,_xlfn.MAKEARRAY(1,A1001-2,_xlfn.LAMBDA(_xlpm.r,_xlpm.c,_xlpm.c))))</f>
        <v/>
      </c>
    </row>
    <row r="1002" spans="2:2" x14ac:dyDescent="0.2">
      <c r="B1002" t="str" cm="1">
        <f t="array" ref="B1002">IF(A1002="","",_xlfn.CHOOSECOLS('Prematch Backend 2A'!1002:1002,_xlfn.MAKEARRAY(1,A1002-2,_xlfn.LAMBDA(_xlpm.r,_xlpm.c,_xlpm.c))))</f>
        <v/>
      </c>
    </row>
    <row r="1003" spans="2:2" x14ac:dyDescent="0.2">
      <c r="B1003" t="str" cm="1">
        <f t="array" ref="B1003">IF(A1003="","",_xlfn.CHOOSECOLS('Prematch Backend 2A'!1003:1003,_xlfn.MAKEARRAY(1,A1003-2,_xlfn.LAMBDA(_xlpm.r,_xlpm.c,_xlpm.c))))</f>
        <v/>
      </c>
    </row>
    <row r="1004" spans="2:2" x14ac:dyDescent="0.2">
      <c r="B1004" t="str" cm="1">
        <f t="array" ref="B1004">IF(A1004="","",_xlfn.CHOOSECOLS('Prematch Backend 2A'!1004:1004,_xlfn.MAKEARRAY(1,A1004-2,_xlfn.LAMBDA(_xlpm.r,_xlpm.c,_xlpm.c))))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E3992-A93C-4C2D-9920-3E7F86DC5C6B}">
  <sheetPr codeName="Sheet10"/>
  <dimension ref="B1:H336"/>
  <sheetViews>
    <sheetView topLeftCell="C1" zoomScale="99" workbookViewId="0">
      <selection activeCell="F2" sqref="F2"/>
    </sheetView>
  </sheetViews>
  <sheetFormatPr baseColWidth="10" defaultColWidth="8.83203125" defaultRowHeight="15" x14ac:dyDescent="0.2"/>
  <cols>
    <col min="1" max="1" width="0" hidden="1" customWidth="1"/>
    <col min="7" max="8" width="11" customWidth="1"/>
  </cols>
  <sheetData>
    <row r="1" spans="2:7" x14ac:dyDescent="0.2">
      <c r="B1" t="s">
        <v>167</v>
      </c>
      <c r="D1" t="s">
        <v>168</v>
      </c>
    </row>
    <row r="2" spans="2:7" x14ac:dyDescent="0.2">
      <c r="B2">
        <v>3711</v>
      </c>
      <c r="D2">
        <v>1</v>
      </c>
    </row>
    <row r="3" spans="2:7" x14ac:dyDescent="0.2">
      <c r="C3" t="s">
        <v>173</v>
      </c>
      <c r="D3" t="s">
        <v>174</v>
      </c>
      <c r="F3" t="s">
        <v>173</v>
      </c>
      <c r="G3" t="s">
        <v>174</v>
      </c>
    </row>
    <row r="5" spans="2:7" x14ac:dyDescent="0.2">
      <c r="C5" t="e" cm="1">
        <f t="array" ref="C5">_xlfn.TOCOL(_xlfn.CHOOSECOLS('Prematch Backend 2B'!5:5, _xlfn.MAKEARRAY(('Prematch Backend 2B'!E2)/4,1,_xlfn.LAMBDA(_xlpm.r,_xlpm.c,_xlpm.r*4-1))))</f>
        <v>#VALUE!</v>
      </c>
      <c r="D5" t="e" cm="1">
        <f t="array" ref="D5">ABS(_xlfn.TOCOL(_xlfn.CHOOSECOLS('Prematch Backend 2B'!5:5, _xlfn.MAKEARRAY(('Prematch Backend 2B'!E2)/4,1,_xlfn.LAMBDA(_xlpm.r,_xlpm.c,_xlpm.r*4-3)))))</f>
        <v>#VALUE!</v>
      </c>
      <c r="F5" t="e" cm="1" vm="2">
        <f t="array" ref="F5">_xlfn.TOCOL(IF(_xlfn.BYROW(G5:G1000,_xlfn.LAMBDA(_xlpm.r,MAX(getData(C5:C1000,D5:D1000,D5:D1000,_xlpm.r))))=0,"",_xlfn.BYROW(G5:G1000,_xlfn.LAMBDA(_xlpm.r,MAX(getData(C5:C1000,D5:D1000,D5:D1000,_xlpm.r))))),3)</f>
        <v>#VALUE!</v>
      </c>
      <c r="G5" t="e" cm="1">
        <f t="array" ref="G5">_xlfn.TOCOL(_xlfn._xlws.SORT(_xlfn.UNIQUE(D5:D1000)),1)</f>
        <v>#VALUE!</v>
      </c>
    </row>
    <row r="17" spans="8:8" x14ac:dyDescent="0.2">
      <c r="H17" t="str">
        <f t="shared" ref="H17:H69" si="0">IF(C16=0,"",C16)</f>
        <v/>
      </c>
    </row>
    <row r="18" spans="8:8" x14ac:dyDescent="0.2">
      <c r="H18" t="str">
        <f t="shared" si="0"/>
        <v/>
      </c>
    </row>
    <row r="19" spans="8:8" x14ac:dyDescent="0.2">
      <c r="H19" t="str">
        <f t="shared" si="0"/>
        <v/>
      </c>
    </row>
    <row r="20" spans="8:8" x14ac:dyDescent="0.2">
      <c r="H20" t="str">
        <f t="shared" si="0"/>
        <v/>
      </c>
    </row>
    <row r="21" spans="8:8" x14ac:dyDescent="0.2">
      <c r="H21" t="str">
        <f t="shared" si="0"/>
        <v/>
      </c>
    </row>
    <row r="22" spans="8:8" x14ac:dyDescent="0.2">
      <c r="H22" t="str">
        <f t="shared" si="0"/>
        <v/>
      </c>
    </row>
    <row r="23" spans="8:8" x14ac:dyDescent="0.2">
      <c r="H23" t="str">
        <f t="shared" si="0"/>
        <v/>
      </c>
    </row>
    <row r="24" spans="8:8" x14ac:dyDescent="0.2">
      <c r="H24" t="str">
        <f t="shared" si="0"/>
        <v/>
      </c>
    </row>
    <row r="25" spans="8:8" x14ac:dyDescent="0.2">
      <c r="H25" t="str">
        <f t="shared" si="0"/>
        <v/>
      </c>
    </row>
    <row r="26" spans="8:8" x14ac:dyDescent="0.2">
      <c r="H26" t="str">
        <f t="shared" si="0"/>
        <v/>
      </c>
    </row>
    <row r="27" spans="8:8" x14ac:dyDescent="0.2">
      <c r="H27" t="str">
        <f t="shared" si="0"/>
        <v/>
      </c>
    </row>
    <row r="28" spans="8:8" x14ac:dyDescent="0.2">
      <c r="H28" t="str">
        <f t="shared" si="0"/>
        <v/>
      </c>
    </row>
    <row r="29" spans="8:8" x14ac:dyDescent="0.2">
      <c r="H29" t="str">
        <f t="shared" si="0"/>
        <v/>
      </c>
    </row>
    <row r="30" spans="8:8" x14ac:dyDescent="0.2">
      <c r="H30" t="str">
        <f t="shared" si="0"/>
        <v/>
      </c>
    </row>
    <row r="31" spans="8:8" x14ac:dyDescent="0.2">
      <c r="H31" t="str">
        <f t="shared" si="0"/>
        <v/>
      </c>
    </row>
    <row r="32" spans="8:8" x14ac:dyDescent="0.2">
      <c r="H32" t="str">
        <f t="shared" si="0"/>
        <v/>
      </c>
    </row>
    <row r="33" spans="8:8" x14ac:dyDescent="0.2">
      <c r="H33" t="str">
        <f t="shared" si="0"/>
        <v/>
      </c>
    </row>
    <row r="34" spans="8:8" x14ac:dyDescent="0.2">
      <c r="H34" t="str">
        <f t="shared" si="0"/>
        <v/>
      </c>
    </row>
    <row r="35" spans="8:8" x14ac:dyDescent="0.2">
      <c r="H35" t="str">
        <f t="shared" si="0"/>
        <v/>
      </c>
    </row>
    <row r="36" spans="8:8" x14ac:dyDescent="0.2">
      <c r="H36" t="str">
        <f t="shared" si="0"/>
        <v/>
      </c>
    </row>
    <row r="37" spans="8:8" x14ac:dyDescent="0.2">
      <c r="H37" t="str">
        <f t="shared" si="0"/>
        <v/>
      </c>
    </row>
    <row r="38" spans="8:8" x14ac:dyDescent="0.2">
      <c r="H38" t="str">
        <f t="shared" si="0"/>
        <v/>
      </c>
    </row>
    <row r="39" spans="8:8" x14ac:dyDescent="0.2">
      <c r="H39" t="str">
        <f t="shared" si="0"/>
        <v/>
      </c>
    </row>
    <row r="40" spans="8:8" x14ac:dyDescent="0.2">
      <c r="H40" t="str">
        <f t="shared" si="0"/>
        <v/>
      </c>
    </row>
    <row r="41" spans="8:8" x14ac:dyDescent="0.2">
      <c r="H41" t="str">
        <f t="shared" si="0"/>
        <v/>
      </c>
    </row>
    <row r="42" spans="8:8" x14ac:dyDescent="0.2">
      <c r="H42" t="str">
        <f t="shared" si="0"/>
        <v/>
      </c>
    </row>
    <row r="43" spans="8:8" x14ac:dyDescent="0.2">
      <c r="H43" t="str">
        <f t="shared" si="0"/>
        <v/>
      </c>
    </row>
    <row r="44" spans="8:8" x14ac:dyDescent="0.2">
      <c r="H44" t="str">
        <f t="shared" si="0"/>
        <v/>
      </c>
    </row>
    <row r="45" spans="8:8" x14ac:dyDescent="0.2">
      <c r="H45" t="str">
        <f t="shared" si="0"/>
        <v/>
      </c>
    </row>
    <row r="46" spans="8:8" x14ac:dyDescent="0.2">
      <c r="H46" t="str">
        <f t="shared" si="0"/>
        <v/>
      </c>
    </row>
    <row r="47" spans="8:8" x14ac:dyDescent="0.2">
      <c r="H47" t="str">
        <f t="shared" si="0"/>
        <v/>
      </c>
    </row>
    <row r="48" spans="8:8" x14ac:dyDescent="0.2">
      <c r="H48" t="str">
        <f t="shared" si="0"/>
        <v/>
      </c>
    </row>
    <row r="49" spans="8:8" x14ac:dyDescent="0.2">
      <c r="H49" t="str">
        <f t="shared" si="0"/>
        <v/>
      </c>
    </row>
    <row r="50" spans="8:8" x14ac:dyDescent="0.2">
      <c r="H50" t="str">
        <f t="shared" si="0"/>
        <v/>
      </c>
    </row>
    <row r="51" spans="8:8" x14ac:dyDescent="0.2">
      <c r="H51" t="str">
        <f t="shared" si="0"/>
        <v/>
      </c>
    </row>
    <row r="52" spans="8:8" x14ac:dyDescent="0.2">
      <c r="H52" t="str">
        <f t="shared" si="0"/>
        <v/>
      </c>
    </row>
    <row r="53" spans="8:8" x14ac:dyDescent="0.2">
      <c r="H53" t="str">
        <f t="shared" si="0"/>
        <v/>
      </c>
    </row>
    <row r="54" spans="8:8" x14ac:dyDescent="0.2">
      <c r="H54" t="str">
        <f t="shared" si="0"/>
        <v/>
      </c>
    </row>
    <row r="55" spans="8:8" x14ac:dyDescent="0.2">
      <c r="H55" t="str">
        <f t="shared" si="0"/>
        <v/>
      </c>
    </row>
    <row r="56" spans="8:8" x14ac:dyDescent="0.2">
      <c r="H56" t="str">
        <f t="shared" si="0"/>
        <v/>
      </c>
    </row>
    <row r="57" spans="8:8" x14ac:dyDescent="0.2">
      <c r="H57" t="str">
        <f t="shared" si="0"/>
        <v/>
      </c>
    </row>
    <row r="58" spans="8:8" x14ac:dyDescent="0.2">
      <c r="H58" t="str">
        <f t="shared" si="0"/>
        <v/>
      </c>
    </row>
    <row r="59" spans="8:8" x14ac:dyDescent="0.2">
      <c r="H59" t="str">
        <f t="shared" si="0"/>
        <v/>
      </c>
    </row>
    <row r="60" spans="8:8" x14ac:dyDescent="0.2">
      <c r="H60" t="str">
        <f t="shared" si="0"/>
        <v/>
      </c>
    </row>
    <row r="61" spans="8:8" x14ac:dyDescent="0.2">
      <c r="H61" t="str">
        <f t="shared" si="0"/>
        <v/>
      </c>
    </row>
    <row r="62" spans="8:8" x14ac:dyDescent="0.2">
      <c r="H62" t="str">
        <f t="shared" si="0"/>
        <v/>
      </c>
    </row>
    <row r="63" spans="8:8" x14ac:dyDescent="0.2">
      <c r="H63" t="str">
        <f t="shared" si="0"/>
        <v/>
      </c>
    </row>
    <row r="64" spans="8:8" x14ac:dyDescent="0.2">
      <c r="H64" t="str">
        <f t="shared" si="0"/>
        <v/>
      </c>
    </row>
    <row r="65" spans="8:8" x14ac:dyDescent="0.2">
      <c r="H65" t="str">
        <f t="shared" si="0"/>
        <v/>
      </c>
    </row>
    <row r="66" spans="8:8" x14ac:dyDescent="0.2">
      <c r="H66" t="str">
        <f t="shared" si="0"/>
        <v/>
      </c>
    </row>
    <row r="67" spans="8:8" x14ac:dyDescent="0.2">
      <c r="H67" t="str">
        <f t="shared" si="0"/>
        <v/>
      </c>
    </row>
    <row r="68" spans="8:8" x14ac:dyDescent="0.2">
      <c r="H68" t="str">
        <f t="shared" si="0"/>
        <v/>
      </c>
    </row>
    <row r="69" spans="8:8" x14ac:dyDescent="0.2">
      <c r="H69" t="str">
        <f t="shared" si="0"/>
        <v/>
      </c>
    </row>
    <row r="70" spans="8:8" x14ac:dyDescent="0.2">
      <c r="H70" t="str">
        <f t="shared" ref="H70:H133" si="1">IF(C69=0,"",C69)</f>
        <v/>
      </c>
    </row>
    <row r="71" spans="8:8" x14ac:dyDescent="0.2">
      <c r="H71" t="str">
        <f t="shared" si="1"/>
        <v/>
      </c>
    </row>
    <row r="72" spans="8:8" x14ac:dyDescent="0.2">
      <c r="H72" t="str">
        <f t="shared" si="1"/>
        <v/>
      </c>
    </row>
    <row r="73" spans="8:8" x14ac:dyDescent="0.2">
      <c r="H73" t="str">
        <f t="shared" si="1"/>
        <v/>
      </c>
    </row>
    <row r="74" spans="8:8" x14ac:dyDescent="0.2">
      <c r="H74" t="str">
        <f t="shared" si="1"/>
        <v/>
      </c>
    </row>
    <row r="75" spans="8:8" x14ac:dyDescent="0.2">
      <c r="H75" t="str">
        <f t="shared" si="1"/>
        <v/>
      </c>
    </row>
    <row r="76" spans="8:8" x14ac:dyDescent="0.2">
      <c r="H76" t="str">
        <f t="shared" si="1"/>
        <v/>
      </c>
    </row>
    <row r="77" spans="8:8" x14ac:dyDescent="0.2">
      <c r="H77" t="str">
        <f t="shared" si="1"/>
        <v/>
      </c>
    </row>
    <row r="78" spans="8:8" x14ac:dyDescent="0.2">
      <c r="H78" t="str">
        <f t="shared" si="1"/>
        <v/>
      </c>
    </row>
    <row r="79" spans="8:8" x14ac:dyDescent="0.2">
      <c r="H79" t="str">
        <f t="shared" si="1"/>
        <v/>
      </c>
    </row>
    <row r="80" spans="8:8" x14ac:dyDescent="0.2">
      <c r="H80" t="str">
        <f t="shared" si="1"/>
        <v/>
      </c>
    </row>
    <row r="81" spans="8:8" x14ac:dyDescent="0.2">
      <c r="H81" t="str">
        <f t="shared" si="1"/>
        <v/>
      </c>
    </row>
    <row r="82" spans="8:8" x14ac:dyDescent="0.2">
      <c r="H82" t="str">
        <f t="shared" si="1"/>
        <v/>
      </c>
    </row>
    <row r="83" spans="8:8" x14ac:dyDescent="0.2">
      <c r="H83" t="str">
        <f t="shared" si="1"/>
        <v/>
      </c>
    </row>
    <row r="84" spans="8:8" x14ac:dyDescent="0.2">
      <c r="H84" t="str">
        <f t="shared" si="1"/>
        <v/>
      </c>
    </row>
    <row r="85" spans="8:8" x14ac:dyDescent="0.2">
      <c r="H85" t="str">
        <f t="shared" si="1"/>
        <v/>
      </c>
    </row>
    <row r="86" spans="8:8" x14ac:dyDescent="0.2">
      <c r="H86" t="str">
        <f t="shared" si="1"/>
        <v/>
      </c>
    </row>
    <row r="87" spans="8:8" x14ac:dyDescent="0.2">
      <c r="H87" t="str">
        <f t="shared" si="1"/>
        <v/>
      </c>
    </row>
    <row r="88" spans="8:8" x14ac:dyDescent="0.2">
      <c r="H88" t="str">
        <f t="shared" si="1"/>
        <v/>
      </c>
    </row>
    <row r="89" spans="8:8" x14ac:dyDescent="0.2">
      <c r="H89" t="str">
        <f t="shared" si="1"/>
        <v/>
      </c>
    </row>
    <row r="90" spans="8:8" x14ac:dyDescent="0.2">
      <c r="H90" t="str">
        <f t="shared" si="1"/>
        <v/>
      </c>
    </row>
    <row r="91" spans="8:8" x14ac:dyDescent="0.2">
      <c r="H91" t="str">
        <f t="shared" si="1"/>
        <v/>
      </c>
    </row>
    <row r="92" spans="8:8" x14ac:dyDescent="0.2">
      <c r="H92" t="str">
        <f t="shared" si="1"/>
        <v/>
      </c>
    </row>
    <row r="93" spans="8:8" x14ac:dyDescent="0.2">
      <c r="H93" t="str">
        <f t="shared" si="1"/>
        <v/>
      </c>
    </row>
    <row r="94" spans="8:8" x14ac:dyDescent="0.2">
      <c r="H94" t="str">
        <f t="shared" si="1"/>
        <v/>
      </c>
    </row>
    <row r="95" spans="8:8" x14ac:dyDescent="0.2">
      <c r="H95" t="str">
        <f t="shared" si="1"/>
        <v/>
      </c>
    </row>
    <row r="96" spans="8:8" x14ac:dyDescent="0.2">
      <c r="H96" t="str">
        <f t="shared" si="1"/>
        <v/>
      </c>
    </row>
    <row r="97" spans="8:8" x14ac:dyDescent="0.2">
      <c r="H97" t="str">
        <f t="shared" si="1"/>
        <v/>
      </c>
    </row>
    <row r="98" spans="8:8" x14ac:dyDescent="0.2">
      <c r="H98" t="str">
        <f t="shared" si="1"/>
        <v/>
      </c>
    </row>
    <row r="99" spans="8:8" x14ac:dyDescent="0.2">
      <c r="H99" t="str">
        <f t="shared" si="1"/>
        <v/>
      </c>
    </row>
    <row r="100" spans="8:8" x14ac:dyDescent="0.2">
      <c r="H100" t="str">
        <f t="shared" si="1"/>
        <v/>
      </c>
    </row>
    <row r="101" spans="8:8" x14ac:dyDescent="0.2">
      <c r="H101" t="str">
        <f t="shared" si="1"/>
        <v/>
      </c>
    </row>
    <row r="102" spans="8:8" x14ac:dyDescent="0.2">
      <c r="H102" t="str">
        <f t="shared" si="1"/>
        <v/>
      </c>
    </row>
    <row r="103" spans="8:8" x14ac:dyDescent="0.2">
      <c r="H103" t="str">
        <f t="shared" si="1"/>
        <v/>
      </c>
    </row>
    <row r="104" spans="8:8" x14ac:dyDescent="0.2">
      <c r="H104" t="str">
        <f t="shared" si="1"/>
        <v/>
      </c>
    </row>
    <row r="105" spans="8:8" x14ac:dyDescent="0.2">
      <c r="H105" t="str">
        <f t="shared" si="1"/>
        <v/>
      </c>
    </row>
    <row r="106" spans="8:8" x14ac:dyDescent="0.2">
      <c r="H106" t="str">
        <f t="shared" si="1"/>
        <v/>
      </c>
    </row>
    <row r="107" spans="8:8" x14ac:dyDescent="0.2">
      <c r="H107" t="str">
        <f t="shared" si="1"/>
        <v/>
      </c>
    </row>
    <row r="108" spans="8:8" x14ac:dyDescent="0.2">
      <c r="H108" t="str">
        <f t="shared" si="1"/>
        <v/>
      </c>
    </row>
    <row r="109" spans="8:8" x14ac:dyDescent="0.2">
      <c r="H109" t="str">
        <f t="shared" si="1"/>
        <v/>
      </c>
    </row>
    <row r="110" spans="8:8" x14ac:dyDescent="0.2">
      <c r="H110" t="str">
        <f t="shared" si="1"/>
        <v/>
      </c>
    </row>
    <row r="111" spans="8:8" x14ac:dyDescent="0.2">
      <c r="H111" t="str">
        <f t="shared" si="1"/>
        <v/>
      </c>
    </row>
    <row r="112" spans="8:8" x14ac:dyDescent="0.2">
      <c r="H112" t="str">
        <f t="shared" si="1"/>
        <v/>
      </c>
    </row>
    <row r="113" spans="8:8" x14ac:dyDescent="0.2">
      <c r="H113" t="str">
        <f t="shared" si="1"/>
        <v/>
      </c>
    </row>
    <row r="114" spans="8:8" x14ac:dyDescent="0.2">
      <c r="H114" t="str">
        <f t="shared" si="1"/>
        <v/>
      </c>
    </row>
    <row r="115" spans="8:8" x14ac:dyDescent="0.2">
      <c r="H115" t="str">
        <f t="shared" si="1"/>
        <v/>
      </c>
    </row>
    <row r="116" spans="8:8" x14ac:dyDescent="0.2">
      <c r="H116" t="str">
        <f t="shared" si="1"/>
        <v/>
      </c>
    </row>
    <row r="117" spans="8:8" x14ac:dyDescent="0.2">
      <c r="H117" t="str">
        <f t="shared" si="1"/>
        <v/>
      </c>
    </row>
    <row r="118" spans="8:8" x14ac:dyDescent="0.2">
      <c r="H118" t="str">
        <f t="shared" si="1"/>
        <v/>
      </c>
    </row>
    <row r="119" spans="8:8" x14ac:dyDescent="0.2">
      <c r="H119" t="str">
        <f t="shared" si="1"/>
        <v/>
      </c>
    </row>
    <row r="120" spans="8:8" x14ac:dyDescent="0.2">
      <c r="H120" t="str">
        <f t="shared" si="1"/>
        <v/>
      </c>
    </row>
    <row r="121" spans="8:8" x14ac:dyDescent="0.2">
      <c r="H121" t="str">
        <f t="shared" si="1"/>
        <v/>
      </c>
    </row>
    <row r="122" spans="8:8" x14ac:dyDescent="0.2">
      <c r="H122" t="str">
        <f t="shared" si="1"/>
        <v/>
      </c>
    </row>
    <row r="123" spans="8:8" x14ac:dyDescent="0.2">
      <c r="H123" t="str">
        <f t="shared" si="1"/>
        <v/>
      </c>
    </row>
    <row r="124" spans="8:8" x14ac:dyDescent="0.2">
      <c r="H124" t="str">
        <f t="shared" si="1"/>
        <v/>
      </c>
    </row>
    <row r="125" spans="8:8" x14ac:dyDescent="0.2">
      <c r="H125" t="str">
        <f t="shared" si="1"/>
        <v/>
      </c>
    </row>
    <row r="126" spans="8:8" x14ac:dyDescent="0.2">
      <c r="H126" t="str">
        <f t="shared" si="1"/>
        <v/>
      </c>
    </row>
    <row r="127" spans="8:8" x14ac:dyDescent="0.2">
      <c r="H127" t="str">
        <f t="shared" si="1"/>
        <v/>
      </c>
    </row>
    <row r="128" spans="8:8" x14ac:dyDescent="0.2">
      <c r="H128" t="str">
        <f t="shared" si="1"/>
        <v/>
      </c>
    </row>
    <row r="129" spans="8:8" x14ac:dyDescent="0.2">
      <c r="H129" t="str">
        <f t="shared" si="1"/>
        <v/>
      </c>
    </row>
    <row r="130" spans="8:8" x14ac:dyDescent="0.2">
      <c r="H130" t="str">
        <f t="shared" si="1"/>
        <v/>
      </c>
    </row>
    <row r="131" spans="8:8" x14ac:dyDescent="0.2">
      <c r="H131" t="str">
        <f t="shared" si="1"/>
        <v/>
      </c>
    </row>
    <row r="132" spans="8:8" x14ac:dyDescent="0.2">
      <c r="H132" t="str">
        <f t="shared" si="1"/>
        <v/>
      </c>
    </row>
    <row r="133" spans="8:8" x14ac:dyDescent="0.2">
      <c r="H133" t="str">
        <f t="shared" si="1"/>
        <v/>
      </c>
    </row>
    <row r="134" spans="8:8" x14ac:dyDescent="0.2">
      <c r="H134" t="str">
        <f t="shared" ref="H134:H197" si="2">IF(C133=0,"",C133)</f>
        <v/>
      </c>
    </row>
    <row r="135" spans="8:8" x14ac:dyDescent="0.2">
      <c r="H135" t="str">
        <f t="shared" si="2"/>
        <v/>
      </c>
    </row>
    <row r="136" spans="8:8" x14ac:dyDescent="0.2">
      <c r="H136" t="str">
        <f t="shared" si="2"/>
        <v/>
      </c>
    </row>
    <row r="137" spans="8:8" x14ac:dyDescent="0.2">
      <c r="H137" t="str">
        <f t="shared" si="2"/>
        <v/>
      </c>
    </row>
    <row r="138" spans="8:8" x14ac:dyDescent="0.2">
      <c r="H138" t="str">
        <f t="shared" si="2"/>
        <v/>
      </c>
    </row>
    <row r="139" spans="8:8" x14ac:dyDescent="0.2">
      <c r="H139" t="str">
        <f t="shared" si="2"/>
        <v/>
      </c>
    </row>
    <row r="140" spans="8:8" x14ac:dyDescent="0.2">
      <c r="H140" t="str">
        <f t="shared" si="2"/>
        <v/>
      </c>
    </row>
    <row r="141" spans="8:8" x14ac:dyDescent="0.2">
      <c r="H141" t="str">
        <f t="shared" si="2"/>
        <v/>
      </c>
    </row>
    <row r="142" spans="8:8" x14ac:dyDescent="0.2">
      <c r="H142" t="str">
        <f t="shared" si="2"/>
        <v/>
      </c>
    </row>
    <row r="143" spans="8:8" x14ac:dyDescent="0.2">
      <c r="H143" t="str">
        <f t="shared" si="2"/>
        <v/>
      </c>
    </row>
    <row r="144" spans="8:8" x14ac:dyDescent="0.2">
      <c r="H144" t="str">
        <f t="shared" si="2"/>
        <v/>
      </c>
    </row>
    <row r="145" spans="8:8" x14ac:dyDescent="0.2">
      <c r="H145" t="str">
        <f t="shared" si="2"/>
        <v/>
      </c>
    </row>
    <row r="146" spans="8:8" x14ac:dyDescent="0.2">
      <c r="H146" t="str">
        <f t="shared" si="2"/>
        <v/>
      </c>
    </row>
    <row r="147" spans="8:8" x14ac:dyDescent="0.2">
      <c r="H147" t="str">
        <f t="shared" si="2"/>
        <v/>
      </c>
    </row>
    <row r="148" spans="8:8" x14ac:dyDescent="0.2">
      <c r="H148" t="str">
        <f t="shared" si="2"/>
        <v/>
      </c>
    </row>
    <row r="149" spans="8:8" x14ac:dyDescent="0.2">
      <c r="H149" t="str">
        <f t="shared" si="2"/>
        <v/>
      </c>
    </row>
    <row r="150" spans="8:8" x14ac:dyDescent="0.2">
      <c r="H150" t="str">
        <f t="shared" si="2"/>
        <v/>
      </c>
    </row>
    <row r="151" spans="8:8" x14ac:dyDescent="0.2">
      <c r="H151" t="str">
        <f t="shared" si="2"/>
        <v/>
      </c>
    </row>
    <row r="152" spans="8:8" x14ac:dyDescent="0.2">
      <c r="H152" t="str">
        <f t="shared" si="2"/>
        <v/>
      </c>
    </row>
    <row r="153" spans="8:8" x14ac:dyDescent="0.2">
      <c r="H153" t="str">
        <f t="shared" si="2"/>
        <v/>
      </c>
    </row>
    <row r="154" spans="8:8" x14ac:dyDescent="0.2">
      <c r="H154" t="str">
        <f t="shared" si="2"/>
        <v/>
      </c>
    </row>
    <row r="155" spans="8:8" x14ac:dyDescent="0.2">
      <c r="H155" t="str">
        <f t="shared" si="2"/>
        <v/>
      </c>
    </row>
    <row r="156" spans="8:8" x14ac:dyDescent="0.2">
      <c r="H156" t="str">
        <f t="shared" si="2"/>
        <v/>
      </c>
    </row>
    <row r="157" spans="8:8" x14ac:dyDescent="0.2">
      <c r="H157" t="str">
        <f t="shared" si="2"/>
        <v/>
      </c>
    </row>
    <row r="158" spans="8:8" x14ac:dyDescent="0.2">
      <c r="H158" t="str">
        <f t="shared" si="2"/>
        <v/>
      </c>
    </row>
    <row r="159" spans="8:8" x14ac:dyDescent="0.2">
      <c r="H159" t="str">
        <f t="shared" si="2"/>
        <v/>
      </c>
    </row>
    <row r="160" spans="8:8" x14ac:dyDescent="0.2">
      <c r="H160" t="str">
        <f t="shared" si="2"/>
        <v/>
      </c>
    </row>
    <row r="161" spans="8:8" x14ac:dyDescent="0.2">
      <c r="H161" t="str">
        <f t="shared" si="2"/>
        <v/>
      </c>
    </row>
    <row r="162" spans="8:8" x14ac:dyDescent="0.2">
      <c r="H162" t="str">
        <f t="shared" si="2"/>
        <v/>
      </c>
    </row>
    <row r="163" spans="8:8" x14ac:dyDescent="0.2">
      <c r="H163" t="str">
        <f t="shared" si="2"/>
        <v/>
      </c>
    </row>
    <row r="164" spans="8:8" x14ac:dyDescent="0.2">
      <c r="H164" t="str">
        <f t="shared" si="2"/>
        <v/>
      </c>
    </row>
    <row r="165" spans="8:8" x14ac:dyDescent="0.2">
      <c r="H165" t="str">
        <f t="shared" si="2"/>
        <v/>
      </c>
    </row>
    <row r="166" spans="8:8" x14ac:dyDescent="0.2">
      <c r="H166" t="str">
        <f t="shared" si="2"/>
        <v/>
      </c>
    </row>
    <row r="167" spans="8:8" x14ac:dyDescent="0.2">
      <c r="H167" t="str">
        <f t="shared" si="2"/>
        <v/>
      </c>
    </row>
    <row r="168" spans="8:8" x14ac:dyDescent="0.2">
      <c r="H168" t="str">
        <f t="shared" si="2"/>
        <v/>
      </c>
    </row>
    <row r="169" spans="8:8" x14ac:dyDescent="0.2">
      <c r="H169" t="str">
        <f t="shared" si="2"/>
        <v/>
      </c>
    </row>
    <row r="170" spans="8:8" x14ac:dyDescent="0.2">
      <c r="H170" t="str">
        <f t="shared" si="2"/>
        <v/>
      </c>
    </row>
    <row r="171" spans="8:8" x14ac:dyDescent="0.2">
      <c r="H171" t="str">
        <f t="shared" si="2"/>
        <v/>
      </c>
    </row>
    <row r="172" spans="8:8" x14ac:dyDescent="0.2">
      <c r="H172" t="str">
        <f t="shared" si="2"/>
        <v/>
      </c>
    </row>
    <row r="173" spans="8:8" x14ac:dyDescent="0.2">
      <c r="H173" t="str">
        <f t="shared" si="2"/>
        <v/>
      </c>
    </row>
    <row r="174" spans="8:8" x14ac:dyDescent="0.2">
      <c r="H174" t="str">
        <f t="shared" si="2"/>
        <v/>
      </c>
    </row>
    <row r="175" spans="8:8" x14ac:dyDescent="0.2">
      <c r="H175" t="str">
        <f t="shared" si="2"/>
        <v/>
      </c>
    </row>
    <row r="176" spans="8:8" x14ac:dyDescent="0.2">
      <c r="H176" t="str">
        <f t="shared" si="2"/>
        <v/>
      </c>
    </row>
    <row r="177" spans="8:8" x14ac:dyDescent="0.2">
      <c r="H177" t="str">
        <f t="shared" si="2"/>
        <v/>
      </c>
    </row>
    <row r="178" spans="8:8" x14ac:dyDescent="0.2">
      <c r="H178" t="str">
        <f t="shared" si="2"/>
        <v/>
      </c>
    </row>
    <row r="179" spans="8:8" x14ac:dyDescent="0.2">
      <c r="H179" t="str">
        <f t="shared" si="2"/>
        <v/>
      </c>
    </row>
    <row r="180" spans="8:8" x14ac:dyDescent="0.2">
      <c r="H180" t="str">
        <f t="shared" si="2"/>
        <v/>
      </c>
    </row>
    <row r="181" spans="8:8" x14ac:dyDescent="0.2">
      <c r="H181" t="str">
        <f t="shared" si="2"/>
        <v/>
      </c>
    </row>
    <row r="182" spans="8:8" x14ac:dyDescent="0.2">
      <c r="H182" t="str">
        <f t="shared" si="2"/>
        <v/>
      </c>
    </row>
    <row r="183" spans="8:8" x14ac:dyDescent="0.2">
      <c r="H183" t="str">
        <f t="shared" si="2"/>
        <v/>
      </c>
    </row>
    <row r="184" spans="8:8" x14ac:dyDescent="0.2">
      <c r="H184" t="str">
        <f t="shared" si="2"/>
        <v/>
      </c>
    </row>
    <row r="185" spans="8:8" x14ac:dyDescent="0.2">
      <c r="H185" t="str">
        <f t="shared" si="2"/>
        <v/>
      </c>
    </row>
    <row r="186" spans="8:8" x14ac:dyDescent="0.2">
      <c r="H186" t="str">
        <f t="shared" si="2"/>
        <v/>
      </c>
    </row>
    <row r="187" spans="8:8" x14ac:dyDescent="0.2">
      <c r="H187" t="str">
        <f t="shared" si="2"/>
        <v/>
      </c>
    </row>
    <row r="188" spans="8:8" x14ac:dyDescent="0.2">
      <c r="H188" t="str">
        <f t="shared" si="2"/>
        <v/>
      </c>
    </row>
    <row r="189" spans="8:8" x14ac:dyDescent="0.2">
      <c r="H189" t="str">
        <f t="shared" si="2"/>
        <v/>
      </c>
    </row>
    <row r="190" spans="8:8" x14ac:dyDescent="0.2">
      <c r="H190" t="str">
        <f t="shared" si="2"/>
        <v/>
      </c>
    </row>
    <row r="191" spans="8:8" x14ac:dyDescent="0.2">
      <c r="H191" t="str">
        <f t="shared" si="2"/>
        <v/>
      </c>
    </row>
    <row r="192" spans="8:8" x14ac:dyDescent="0.2">
      <c r="H192" t="str">
        <f t="shared" si="2"/>
        <v/>
      </c>
    </row>
    <row r="193" spans="8:8" x14ac:dyDescent="0.2">
      <c r="H193" t="str">
        <f t="shared" si="2"/>
        <v/>
      </c>
    </row>
    <row r="194" spans="8:8" x14ac:dyDescent="0.2">
      <c r="H194" t="str">
        <f t="shared" si="2"/>
        <v/>
      </c>
    </row>
    <row r="195" spans="8:8" x14ac:dyDescent="0.2">
      <c r="H195" t="str">
        <f t="shared" si="2"/>
        <v/>
      </c>
    </row>
    <row r="196" spans="8:8" x14ac:dyDescent="0.2">
      <c r="H196" t="str">
        <f t="shared" si="2"/>
        <v/>
      </c>
    </row>
    <row r="197" spans="8:8" x14ac:dyDescent="0.2">
      <c r="H197" t="str">
        <f t="shared" si="2"/>
        <v/>
      </c>
    </row>
    <row r="198" spans="8:8" x14ac:dyDescent="0.2">
      <c r="H198" t="str">
        <f t="shared" ref="H198:H261" si="3">IF(C197=0,"",C197)</f>
        <v/>
      </c>
    </row>
    <row r="199" spans="8:8" x14ac:dyDescent="0.2">
      <c r="H199" t="str">
        <f t="shared" si="3"/>
        <v/>
      </c>
    </row>
    <row r="200" spans="8:8" x14ac:dyDescent="0.2">
      <c r="H200" t="str">
        <f t="shared" si="3"/>
        <v/>
      </c>
    </row>
    <row r="201" spans="8:8" x14ac:dyDescent="0.2">
      <c r="H201" t="str">
        <f t="shared" si="3"/>
        <v/>
      </c>
    </row>
    <row r="202" spans="8:8" x14ac:dyDescent="0.2">
      <c r="H202" t="str">
        <f t="shared" si="3"/>
        <v/>
      </c>
    </row>
    <row r="203" spans="8:8" x14ac:dyDescent="0.2">
      <c r="H203" t="str">
        <f t="shared" si="3"/>
        <v/>
      </c>
    </row>
    <row r="204" spans="8:8" x14ac:dyDescent="0.2">
      <c r="H204" t="str">
        <f t="shared" si="3"/>
        <v/>
      </c>
    </row>
    <row r="205" spans="8:8" x14ac:dyDescent="0.2">
      <c r="H205" t="str">
        <f t="shared" si="3"/>
        <v/>
      </c>
    </row>
    <row r="206" spans="8:8" x14ac:dyDescent="0.2">
      <c r="H206" t="str">
        <f t="shared" si="3"/>
        <v/>
      </c>
    </row>
    <row r="207" spans="8:8" x14ac:dyDescent="0.2">
      <c r="H207" t="str">
        <f t="shared" si="3"/>
        <v/>
      </c>
    </row>
    <row r="208" spans="8:8" x14ac:dyDescent="0.2">
      <c r="H208" t="str">
        <f t="shared" si="3"/>
        <v/>
      </c>
    </row>
    <row r="209" spans="8:8" x14ac:dyDescent="0.2">
      <c r="H209" t="str">
        <f t="shared" si="3"/>
        <v/>
      </c>
    </row>
    <row r="210" spans="8:8" x14ac:dyDescent="0.2">
      <c r="H210" t="str">
        <f t="shared" si="3"/>
        <v/>
      </c>
    </row>
    <row r="211" spans="8:8" x14ac:dyDescent="0.2">
      <c r="H211" t="str">
        <f t="shared" si="3"/>
        <v/>
      </c>
    </row>
    <row r="212" spans="8:8" x14ac:dyDescent="0.2">
      <c r="H212" t="str">
        <f t="shared" si="3"/>
        <v/>
      </c>
    </row>
    <row r="213" spans="8:8" x14ac:dyDescent="0.2">
      <c r="H213" t="str">
        <f t="shared" si="3"/>
        <v/>
      </c>
    </row>
    <row r="214" spans="8:8" x14ac:dyDescent="0.2">
      <c r="H214" t="str">
        <f t="shared" si="3"/>
        <v/>
      </c>
    </row>
    <row r="215" spans="8:8" x14ac:dyDescent="0.2">
      <c r="H215" t="str">
        <f t="shared" si="3"/>
        <v/>
      </c>
    </row>
    <row r="216" spans="8:8" x14ac:dyDescent="0.2">
      <c r="H216" t="str">
        <f t="shared" si="3"/>
        <v/>
      </c>
    </row>
    <row r="217" spans="8:8" x14ac:dyDescent="0.2">
      <c r="H217" t="str">
        <f t="shared" si="3"/>
        <v/>
      </c>
    </row>
    <row r="218" spans="8:8" x14ac:dyDescent="0.2">
      <c r="H218" t="str">
        <f t="shared" si="3"/>
        <v/>
      </c>
    </row>
    <row r="219" spans="8:8" x14ac:dyDescent="0.2">
      <c r="H219" t="str">
        <f t="shared" si="3"/>
        <v/>
      </c>
    </row>
    <row r="220" spans="8:8" x14ac:dyDescent="0.2">
      <c r="H220" t="str">
        <f t="shared" si="3"/>
        <v/>
      </c>
    </row>
    <row r="221" spans="8:8" x14ac:dyDescent="0.2">
      <c r="H221" t="str">
        <f t="shared" si="3"/>
        <v/>
      </c>
    </row>
    <row r="222" spans="8:8" x14ac:dyDescent="0.2">
      <c r="H222" t="str">
        <f t="shared" si="3"/>
        <v/>
      </c>
    </row>
    <row r="223" spans="8:8" x14ac:dyDescent="0.2">
      <c r="H223" t="str">
        <f t="shared" si="3"/>
        <v/>
      </c>
    </row>
    <row r="224" spans="8:8" x14ac:dyDescent="0.2">
      <c r="H224" t="str">
        <f t="shared" si="3"/>
        <v/>
      </c>
    </row>
    <row r="225" spans="8:8" x14ac:dyDescent="0.2">
      <c r="H225" t="str">
        <f t="shared" si="3"/>
        <v/>
      </c>
    </row>
    <row r="226" spans="8:8" x14ac:dyDescent="0.2">
      <c r="H226" t="str">
        <f t="shared" si="3"/>
        <v/>
      </c>
    </row>
    <row r="227" spans="8:8" x14ac:dyDescent="0.2">
      <c r="H227" t="str">
        <f t="shared" si="3"/>
        <v/>
      </c>
    </row>
    <row r="228" spans="8:8" x14ac:dyDescent="0.2">
      <c r="H228" t="str">
        <f t="shared" si="3"/>
        <v/>
      </c>
    </row>
    <row r="229" spans="8:8" x14ac:dyDescent="0.2">
      <c r="H229" t="str">
        <f t="shared" si="3"/>
        <v/>
      </c>
    </row>
    <row r="230" spans="8:8" x14ac:dyDescent="0.2">
      <c r="H230" t="str">
        <f t="shared" si="3"/>
        <v/>
      </c>
    </row>
    <row r="231" spans="8:8" x14ac:dyDescent="0.2">
      <c r="H231" t="str">
        <f t="shared" si="3"/>
        <v/>
      </c>
    </row>
    <row r="232" spans="8:8" x14ac:dyDescent="0.2">
      <c r="H232" t="str">
        <f t="shared" si="3"/>
        <v/>
      </c>
    </row>
    <row r="233" spans="8:8" x14ac:dyDescent="0.2">
      <c r="H233" t="str">
        <f t="shared" si="3"/>
        <v/>
      </c>
    </row>
    <row r="234" spans="8:8" x14ac:dyDescent="0.2">
      <c r="H234" t="str">
        <f t="shared" si="3"/>
        <v/>
      </c>
    </row>
    <row r="235" spans="8:8" x14ac:dyDescent="0.2">
      <c r="H235" t="str">
        <f t="shared" si="3"/>
        <v/>
      </c>
    </row>
    <row r="236" spans="8:8" x14ac:dyDescent="0.2">
      <c r="H236" t="str">
        <f t="shared" si="3"/>
        <v/>
      </c>
    </row>
    <row r="237" spans="8:8" x14ac:dyDescent="0.2">
      <c r="H237" t="str">
        <f t="shared" si="3"/>
        <v/>
      </c>
    </row>
    <row r="238" spans="8:8" x14ac:dyDescent="0.2">
      <c r="H238" t="str">
        <f t="shared" si="3"/>
        <v/>
      </c>
    </row>
    <row r="239" spans="8:8" x14ac:dyDescent="0.2">
      <c r="H239" t="str">
        <f t="shared" si="3"/>
        <v/>
      </c>
    </row>
    <row r="240" spans="8:8" x14ac:dyDescent="0.2">
      <c r="H240" t="str">
        <f t="shared" si="3"/>
        <v/>
      </c>
    </row>
    <row r="241" spans="8:8" x14ac:dyDescent="0.2">
      <c r="H241" t="str">
        <f t="shared" si="3"/>
        <v/>
      </c>
    </row>
    <row r="242" spans="8:8" x14ac:dyDescent="0.2">
      <c r="H242" t="str">
        <f t="shared" si="3"/>
        <v/>
      </c>
    </row>
    <row r="243" spans="8:8" x14ac:dyDescent="0.2">
      <c r="H243" t="str">
        <f t="shared" si="3"/>
        <v/>
      </c>
    </row>
    <row r="244" spans="8:8" x14ac:dyDescent="0.2">
      <c r="H244" t="str">
        <f t="shared" si="3"/>
        <v/>
      </c>
    </row>
    <row r="245" spans="8:8" x14ac:dyDescent="0.2">
      <c r="H245" t="str">
        <f t="shared" si="3"/>
        <v/>
      </c>
    </row>
    <row r="246" spans="8:8" x14ac:dyDescent="0.2">
      <c r="H246" t="str">
        <f t="shared" si="3"/>
        <v/>
      </c>
    </row>
    <row r="247" spans="8:8" x14ac:dyDescent="0.2">
      <c r="H247" t="str">
        <f t="shared" si="3"/>
        <v/>
      </c>
    </row>
    <row r="248" spans="8:8" x14ac:dyDescent="0.2">
      <c r="H248" t="str">
        <f t="shared" si="3"/>
        <v/>
      </c>
    </row>
    <row r="249" spans="8:8" x14ac:dyDescent="0.2">
      <c r="H249" t="str">
        <f t="shared" si="3"/>
        <v/>
      </c>
    </row>
    <row r="250" spans="8:8" x14ac:dyDescent="0.2">
      <c r="H250" t="str">
        <f t="shared" si="3"/>
        <v/>
      </c>
    </row>
    <row r="251" spans="8:8" x14ac:dyDescent="0.2">
      <c r="H251" t="str">
        <f t="shared" si="3"/>
        <v/>
      </c>
    </row>
    <row r="252" spans="8:8" x14ac:dyDescent="0.2">
      <c r="H252" t="str">
        <f t="shared" si="3"/>
        <v/>
      </c>
    </row>
    <row r="253" spans="8:8" x14ac:dyDescent="0.2">
      <c r="H253" t="str">
        <f t="shared" si="3"/>
        <v/>
      </c>
    </row>
    <row r="254" spans="8:8" x14ac:dyDescent="0.2">
      <c r="H254" t="str">
        <f t="shared" si="3"/>
        <v/>
      </c>
    </row>
    <row r="255" spans="8:8" x14ac:dyDescent="0.2">
      <c r="H255" t="str">
        <f t="shared" si="3"/>
        <v/>
      </c>
    </row>
    <row r="256" spans="8:8" x14ac:dyDescent="0.2">
      <c r="H256" t="str">
        <f t="shared" si="3"/>
        <v/>
      </c>
    </row>
    <row r="257" spans="8:8" x14ac:dyDescent="0.2">
      <c r="H257" t="str">
        <f t="shared" si="3"/>
        <v/>
      </c>
    </row>
    <row r="258" spans="8:8" x14ac:dyDescent="0.2">
      <c r="H258" t="str">
        <f t="shared" si="3"/>
        <v/>
      </c>
    </row>
    <row r="259" spans="8:8" x14ac:dyDescent="0.2">
      <c r="H259" t="str">
        <f t="shared" si="3"/>
        <v/>
      </c>
    </row>
    <row r="260" spans="8:8" x14ac:dyDescent="0.2">
      <c r="H260" t="str">
        <f t="shared" si="3"/>
        <v/>
      </c>
    </row>
    <row r="261" spans="8:8" x14ac:dyDescent="0.2">
      <c r="H261" t="str">
        <f t="shared" si="3"/>
        <v/>
      </c>
    </row>
    <row r="262" spans="8:8" x14ac:dyDescent="0.2">
      <c r="H262" t="str">
        <f t="shared" ref="H262:H325" si="4">IF(C261=0,"",C261)</f>
        <v/>
      </c>
    </row>
    <row r="263" spans="8:8" x14ac:dyDescent="0.2">
      <c r="H263" t="str">
        <f t="shared" si="4"/>
        <v/>
      </c>
    </row>
    <row r="264" spans="8:8" x14ac:dyDescent="0.2">
      <c r="H264" t="str">
        <f t="shared" si="4"/>
        <v/>
      </c>
    </row>
    <row r="265" spans="8:8" x14ac:dyDescent="0.2">
      <c r="H265" t="str">
        <f t="shared" si="4"/>
        <v/>
      </c>
    </row>
    <row r="266" spans="8:8" x14ac:dyDescent="0.2">
      <c r="H266" t="str">
        <f t="shared" si="4"/>
        <v/>
      </c>
    </row>
    <row r="267" spans="8:8" x14ac:dyDescent="0.2">
      <c r="H267" t="str">
        <f t="shared" si="4"/>
        <v/>
      </c>
    </row>
    <row r="268" spans="8:8" x14ac:dyDescent="0.2">
      <c r="H268" t="str">
        <f t="shared" si="4"/>
        <v/>
      </c>
    </row>
    <row r="269" spans="8:8" x14ac:dyDescent="0.2">
      <c r="H269" t="str">
        <f t="shared" si="4"/>
        <v/>
      </c>
    </row>
    <row r="270" spans="8:8" x14ac:dyDescent="0.2">
      <c r="H270" t="str">
        <f t="shared" si="4"/>
        <v/>
      </c>
    </row>
    <row r="271" spans="8:8" x14ac:dyDescent="0.2">
      <c r="H271" t="str">
        <f t="shared" si="4"/>
        <v/>
      </c>
    </row>
    <row r="272" spans="8:8" x14ac:dyDescent="0.2">
      <c r="H272" t="str">
        <f t="shared" si="4"/>
        <v/>
      </c>
    </row>
    <row r="273" spans="8:8" x14ac:dyDescent="0.2">
      <c r="H273" t="str">
        <f t="shared" si="4"/>
        <v/>
      </c>
    </row>
    <row r="274" spans="8:8" x14ac:dyDescent="0.2">
      <c r="H274" t="str">
        <f t="shared" si="4"/>
        <v/>
      </c>
    </row>
    <row r="275" spans="8:8" x14ac:dyDescent="0.2">
      <c r="H275" t="str">
        <f t="shared" si="4"/>
        <v/>
      </c>
    </row>
    <row r="276" spans="8:8" x14ac:dyDescent="0.2">
      <c r="H276" t="str">
        <f t="shared" si="4"/>
        <v/>
      </c>
    </row>
    <row r="277" spans="8:8" x14ac:dyDescent="0.2">
      <c r="H277" t="str">
        <f t="shared" si="4"/>
        <v/>
      </c>
    </row>
    <row r="278" spans="8:8" x14ac:dyDescent="0.2">
      <c r="H278" t="str">
        <f t="shared" si="4"/>
        <v/>
      </c>
    </row>
    <row r="279" spans="8:8" x14ac:dyDescent="0.2">
      <c r="H279" t="str">
        <f t="shared" si="4"/>
        <v/>
      </c>
    </row>
    <row r="280" spans="8:8" x14ac:dyDescent="0.2">
      <c r="H280" t="str">
        <f t="shared" si="4"/>
        <v/>
      </c>
    </row>
    <row r="281" spans="8:8" x14ac:dyDescent="0.2">
      <c r="H281" t="str">
        <f t="shared" si="4"/>
        <v/>
      </c>
    </row>
    <row r="282" spans="8:8" x14ac:dyDescent="0.2">
      <c r="H282" t="str">
        <f t="shared" si="4"/>
        <v/>
      </c>
    </row>
    <row r="283" spans="8:8" x14ac:dyDescent="0.2">
      <c r="H283" t="str">
        <f t="shared" si="4"/>
        <v/>
      </c>
    </row>
    <row r="284" spans="8:8" x14ac:dyDescent="0.2">
      <c r="H284" t="str">
        <f t="shared" si="4"/>
        <v/>
      </c>
    </row>
    <row r="285" spans="8:8" x14ac:dyDescent="0.2">
      <c r="H285" t="str">
        <f t="shared" si="4"/>
        <v/>
      </c>
    </row>
    <row r="286" spans="8:8" x14ac:dyDescent="0.2">
      <c r="H286" t="str">
        <f t="shared" si="4"/>
        <v/>
      </c>
    </row>
    <row r="287" spans="8:8" x14ac:dyDescent="0.2">
      <c r="H287" t="str">
        <f t="shared" si="4"/>
        <v/>
      </c>
    </row>
    <row r="288" spans="8:8" x14ac:dyDescent="0.2">
      <c r="H288" t="str">
        <f t="shared" si="4"/>
        <v/>
      </c>
    </row>
    <row r="289" spans="8:8" x14ac:dyDescent="0.2">
      <c r="H289" t="str">
        <f t="shared" si="4"/>
        <v/>
      </c>
    </row>
    <row r="290" spans="8:8" x14ac:dyDescent="0.2">
      <c r="H290" t="str">
        <f t="shared" si="4"/>
        <v/>
      </c>
    </row>
    <row r="291" spans="8:8" x14ac:dyDescent="0.2">
      <c r="H291" t="str">
        <f t="shared" si="4"/>
        <v/>
      </c>
    </row>
    <row r="292" spans="8:8" x14ac:dyDescent="0.2">
      <c r="H292" t="str">
        <f t="shared" si="4"/>
        <v/>
      </c>
    </row>
    <row r="293" spans="8:8" x14ac:dyDescent="0.2">
      <c r="H293" t="str">
        <f t="shared" si="4"/>
        <v/>
      </c>
    </row>
    <row r="294" spans="8:8" x14ac:dyDescent="0.2">
      <c r="H294" t="str">
        <f t="shared" si="4"/>
        <v/>
      </c>
    </row>
    <row r="295" spans="8:8" x14ac:dyDescent="0.2">
      <c r="H295" t="str">
        <f t="shared" si="4"/>
        <v/>
      </c>
    </row>
    <row r="296" spans="8:8" x14ac:dyDescent="0.2">
      <c r="H296" t="str">
        <f t="shared" si="4"/>
        <v/>
      </c>
    </row>
    <row r="297" spans="8:8" x14ac:dyDescent="0.2">
      <c r="H297" t="str">
        <f t="shared" si="4"/>
        <v/>
      </c>
    </row>
    <row r="298" spans="8:8" x14ac:dyDescent="0.2">
      <c r="H298" t="str">
        <f t="shared" si="4"/>
        <v/>
      </c>
    </row>
    <row r="299" spans="8:8" x14ac:dyDescent="0.2">
      <c r="H299" t="str">
        <f t="shared" si="4"/>
        <v/>
      </c>
    </row>
    <row r="300" spans="8:8" x14ac:dyDescent="0.2">
      <c r="H300" t="str">
        <f t="shared" si="4"/>
        <v/>
      </c>
    </row>
    <row r="301" spans="8:8" x14ac:dyDescent="0.2">
      <c r="H301" t="str">
        <f t="shared" si="4"/>
        <v/>
      </c>
    </row>
    <row r="302" spans="8:8" x14ac:dyDescent="0.2">
      <c r="H302" t="str">
        <f t="shared" si="4"/>
        <v/>
      </c>
    </row>
    <row r="303" spans="8:8" x14ac:dyDescent="0.2">
      <c r="H303" t="str">
        <f t="shared" si="4"/>
        <v/>
      </c>
    </row>
    <row r="304" spans="8:8" x14ac:dyDescent="0.2">
      <c r="H304" t="str">
        <f t="shared" si="4"/>
        <v/>
      </c>
    </row>
    <row r="305" spans="8:8" x14ac:dyDescent="0.2">
      <c r="H305" t="str">
        <f t="shared" si="4"/>
        <v/>
      </c>
    </row>
    <row r="306" spans="8:8" x14ac:dyDescent="0.2">
      <c r="H306" t="str">
        <f t="shared" si="4"/>
        <v/>
      </c>
    </row>
    <row r="307" spans="8:8" x14ac:dyDescent="0.2">
      <c r="H307" t="str">
        <f t="shared" si="4"/>
        <v/>
      </c>
    </row>
    <row r="308" spans="8:8" x14ac:dyDescent="0.2">
      <c r="H308" t="str">
        <f t="shared" si="4"/>
        <v/>
      </c>
    </row>
    <row r="309" spans="8:8" x14ac:dyDescent="0.2">
      <c r="H309" t="str">
        <f t="shared" si="4"/>
        <v/>
      </c>
    </row>
    <row r="310" spans="8:8" x14ac:dyDescent="0.2">
      <c r="H310" t="str">
        <f t="shared" si="4"/>
        <v/>
      </c>
    </row>
    <row r="311" spans="8:8" x14ac:dyDescent="0.2">
      <c r="H311" t="str">
        <f t="shared" si="4"/>
        <v/>
      </c>
    </row>
    <row r="312" spans="8:8" x14ac:dyDescent="0.2">
      <c r="H312" t="str">
        <f t="shared" si="4"/>
        <v/>
      </c>
    </row>
    <row r="313" spans="8:8" x14ac:dyDescent="0.2">
      <c r="H313" t="str">
        <f t="shared" si="4"/>
        <v/>
      </c>
    </row>
    <row r="314" spans="8:8" x14ac:dyDescent="0.2">
      <c r="H314" t="str">
        <f t="shared" si="4"/>
        <v/>
      </c>
    </row>
    <row r="315" spans="8:8" x14ac:dyDescent="0.2">
      <c r="H315" t="str">
        <f t="shared" si="4"/>
        <v/>
      </c>
    </row>
    <row r="316" spans="8:8" x14ac:dyDescent="0.2">
      <c r="H316" t="str">
        <f t="shared" si="4"/>
        <v/>
      </c>
    </row>
    <row r="317" spans="8:8" x14ac:dyDescent="0.2">
      <c r="H317" t="str">
        <f t="shared" si="4"/>
        <v/>
      </c>
    </row>
    <row r="318" spans="8:8" x14ac:dyDescent="0.2">
      <c r="H318" t="str">
        <f t="shared" si="4"/>
        <v/>
      </c>
    </row>
    <row r="319" spans="8:8" x14ac:dyDescent="0.2">
      <c r="H319" t="str">
        <f t="shared" si="4"/>
        <v/>
      </c>
    </row>
    <row r="320" spans="8:8" x14ac:dyDescent="0.2">
      <c r="H320" t="str">
        <f t="shared" si="4"/>
        <v/>
      </c>
    </row>
    <row r="321" spans="8:8" x14ac:dyDescent="0.2">
      <c r="H321" t="str">
        <f t="shared" si="4"/>
        <v/>
      </c>
    </row>
    <row r="322" spans="8:8" x14ac:dyDescent="0.2">
      <c r="H322" t="str">
        <f t="shared" si="4"/>
        <v/>
      </c>
    </row>
    <row r="323" spans="8:8" x14ac:dyDescent="0.2">
      <c r="H323" t="str">
        <f t="shared" si="4"/>
        <v/>
      </c>
    </row>
    <row r="324" spans="8:8" x14ac:dyDescent="0.2">
      <c r="H324" t="str">
        <f t="shared" si="4"/>
        <v/>
      </c>
    </row>
    <row r="325" spans="8:8" x14ac:dyDescent="0.2">
      <c r="H325" t="str">
        <f t="shared" si="4"/>
        <v/>
      </c>
    </row>
    <row r="326" spans="8:8" x14ac:dyDescent="0.2">
      <c r="H326" t="str">
        <f t="shared" ref="H326:H336" si="5">IF(C325=0,"",C325)</f>
        <v/>
      </c>
    </row>
    <row r="327" spans="8:8" x14ac:dyDescent="0.2">
      <c r="H327" t="str">
        <f t="shared" si="5"/>
        <v/>
      </c>
    </row>
    <row r="328" spans="8:8" x14ac:dyDescent="0.2">
      <c r="H328" t="str">
        <f t="shared" si="5"/>
        <v/>
      </c>
    </row>
    <row r="329" spans="8:8" x14ac:dyDescent="0.2">
      <c r="H329" t="str">
        <f t="shared" si="5"/>
        <v/>
      </c>
    </row>
    <row r="330" spans="8:8" x14ac:dyDescent="0.2">
      <c r="H330" t="str">
        <f t="shared" si="5"/>
        <v/>
      </c>
    </row>
    <row r="331" spans="8:8" x14ac:dyDescent="0.2">
      <c r="H331" t="str">
        <f t="shared" si="5"/>
        <v/>
      </c>
    </row>
    <row r="332" spans="8:8" x14ac:dyDescent="0.2">
      <c r="H332" t="str">
        <f t="shared" si="5"/>
        <v/>
      </c>
    </row>
    <row r="333" spans="8:8" x14ac:dyDescent="0.2">
      <c r="H333" t="str">
        <f t="shared" si="5"/>
        <v/>
      </c>
    </row>
    <row r="334" spans="8:8" x14ac:dyDescent="0.2">
      <c r="H334" t="str">
        <f t="shared" si="5"/>
        <v/>
      </c>
    </row>
    <row r="335" spans="8:8" x14ac:dyDescent="0.2">
      <c r="H335" t="str">
        <f t="shared" si="5"/>
        <v/>
      </c>
    </row>
    <row r="336" spans="8:8" x14ac:dyDescent="0.2">
      <c r="H336" t="str">
        <f t="shared" si="5"/>
        <v/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54F9C-953A-4627-9F32-06A1311A7021}">
  <sheetPr codeName="Sheet11"/>
  <dimension ref="A1:E7"/>
  <sheetViews>
    <sheetView workbookViewId="0">
      <selection activeCell="F2" sqref="F2"/>
    </sheetView>
  </sheetViews>
  <sheetFormatPr baseColWidth="10" defaultColWidth="8.83203125" defaultRowHeight="15" x14ac:dyDescent="0.2"/>
  <sheetData>
    <row r="1" spans="1:5" x14ac:dyDescent="0.2">
      <c r="A1" t="s">
        <v>167</v>
      </c>
      <c r="C1" t="s">
        <v>168</v>
      </c>
      <c r="E1" t="s">
        <v>169</v>
      </c>
    </row>
    <row r="2" spans="1:5" x14ac:dyDescent="0.2">
      <c r="A2">
        <f>Prematch!A15</f>
        <v>1000</v>
      </c>
      <c r="C2">
        <f>'Auto Path Backend 3'!E2</f>
        <v>0</v>
      </c>
      <c r="E2" t="e" cm="1">
        <f t="array" ref="E2">MAX(_xlfn.BYCOL(5:5, _xlfn.LAMBDA(_xlpm.ARRAY,IF(_xlpm.ARRAY="teleOp", COLUMN(_xlpm.ARRAY), 0))))</f>
        <v>#VALUE!</v>
      </c>
    </row>
    <row r="3" spans="1:5" x14ac:dyDescent="0.2">
      <c r="B3">
        <f>COLUMN(B3)</f>
        <v>2</v>
      </c>
    </row>
    <row r="4" spans="1:5" x14ac:dyDescent="0.2">
      <c r="A4" t="s">
        <v>170</v>
      </c>
    </row>
    <row r="5" spans="1:5" x14ac:dyDescent="0.2">
      <c r="A5" t="e" cm="1">
        <f t="array" ref="A5">_xlfn.CHOOSEROWS(7:100,C2)</f>
        <v>#VALUE!</v>
      </c>
    </row>
    <row r="6" spans="1:5" x14ac:dyDescent="0.2">
      <c r="A6" t="s">
        <v>171</v>
      </c>
    </row>
    <row r="7" spans="1:5" x14ac:dyDescent="0.2">
      <c r="A7" t="e" cm="1">
        <f t="array" ref="A7">IF(_xlfn.CHOOSEROWS(Sheet1!AD:FN,getDataRows(Sheet1!D:D,Sheet1!E:E,'Prematch Backend 3A'!A2))=0,"",_xlfn.CHOOSEROWS(Sheet1!AD:FN,getDataRows(Sheet1!D:D,Sheet1!E:E,'Prematch Backend 3A'!A2)))</f>
        <v>#VALUE!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FD79D-4671-4E75-B2C3-9AF5339E567A}">
  <sheetPr codeName="Sheet12"/>
  <dimension ref="A1:E1004"/>
  <sheetViews>
    <sheetView zoomScaleNormal="86" workbookViewId="0">
      <selection activeCell="F2" sqref="F2"/>
    </sheetView>
  </sheetViews>
  <sheetFormatPr baseColWidth="10" defaultColWidth="8.83203125" defaultRowHeight="15" x14ac:dyDescent="0.2"/>
  <sheetData>
    <row r="1" spans="1:5" x14ac:dyDescent="0.2">
      <c r="A1" t="s">
        <v>167</v>
      </c>
      <c r="C1" t="s">
        <v>168</v>
      </c>
      <c r="E1" t="s">
        <v>169</v>
      </c>
    </row>
    <row r="2" spans="1:5" x14ac:dyDescent="0.2">
      <c r="A2">
        <f>'Prematch Backend 3A'!A2</f>
        <v>1000</v>
      </c>
      <c r="C2">
        <f>'Auto Path Backend 3'!E2</f>
        <v>0</v>
      </c>
      <c r="E2">
        <f>COUNTA(5:5)</f>
        <v>1</v>
      </c>
    </row>
    <row r="3" spans="1:5" x14ac:dyDescent="0.2">
      <c r="B3">
        <f>COLUMN(B3)</f>
        <v>2</v>
      </c>
    </row>
    <row r="4" spans="1:5" x14ac:dyDescent="0.2">
      <c r="A4" t="s">
        <v>170</v>
      </c>
    </row>
    <row r="5" spans="1:5" x14ac:dyDescent="0.2">
      <c r="A5" t="e" cm="1">
        <f t="array" ref="A5">_xlfn.TOROW(_xlfn.CHOOSEROWS(B7:AAA100,_xlfn.MAKEARRAY(1,COUNTA(C7:C100),_xlfn.LAMBDA(_xlpm.r,_xlpm.c,_xlpm.c))),1)</f>
        <v>#VALUE!</v>
      </c>
    </row>
    <row r="6" spans="1:5" x14ac:dyDescent="0.2">
      <c r="A6" t="s">
        <v>171</v>
      </c>
    </row>
    <row r="7" spans="1:5" x14ac:dyDescent="0.2">
      <c r="A7" t="e" cm="1">
        <f t="array" ref="A7">IF(MAX(_xlfn.BYCOL('Prematch Backend 3A'!7:7, _xlfn.LAMBDA(_xlpm.ARRAY,IF(_xlpm.ARRAY="teleOp", COLUMN(_xlpm.ARRAY), 0))))=0,"",MAX(_xlfn.BYCOL('Prematch Backend 3A'!7:7, _xlfn.LAMBDA(_xlpm.ARRAY,IF(_xlpm.ARRAY="teleOp", COLUMN(_xlpm.ARRAY), 0)))))</f>
        <v>#VALUE!</v>
      </c>
      <c r="B7" t="e" cm="1">
        <f t="array" ref="B7">IF(A7="","",_xlfn.CHOOSECOLS('Prematch Backend 2A'!7:7,_xlfn.MAKEARRAY(1,A7-2,_xlfn.LAMBDA(_xlpm.r,_xlpm.c,_xlpm.c))))</f>
        <v>#VALUE!</v>
      </c>
    </row>
    <row r="8" spans="1:5" x14ac:dyDescent="0.2">
      <c r="A8" t="str" cm="1">
        <f t="array" ref="A8">IF(MAX(_xlfn.BYCOL('Prematch Backend 3A'!8:8, _xlfn.LAMBDA(_xlpm.ARRAY,IF(_xlpm.ARRAY="teleOp", COLUMN(_xlpm.ARRAY), 0))))=0,"",MAX(_xlfn.BYCOL('Prematch Backend 3A'!8:8, _xlfn.LAMBDA(_xlpm.ARRAY,IF(_xlpm.ARRAY="teleOp", COLUMN(_xlpm.ARRAY), 0)))))</f>
        <v/>
      </c>
      <c r="B8" t="str" cm="1">
        <f t="array" ref="B8">IF(A8="","",_xlfn.CHOOSECOLS('Prematch Backend 2A'!8:8,_xlfn.MAKEARRAY(1,A8-2,_xlfn.LAMBDA(_xlpm.r,_xlpm.c,_xlpm.c))))</f>
        <v/>
      </c>
    </row>
    <row r="9" spans="1:5" x14ac:dyDescent="0.2">
      <c r="A9" t="str" cm="1">
        <f t="array" ref="A9">IF(MAX(_xlfn.BYCOL('Prematch Backend 3A'!9:9, _xlfn.LAMBDA(_xlpm.ARRAY,IF(_xlpm.ARRAY="teleOp", COLUMN(_xlpm.ARRAY), 0))))=0,"",MAX(_xlfn.BYCOL('Prematch Backend 3A'!9:9, _xlfn.LAMBDA(_xlpm.ARRAY,IF(_xlpm.ARRAY="teleOp", COLUMN(_xlpm.ARRAY), 0)))))</f>
        <v/>
      </c>
      <c r="B9" t="str" cm="1">
        <f t="array" ref="B9">IF(A9="","",_xlfn.CHOOSECOLS('Prematch Backend 2A'!9:9,_xlfn.MAKEARRAY(1,A9-2,_xlfn.LAMBDA(_xlpm.r,_xlpm.c,_xlpm.c))))</f>
        <v/>
      </c>
    </row>
    <row r="10" spans="1:5" x14ac:dyDescent="0.2">
      <c r="A10" t="str" cm="1">
        <f t="array" ref="A10">IF(MAX(_xlfn.BYCOL('Prematch Backend 3A'!10:10, _xlfn.LAMBDA(_xlpm.ARRAY,IF(_xlpm.ARRAY="teleOp", COLUMN(_xlpm.ARRAY), 0))))=0,"",MAX(_xlfn.BYCOL('Prematch Backend 3A'!10:10, _xlfn.LAMBDA(_xlpm.ARRAY,IF(_xlpm.ARRAY="teleOp", COLUMN(_xlpm.ARRAY), 0)))))</f>
        <v/>
      </c>
      <c r="B10" t="str" cm="1">
        <f t="array" ref="B10">IF(A10="","",_xlfn.CHOOSECOLS('Prematch Backend 2A'!10:10,_xlfn.MAKEARRAY(1,A10-2,_xlfn.LAMBDA(_xlpm.r,_xlpm.c,_xlpm.c))))</f>
        <v/>
      </c>
    </row>
    <row r="11" spans="1:5" x14ac:dyDescent="0.2">
      <c r="A11" t="str" cm="1">
        <f t="array" ref="A11">IF(MAX(_xlfn.BYCOL('Prematch Backend 3A'!11:11, _xlfn.LAMBDA(_xlpm.ARRAY,IF(_xlpm.ARRAY="teleOp", COLUMN(_xlpm.ARRAY), 0))))=0,"",MAX(_xlfn.BYCOL('Prematch Backend 3A'!11:11, _xlfn.LAMBDA(_xlpm.ARRAY,IF(_xlpm.ARRAY="teleOp", COLUMN(_xlpm.ARRAY), 0)))))</f>
        <v/>
      </c>
      <c r="B11" t="str" cm="1">
        <f t="array" ref="B11">IF(A11="","",_xlfn.CHOOSECOLS('Prematch Backend 2A'!11:11,_xlfn.MAKEARRAY(1,A11-2,_xlfn.LAMBDA(_xlpm.r,_xlpm.c,_xlpm.c))))</f>
        <v/>
      </c>
    </row>
    <row r="12" spans="1:5" x14ac:dyDescent="0.2">
      <c r="A12" t="str" cm="1">
        <f t="array" ref="A12">IF(MAX(_xlfn.BYCOL('Prematch Backend 3A'!12:12, _xlfn.LAMBDA(_xlpm.ARRAY,IF(_xlpm.ARRAY="teleOp", COLUMN(_xlpm.ARRAY), 0))))=0,"",MAX(_xlfn.BYCOL('Prematch Backend 3A'!12:12, _xlfn.LAMBDA(_xlpm.ARRAY,IF(_xlpm.ARRAY="teleOp", COLUMN(_xlpm.ARRAY), 0)))))</f>
        <v/>
      </c>
      <c r="B12" t="str" cm="1">
        <f t="array" ref="B12">IF(A12="","",_xlfn.CHOOSECOLS('Prematch Backend 2A'!12:12,_xlfn.MAKEARRAY(1,A12-2,_xlfn.LAMBDA(_xlpm.r,_xlpm.c,_xlpm.c))))</f>
        <v/>
      </c>
    </row>
    <row r="13" spans="1:5" x14ac:dyDescent="0.2">
      <c r="A13" t="str" cm="1">
        <f t="array" ref="A13">IF(MAX(_xlfn.BYCOL('Prematch Backend 3A'!13:13, _xlfn.LAMBDA(_xlpm.ARRAY,IF(_xlpm.ARRAY="teleOp", COLUMN(_xlpm.ARRAY), 0))))=0,"",MAX(_xlfn.BYCOL('Prematch Backend 3A'!13:13, _xlfn.LAMBDA(_xlpm.ARRAY,IF(_xlpm.ARRAY="teleOp", COLUMN(_xlpm.ARRAY), 0)))))</f>
        <v/>
      </c>
      <c r="B13" t="str" cm="1">
        <f t="array" ref="B13">IF(A13="","",_xlfn.CHOOSECOLS('Prematch Backend 2A'!13:13,_xlfn.MAKEARRAY(1,A13-2,_xlfn.LAMBDA(_xlpm.r,_xlpm.c,_xlpm.c))))</f>
        <v/>
      </c>
    </row>
    <row r="14" spans="1:5" x14ac:dyDescent="0.2">
      <c r="A14" t="str" cm="1">
        <f t="array" ref="A14">IF(MAX(_xlfn.BYCOL('Prematch Backend 3A'!14:14, _xlfn.LAMBDA(_xlpm.ARRAY,IF(_xlpm.ARRAY="teleOp", COLUMN(_xlpm.ARRAY), 0))))=0,"",MAX(_xlfn.BYCOL('Prematch Backend 3A'!14:14, _xlfn.LAMBDA(_xlpm.ARRAY,IF(_xlpm.ARRAY="teleOp", COLUMN(_xlpm.ARRAY), 0)))))</f>
        <v/>
      </c>
      <c r="B14" t="str" cm="1">
        <f t="array" ref="B14">IF(A14="","",_xlfn.CHOOSECOLS('Prematch Backend 2A'!14:14,_xlfn.MAKEARRAY(1,A14-2,_xlfn.LAMBDA(_xlpm.r,_xlpm.c,_xlpm.c))))</f>
        <v/>
      </c>
    </row>
    <row r="15" spans="1:5" x14ac:dyDescent="0.2">
      <c r="A15" t="str" cm="1">
        <f t="array" ref="A15">IF(MAX(_xlfn.BYCOL('Prematch Backend 3A'!15:15, _xlfn.LAMBDA(_xlpm.ARRAY,IF(_xlpm.ARRAY="teleOp", COLUMN(_xlpm.ARRAY), 0))))=0,"",MAX(_xlfn.BYCOL('Prematch Backend 3A'!15:15, _xlfn.LAMBDA(_xlpm.ARRAY,IF(_xlpm.ARRAY="teleOp", COLUMN(_xlpm.ARRAY), 0)))))</f>
        <v/>
      </c>
      <c r="B15" t="str" cm="1">
        <f t="array" ref="B15">IF(A15="","",_xlfn.CHOOSECOLS('Prematch Backend 2A'!15:15,_xlfn.MAKEARRAY(1,A15-2,_xlfn.LAMBDA(_xlpm.r,_xlpm.c,_xlpm.c))))</f>
        <v/>
      </c>
    </row>
    <row r="16" spans="1:5" x14ac:dyDescent="0.2">
      <c r="A16" t="str" cm="1">
        <f t="array" ref="A16">IF(MAX(_xlfn.BYCOL('Prematch Backend 3A'!16:16, _xlfn.LAMBDA(_xlpm.ARRAY,IF(_xlpm.ARRAY="teleOp", COLUMN(_xlpm.ARRAY), 0))))=0,"",MAX(_xlfn.BYCOL('Prematch Backend 3A'!16:16, _xlfn.LAMBDA(_xlpm.ARRAY,IF(_xlpm.ARRAY="teleOp", COLUMN(_xlpm.ARRAY), 0)))))</f>
        <v/>
      </c>
      <c r="B16" t="str" cm="1">
        <f t="array" ref="B16">IF(A16="","",_xlfn.CHOOSECOLS('Prematch Backend 2A'!16:16,_xlfn.MAKEARRAY(1,A16-2,_xlfn.LAMBDA(_xlpm.r,_xlpm.c,_xlpm.c))))</f>
        <v/>
      </c>
    </row>
    <row r="17" spans="1:2" x14ac:dyDescent="0.2">
      <c r="A17" t="str" cm="1">
        <f t="array" ref="A17">IF(MAX(_xlfn.BYCOL('Prematch Backend 3A'!17:17, _xlfn.LAMBDA(_xlpm.ARRAY,IF(_xlpm.ARRAY="teleOp", COLUMN(_xlpm.ARRAY), 0))))=0,"",MAX(_xlfn.BYCOL('Prematch Backend 3A'!17:17, _xlfn.LAMBDA(_xlpm.ARRAY,IF(_xlpm.ARRAY="teleOp", COLUMN(_xlpm.ARRAY), 0)))))</f>
        <v/>
      </c>
      <c r="B17" t="str" cm="1">
        <f t="array" ref="B17">IF(A17="","",_xlfn.CHOOSECOLS('Prematch Backend 2A'!17:17,_xlfn.MAKEARRAY(1,A17-2,_xlfn.LAMBDA(_xlpm.r,_xlpm.c,_xlpm.c))))</f>
        <v/>
      </c>
    </row>
    <row r="18" spans="1:2" x14ac:dyDescent="0.2">
      <c r="A18" t="str" cm="1">
        <f t="array" ref="A18">IF(MAX(_xlfn.BYCOL('Prematch Backend 3A'!18:18, _xlfn.LAMBDA(_xlpm.ARRAY,IF(_xlpm.ARRAY="teleOp", COLUMN(_xlpm.ARRAY), 0))))=0,"",MAX(_xlfn.BYCOL('Prematch Backend 3A'!18:18, _xlfn.LAMBDA(_xlpm.ARRAY,IF(_xlpm.ARRAY="teleOp", COLUMN(_xlpm.ARRAY), 0)))))</f>
        <v/>
      </c>
      <c r="B18" t="str" cm="1">
        <f t="array" ref="B18">IF(A18="","",_xlfn.CHOOSECOLS('Prematch Backend 2A'!18:18,_xlfn.MAKEARRAY(1,A18-2,_xlfn.LAMBDA(_xlpm.r,_xlpm.c,_xlpm.c))))</f>
        <v/>
      </c>
    </row>
    <row r="19" spans="1:2" x14ac:dyDescent="0.2">
      <c r="A19" t="str" cm="1">
        <f t="array" ref="A19">IF(MAX(_xlfn.BYCOL('Prematch Backend 3A'!19:19, _xlfn.LAMBDA(_xlpm.ARRAY,IF(_xlpm.ARRAY="teleOp", COLUMN(_xlpm.ARRAY), 0))))=0,"",MAX(_xlfn.BYCOL('Prematch Backend 3A'!19:19, _xlfn.LAMBDA(_xlpm.ARRAY,IF(_xlpm.ARRAY="teleOp", COLUMN(_xlpm.ARRAY), 0)))))</f>
        <v/>
      </c>
      <c r="B19" t="str" cm="1">
        <f t="array" ref="B19">IF(A19="","",_xlfn.CHOOSECOLS('Prematch Backend 2A'!19:19,_xlfn.MAKEARRAY(1,A19-2,_xlfn.LAMBDA(_xlpm.r,_xlpm.c,_xlpm.c))))</f>
        <v/>
      </c>
    </row>
    <row r="20" spans="1:2" x14ac:dyDescent="0.2">
      <c r="A20" t="str" cm="1">
        <f t="array" ref="A20">IF(MAX(_xlfn.BYCOL('Prematch Backend 3A'!20:20, _xlfn.LAMBDA(_xlpm.ARRAY,IF(_xlpm.ARRAY="teleOp", COLUMN(_xlpm.ARRAY), 0))))=0,"",MAX(_xlfn.BYCOL('Prematch Backend 3A'!20:20, _xlfn.LAMBDA(_xlpm.ARRAY,IF(_xlpm.ARRAY="teleOp", COLUMN(_xlpm.ARRAY), 0)))))</f>
        <v/>
      </c>
      <c r="B20" t="str" cm="1">
        <f t="array" ref="B20">IF(A20="","",_xlfn.CHOOSECOLS('Prematch Backend 2A'!20:20,_xlfn.MAKEARRAY(1,A20-2,_xlfn.LAMBDA(_xlpm.r,_xlpm.c,_xlpm.c))))</f>
        <v/>
      </c>
    </row>
    <row r="21" spans="1:2" x14ac:dyDescent="0.2">
      <c r="A21" t="str" cm="1">
        <f t="array" ref="A21">IF(MAX(_xlfn.BYCOL('Prematch Backend 3A'!21:21, _xlfn.LAMBDA(_xlpm.ARRAY,IF(_xlpm.ARRAY="teleOp", COLUMN(_xlpm.ARRAY), 0))))=0,"",MAX(_xlfn.BYCOL('Prematch Backend 3A'!21:21, _xlfn.LAMBDA(_xlpm.ARRAY,IF(_xlpm.ARRAY="teleOp", COLUMN(_xlpm.ARRAY), 0)))))</f>
        <v/>
      </c>
      <c r="B21" t="str" cm="1">
        <f t="array" ref="B21">IF(A21="","",_xlfn.CHOOSECOLS('Prematch Backend 2A'!21:21,_xlfn.MAKEARRAY(1,A21-2,_xlfn.LAMBDA(_xlpm.r,_xlpm.c,_xlpm.c))))</f>
        <v/>
      </c>
    </row>
    <row r="22" spans="1:2" x14ac:dyDescent="0.2">
      <c r="A22" t="str" cm="1">
        <f t="array" ref="A22">IF(MAX(_xlfn.BYCOL('Prematch Backend 3A'!22:22, _xlfn.LAMBDA(_xlpm.ARRAY,IF(_xlpm.ARRAY="teleOp", COLUMN(_xlpm.ARRAY), 0))))=0,"",MAX(_xlfn.BYCOL('Prematch Backend 3A'!22:22, _xlfn.LAMBDA(_xlpm.ARRAY,IF(_xlpm.ARRAY="teleOp", COLUMN(_xlpm.ARRAY), 0)))))</f>
        <v/>
      </c>
      <c r="B22" t="str" cm="1">
        <f t="array" ref="B22">IF(A22="","",_xlfn.CHOOSECOLS('Prematch Backend 2A'!22:22,_xlfn.MAKEARRAY(1,A22-2,_xlfn.LAMBDA(_xlpm.r,_xlpm.c,_xlpm.c))))</f>
        <v/>
      </c>
    </row>
    <row r="23" spans="1:2" x14ac:dyDescent="0.2">
      <c r="A23" t="str" cm="1">
        <f t="array" ref="A23">IF(MAX(_xlfn.BYCOL('Prematch Backend 3A'!23:23, _xlfn.LAMBDA(_xlpm.ARRAY,IF(_xlpm.ARRAY="teleOp", COLUMN(_xlpm.ARRAY), 0))))=0,"",MAX(_xlfn.BYCOL('Prematch Backend 3A'!23:23, _xlfn.LAMBDA(_xlpm.ARRAY,IF(_xlpm.ARRAY="teleOp", COLUMN(_xlpm.ARRAY), 0)))))</f>
        <v/>
      </c>
      <c r="B23" t="str" cm="1">
        <f t="array" ref="B23">IF(A23="","",_xlfn.CHOOSECOLS('Prematch Backend 2A'!23:23,_xlfn.MAKEARRAY(1,A23-2,_xlfn.LAMBDA(_xlpm.r,_xlpm.c,_xlpm.c))))</f>
        <v/>
      </c>
    </row>
    <row r="24" spans="1:2" x14ac:dyDescent="0.2">
      <c r="A24" t="str" cm="1">
        <f t="array" ref="A24">IF(MAX(_xlfn.BYCOL('Prematch Backend 3A'!24:24, _xlfn.LAMBDA(_xlpm.ARRAY,IF(_xlpm.ARRAY="teleOp", COLUMN(_xlpm.ARRAY), 0))))=0,"",MAX(_xlfn.BYCOL('Prematch Backend 3A'!24:24, _xlfn.LAMBDA(_xlpm.ARRAY,IF(_xlpm.ARRAY="teleOp", COLUMN(_xlpm.ARRAY), 0)))))</f>
        <v/>
      </c>
      <c r="B24" t="str" cm="1">
        <f t="array" ref="B24">IF(A24="","",_xlfn.CHOOSECOLS('Prematch Backend 2A'!24:24,_xlfn.MAKEARRAY(1,A24-2,_xlfn.LAMBDA(_xlpm.r,_xlpm.c,_xlpm.c))))</f>
        <v/>
      </c>
    </row>
    <row r="25" spans="1:2" x14ac:dyDescent="0.2">
      <c r="A25" t="str" cm="1">
        <f t="array" ref="A25">IF(MAX(_xlfn.BYCOL('Prematch Backend 3A'!25:25, _xlfn.LAMBDA(_xlpm.ARRAY,IF(_xlpm.ARRAY="teleOp", COLUMN(_xlpm.ARRAY), 0))))=0,"",MAX(_xlfn.BYCOL('Prematch Backend 3A'!25:25, _xlfn.LAMBDA(_xlpm.ARRAY,IF(_xlpm.ARRAY="teleOp", COLUMN(_xlpm.ARRAY), 0)))))</f>
        <v/>
      </c>
      <c r="B25" t="str" cm="1">
        <f t="array" ref="B25">IF(A25="","",_xlfn.CHOOSECOLS('Prematch Backend 2A'!25:25,_xlfn.MAKEARRAY(1,A25-2,_xlfn.LAMBDA(_xlpm.r,_xlpm.c,_xlpm.c))))</f>
        <v/>
      </c>
    </row>
    <row r="26" spans="1:2" x14ac:dyDescent="0.2">
      <c r="A26" t="str" cm="1">
        <f t="array" ref="A26">IF(MAX(_xlfn.BYCOL('Prematch Backend 3A'!26:26, _xlfn.LAMBDA(_xlpm.ARRAY,IF(_xlpm.ARRAY="teleOp", COLUMN(_xlpm.ARRAY), 0))))=0,"",MAX(_xlfn.BYCOL('Prematch Backend 3A'!26:26, _xlfn.LAMBDA(_xlpm.ARRAY,IF(_xlpm.ARRAY="teleOp", COLUMN(_xlpm.ARRAY), 0)))))</f>
        <v/>
      </c>
      <c r="B26" t="str" cm="1">
        <f t="array" ref="B26">IF(A26="","",_xlfn.CHOOSECOLS('Prematch Backend 2A'!26:26,_xlfn.MAKEARRAY(1,A26-2,_xlfn.LAMBDA(_xlpm.r,_xlpm.c,_xlpm.c))))</f>
        <v/>
      </c>
    </row>
    <row r="27" spans="1:2" x14ac:dyDescent="0.2">
      <c r="A27" t="str" cm="1">
        <f t="array" ref="A27">IF(MAX(_xlfn.BYCOL('Prematch Backend 3A'!27:27, _xlfn.LAMBDA(_xlpm.ARRAY,IF(_xlpm.ARRAY="teleOp", COLUMN(_xlpm.ARRAY), 0))))=0,"",MAX(_xlfn.BYCOL('Prematch Backend 3A'!27:27, _xlfn.LAMBDA(_xlpm.ARRAY,IF(_xlpm.ARRAY="teleOp", COLUMN(_xlpm.ARRAY), 0)))))</f>
        <v/>
      </c>
      <c r="B27" t="str" cm="1">
        <f t="array" ref="B27">IF(A27="","",_xlfn.CHOOSECOLS('Prematch Backend 2A'!27:27,_xlfn.MAKEARRAY(1,A27-2,_xlfn.LAMBDA(_xlpm.r,_xlpm.c,_xlpm.c))))</f>
        <v/>
      </c>
    </row>
    <row r="28" spans="1:2" x14ac:dyDescent="0.2">
      <c r="A28" t="str" cm="1">
        <f t="array" ref="A28">IF(MAX(_xlfn.BYCOL('Prematch Backend 3A'!28:28, _xlfn.LAMBDA(_xlpm.ARRAY,IF(_xlpm.ARRAY="teleOp", COLUMN(_xlpm.ARRAY), 0))))=0,"",MAX(_xlfn.BYCOL('Prematch Backend 3A'!28:28, _xlfn.LAMBDA(_xlpm.ARRAY,IF(_xlpm.ARRAY="teleOp", COLUMN(_xlpm.ARRAY), 0)))))</f>
        <v/>
      </c>
      <c r="B28" t="str" cm="1">
        <f t="array" ref="B28">IF(A28="","",_xlfn.CHOOSECOLS('Prematch Backend 2A'!28:28,_xlfn.MAKEARRAY(1,A28-2,_xlfn.LAMBDA(_xlpm.r,_xlpm.c,_xlpm.c))))</f>
        <v/>
      </c>
    </row>
    <row r="29" spans="1:2" x14ac:dyDescent="0.2">
      <c r="A29" t="str" cm="1">
        <f t="array" ref="A29">IF(MAX(_xlfn.BYCOL('Prematch Backend 3A'!29:29, _xlfn.LAMBDA(_xlpm.ARRAY,IF(_xlpm.ARRAY="teleOp", COLUMN(_xlpm.ARRAY), 0))))=0,"",MAX(_xlfn.BYCOL('Prematch Backend 3A'!29:29, _xlfn.LAMBDA(_xlpm.ARRAY,IF(_xlpm.ARRAY="teleOp", COLUMN(_xlpm.ARRAY), 0)))))</f>
        <v/>
      </c>
      <c r="B29" t="str" cm="1">
        <f t="array" ref="B29">IF(A29="","",_xlfn.CHOOSECOLS('Prematch Backend 2A'!29:29,_xlfn.MAKEARRAY(1,A29-2,_xlfn.LAMBDA(_xlpm.r,_xlpm.c,_xlpm.c))))</f>
        <v/>
      </c>
    </row>
    <row r="30" spans="1:2" x14ac:dyDescent="0.2">
      <c r="A30" t="str" cm="1">
        <f t="array" ref="A30">IF(MAX(_xlfn.BYCOL('Prematch Backend 3A'!30:30, _xlfn.LAMBDA(_xlpm.ARRAY,IF(_xlpm.ARRAY="teleOp", COLUMN(_xlpm.ARRAY), 0))))=0,"",MAX(_xlfn.BYCOL('Prematch Backend 3A'!30:30, _xlfn.LAMBDA(_xlpm.ARRAY,IF(_xlpm.ARRAY="teleOp", COLUMN(_xlpm.ARRAY), 0)))))</f>
        <v/>
      </c>
      <c r="B30" t="str" cm="1">
        <f t="array" ref="B30">IF(A30="","",_xlfn.CHOOSECOLS('Prematch Backend 2A'!30:30,_xlfn.MAKEARRAY(1,A30-2,_xlfn.LAMBDA(_xlpm.r,_xlpm.c,_xlpm.c))))</f>
        <v/>
      </c>
    </row>
    <row r="31" spans="1:2" x14ac:dyDescent="0.2">
      <c r="A31" t="str" cm="1">
        <f t="array" ref="A31">IF(MAX(_xlfn.BYCOL('Prematch Backend 3A'!31:31, _xlfn.LAMBDA(_xlpm.ARRAY,IF(_xlpm.ARRAY="teleOp", COLUMN(_xlpm.ARRAY), 0))))=0,"",MAX(_xlfn.BYCOL('Prematch Backend 3A'!31:31, _xlfn.LAMBDA(_xlpm.ARRAY,IF(_xlpm.ARRAY="teleOp", COLUMN(_xlpm.ARRAY), 0)))))</f>
        <v/>
      </c>
      <c r="B31" t="str" cm="1">
        <f t="array" ref="B31">IF(A31="","",_xlfn.CHOOSECOLS('Prematch Backend 2A'!31:31,_xlfn.MAKEARRAY(1,A31-2,_xlfn.LAMBDA(_xlpm.r,_xlpm.c,_xlpm.c))))</f>
        <v/>
      </c>
    </row>
    <row r="32" spans="1:2" x14ac:dyDescent="0.2">
      <c r="A32" t="str" cm="1">
        <f t="array" ref="A32">IF(MAX(_xlfn.BYCOL('Prematch Backend 3A'!32:32, _xlfn.LAMBDA(_xlpm.ARRAY,IF(_xlpm.ARRAY="teleOp", COLUMN(_xlpm.ARRAY), 0))))=0,"",MAX(_xlfn.BYCOL('Prematch Backend 3A'!32:32, _xlfn.LAMBDA(_xlpm.ARRAY,IF(_xlpm.ARRAY="teleOp", COLUMN(_xlpm.ARRAY), 0)))))</f>
        <v/>
      </c>
      <c r="B32" t="str" cm="1">
        <f t="array" ref="B32">IF(A32="","",_xlfn.CHOOSECOLS('Prematch Backend 2A'!32:32,_xlfn.MAKEARRAY(1,A32-2,_xlfn.LAMBDA(_xlpm.r,_xlpm.c,_xlpm.c))))</f>
        <v/>
      </c>
    </row>
    <row r="33" spans="1:2" x14ac:dyDescent="0.2">
      <c r="A33" t="str" cm="1">
        <f t="array" ref="A33">IF(MAX(_xlfn.BYCOL('Prematch Backend 3A'!33:33, _xlfn.LAMBDA(_xlpm.ARRAY,IF(_xlpm.ARRAY="teleOp", COLUMN(_xlpm.ARRAY), 0))))=0,"",MAX(_xlfn.BYCOL('Prematch Backend 3A'!33:33, _xlfn.LAMBDA(_xlpm.ARRAY,IF(_xlpm.ARRAY="teleOp", COLUMN(_xlpm.ARRAY), 0)))))</f>
        <v/>
      </c>
      <c r="B33" t="str" cm="1">
        <f t="array" ref="B33">IF(A33="","",_xlfn.CHOOSECOLS('Prematch Backend 2A'!33:33,_xlfn.MAKEARRAY(1,A33-2,_xlfn.LAMBDA(_xlpm.r,_xlpm.c,_xlpm.c))))</f>
        <v/>
      </c>
    </row>
    <row r="34" spans="1:2" x14ac:dyDescent="0.2">
      <c r="A34" t="str" cm="1">
        <f t="array" ref="A34">IF(MAX(_xlfn.BYCOL('Prematch Backend 3A'!34:34, _xlfn.LAMBDA(_xlpm.ARRAY,IF(_xlpm.ARRAY="teleOp", COLUMN(_xlpm.ARRAY), 0))))=0,"",MAX(_xlfn.BYCOL('Prematch Backend 3A'!34:34, _xlfn.LAMBDA(_xlpm.ARRAY,IF(_xlpm.ARRAY="teleOp", COLUMN(_xlpm.ARRAY), 0)))))</f>
        <v/>
      </c>
      <c r="B34" t="str" cm="1">
        <f t="array" ref="B34">IF(A34="","",_xlfn.CHOOSECOLS('Prematch Backend 2A'!34:34,_xlfn.MAKEARRAY(1,A34-2,_xlfn.LAMBDA(_xlpm.r,_xlpm.c,_xlpm.c))))</f>
        <v/>
      </c>
    </row>
    <row r="35" spans="1:2" x14ac:dyDescent="0.2">
      <c r="A35" t="str" cm="1">
        <f t="array" ref="A35">IF(MAX(_xlfn.BYCOL('Prematch Backend 3A'!35:35, _xlfn.LAMBDA(_xlpm.ARRAY,IF(_xlpm.ARRAY="teleOp", COLUMN(_xlpm.ARRAY), 0))))=0,"",MAX(_xlfn.BYCOL('Prematch Backend 3A'!35:35, _xlfn.LAMBDA(_xlpm.ARRAY,IF(_xlpm.ARRAY="teleOp", COLUMN(_xlpm.ARRAY), 0)))))</f>
        <v/>
      </c>
      <c r="B35" t="str" cm="1">
        <f t="array" ref="B35">IF(A35="","",_xlfn.CHOOSECOLS('Prematch Backend 2A'!35:35,_xlfn.MAKEARRAY(1,A35-2,_xlfn.LAMBDA(_xlpm.r,_xlpm.c,_xlpm.c))))</f>
        <v/>
      </c>
    </row>
    <row r="36" spans="1:2" x14ac:dyDescent="0.2">
      <c r="A36" t="str" cm="1">
        <f t="array" ref="A36">IF(MAX(_xlfn.BYCOL('Prematch Backend 3A'!36:36, _xlfn.LAMBDA(_xlpm.ARRAY,IF(_xlpm.ARRAY="teleOp", COLUMN(_xlpm.ARRAY), 0))))=0,"",MAX(_xlfn.BYCOL('Prematch Backend 3A'!36:36, _xlfn.LAMBDA(_xlpm.ARRAY,IF(_xlpm.ARRAY="teleOp", COLUMN(_xlpm.ARRAY), 0)))))</f>
        <v/>
      </c>
      <c r="B36" t="str" cm="1">
        <f t="array" ref="B36">IF(A36="","",_xlfn.CHOOSECOLS('Prematch Backend 2A'!36:36,_xlfn.MAKEARRAY(1,A36-2,_xlfn.LAMBDA(_xlpm.r,_xlpm.c,_xlpm.c))))</f>
        <v/>
      </c>
    </row>
    <row r="37" spans="1:2" x14ac:dyDescent="0.2">
      <c r="A37" t="str" cm="1">
        <f t="array" ref="A37">IF(MAX(_xlfn.BYCOL('Prematch Backend 3A'!37:37, _xlfn.LAMBDA(_xlpm.ARRAY,IF(_xlpm.ARRAY="teleOp", COLUMN(_xlpm.ARRAY), 0))))=0,"",MAX(_xlfn.BYCOL('Prematch Backend 3A'!37:37, _xlfn.LAMBDA(_xlpm.ARRAY,IF(_xlpm.ARRAY="teleOp", COLUMN(_xlpm.ARRAY), 0)))))</f>
        <v/>
      </c>
      <c r="B37" t="str" cm="1">
        <f t="array" ref="B37">IF(A37="","",_xlfn.CHOOSECOLS('Prematch Backend 2A'!37:37,_xlfn.MAKEARRAY(1,A37-2,_xlfn.LAMBDA(_xlpm.r,_xlpm.c,_xlpm.c))))</f>
        <v/>
      </c>
    </row>
    <row r="38" spans="1:2" x14ac:dyDescent="0.2">
      <c r="A38" t="str" cm="1">
        <f t="array" ref="A38">IF(MAX(_xlfn.BYCOL('Prematch Backend 3A'!38:38, _xlfn.LAMBDA(_xlpm.ARRAY,IF(_xlpm.ARRAY="teleOp", COLUMN(_xlpm.ARRAY), 0))))=0,"",MAX(_xlfn.BYCOL('Prematch Backend 3A'!38:38, _xlfn.LAMBDA(_xlpm.ARRAY,IF(_xlpm.ARRAY="teleOp", COLUMN(_xlpm.ARRAY), 0)))))</f>
        <v/>
      </c>
      <c r="B38" t="str" cm="1">
        <f t="array" ref="B38">IF(A38="","",_xlfn.CHOOSECOLS('Prematch Backend 2A'!38:38,_xlfn.MAKEARRAY(1,A38-2,_xlfn.LAMBDA(_xlpm.r,_xlpm.c,_xlpm.c))))</f>
        <v/>
      </c>
    </row>
    <row r="39" spans="1:2" x14ac:dyDescent="0.2">
      <c r="A39" t="str" cm="1">
        <f t="array" ref="A39">IF(MAX(_xlfn.BYCOL('Prematch Backend 3A'!39:39, _xlfn.LAMBDA(_xlpm.ARRAY,IF(_xlpm.ARRAY="teleOp", COLUMN(_xlpm.ARRAY), 0))))=0,"",MAX(_xlfn.BYCOL('Prematch Backend 3A'!39:39, _xlfn.LAMBDA(_xlpm.ARRAY,IF(_xlpm.ARRAY="teleOp", COLUMN(_xlpm.ARRAY), 0)))))</f>
        <v/>
      </c>
      <c r="B39" t="str" cm="1">
        <f t="array" ref="B39">IF(A39="","",_xlfn.CHOOSECOLS('Prematch Backend 2A'!39:39,_xlfn.MAKEARRAY(1,A39-2,_xlfn.LAMBDA(_xlpm.r,_xlpm.c,_xlpm.c))))</f>
        <v/>
      </c>
    </row>
    <row r="40" spans="1:2" x14ac:dyDescent="0.2">
      <c r="A40" t="str" cm="1">
        <f t="array" ref="A40">IF(MAX(_xlfn.BYCOL('Prematch Backend 3A'!40:40, _xlfn.LAMBDA(_xlpm.ARRAY,IF(_xlpm.ARRAY="teleOp", COLUMN(_xlpm.ARRAY), 0))))=0,"",MAX(_xlfn.BYCOL('Prematch Backend 3A'!40:40, _xlfn.LAMBDA(_xlpm.ARRAY,IF(_xlpm.ARRAY="teleOp", COLUMN(_xlpm.ARRAY), 0)))))</f>
        <v/>
      </c>
      <c r="B40" t="str" cm="1">
        <f t="array" ref="B40">IF(A40="","",_xlfn.CHOOSECOLS('Prematch Backend 2A'!40:40,_xlfn.MAKEARRAY(1,A40-2,_xlfn.LAMBDA(_xlpm.r,_xlpm.c,_xlpm.c))))</f>
        <v/>
      </c>
    </row>
    <row r="41" spans="1:2" x14ac:dyDescent="0.2">
      <c r="A41" t="str" cm="1">
        <f t="array" ref="A41">IF(MAX(_xlfn.BYCOL('Prematch Backend 3A'!41:41, _xlfn.LAMBDA(_xlpm.ARRAY,IF(_xlpm.ARRAY="teleOp", COLUMN(_xlpm.ARRAY), 0))))=0,"",MAX(_xlfn.BYCOL('Prematch Backend 3A'!41:41, _xlfn.LAMBDA(_xlpm.ARRAY,IF(_xlpm.ARRAY="teleOp", COLUMN(_xlpm.ARRAY), 0)))))</f>
        <v/>
      </c>
      <c r="B41" t="str" cm="1">
        <f t="array" ref="B41">IF(A41="","",_xlfn.CHOOSECOLS('Prematch Backend 2A'!41:41,_xlfn.MAKEARRAY(1,A41-2,_xlfn.LAMBDA(_xlpm.r,_xlpm.c,_xlpm.c))))</f>
        <v/>
      </c>
    </row>
    <row r="42" spans="1:2" x14ac:dyDescent="0.2">
      <c r="A42" t="str" cm="1">
        <f t="array" ref="A42">IF(MAX(_xlfn.BYCOL('Prematch Backend 3A'!42:42, _xlfn.LAMBDA(_xlpm.ARRAY,IF(_xlpm.ARRAY="teleOp", COLUMN(_xlpm.ARRAY), 0))))=0,"",MAX(_xlfn.BYCOL('Prematch Backend 3A'!42:42, _xlfn.LAMBDA(_xlpm.ARRAY,IF(_xlpm.ARRAY="teleOp", COLUMN(_xlpm.ARRAY), 0)))))</f>
        <v/>
      </c>
      <c r="B42" t="str" cm="1">
        <f t="array" ref="B42">IF(A42="","",_xlfn.CHOOSECOLS('Prematch Backend 2A'!42:42,_xlfn.MAKEARRAY(1,A42-2,_xlfn.LAMBDA(_xlpm.r,_xlpm.c,_xlpm.c))))</f>
        <v/>
      </c>
    </row>
    <row r="43" spans="1:2" x14ac:dyDescent="0.2">
      <c r="A43" t="str" cm="1">
        <f t="array" ref="A43">IF(MAX(_xlfn.BYCOL('Prematch Backend 3A'!43:43, _xlfn.LAMBDA(_xlpm.ARRAY,IF(_xlpm.ARRAY="teleOp", COLUMN(_xlpm.ARRAY), 0))))=0,"",MAX(_xlfn.BYCOL('Prematch Backend 3A'!43:43, _xlfn.LAMBDA(_xlpm.ARRAY,IF(_xlpm.ARRAY="teleOp", COLUMN(_xlpm.ARRAY), 0)))))</f>
        <v/>
      </c>
      <c r="B43" t="str" cm="1">
        <f t="array" ref="B43">IF(A43="","",_xlfn.CHOOSECOLS('Prematch Backend 2A'!43:43,_xlfn.MAKEARRAY(1,A43-2,_xlfn.LAMBDA(_xlpm.r,_xlpm.c,_xlpm.c))))</f>
        <v/>
      </c>
    </row>
    <row r="44" spans="1:2" x14ac:dyDescent="0.2">
      <c r="A44" t="str" cm="1">
        <f t="array" ref="A44">IF(MAX(_xlfn.BYCOL('Prematch Backend 3A'!44:44, _xlfn.LAMBDA(_xlpm.ARRAY,IF(_xlpm.ARRAY="teleOp", COLUMN(_xlpm.ARRAY), 0))))=0,"",MAX(_xlfn.BYCOL('Prematch Backend 3A'!44:44, _xlfn.LAMBDA(_xlpm.ARRAY,IF(_xlpm.ARRAY="teleOp", COLUMN(_xlpm.ARRAY), 0)))))</f>
        <v/>
      </c>
      <c r="B44" t="str" cm="1">
        <f t="array" ref="B44">IF(A44="","",_xlfn.CHOOSECOLS('Prematch Backend 2A'!44:44,_xlfn.MAKEARRAY(1,A44-2,_xlfn.LAMBDA(_xlpm.r,_xlpm.c,_xlpm.c))))</f>
        <v/>
      </c>
    </row>
    <row r="45" spans="1:2" x14ac:dyDescent="0.2">
      <c r="A45" t="str" cm="1">
        <f t="array" ref="A45">IF(MAX(_xlfn.BYCOL('Prematch Backend 3A'!45:45, _xlfn.LAMBDA(_xlpm.ARRAY,IF(_xlpm.ARRAY="teleOp", COLUMN(_xlpm.ARRAY), 0))))=0,"",MAX(_xlfn.BYCOL('Prematch Backend 3A'!45:45, _xlfn.LAMBDA(_xlpm.ARRAY,IF(_xlpm.ARRAY="teleOp", COLUMN(_xlpm.ARRAY), 0)))))</f>
        <v/>
      </c>
      <c r="B45" t="str" cm="1">
        <f t="array" ref="B45">IF(A45="","",_xlfn.CHOOSECOLS('Prematch Backend 2A'!45:45,_xlfn.MAKEARRAY(1,A45-2,_xlfn.LAMBDA(_xlpm.r,_xlpm.c,_xlpm.c))))</f>
        <v/>
      </c>
    </row>
    <row r="46" spans="1:2" x14ac:dyDescent="0.2">
      <c r="A46" t="str" cm="1">
        <f t="array" ref="A46">IF(MAX(_xlfn.BYCOL('Prematch Backend 3A'!46:46, _xlfn.LAMBDA(_xlpm.ARRAY,IF(_xlpm.ARRAY="teleOp", COLUMN(_xlpm.ARRAY), 0))))=0,"",MAX(_xlfn.BYCOL('Prematch Backend 3A'!46:46, _xlfn.LAMBDA(_xlpm.ARRAY,IF(_xlpm.ARRAY="teleOp", COLUMN(_xlpm.ARRAY), 0)))))</f>
        <v/>
      </c>
      <c r="B46" t="str" cm="1">
        <f t="array" ref="B46">IF(A46="","",_xlfn.CHOOSECOLS('Prematch Backend 2A'!46:46,_xlfn.MAKEARRAY(1,A46-2,_xlfn.LAMBDA(_xlpm.r,_xlpm.c,_xlpm.c))))</f>
        <v/>
      </c>
    </row>
    <row r="47" spans="1:2" x14ac:dyDescent="0.2">
      <c r="A47" t="str" cm="1">
        <f t="array" ref="A47">IF(MAX(_xlfn.BYCOL('Prematch Backend 3A'!47:47, _xlfn.LAMBDA(_xlpm.ARRAY,IF(_xlpm.ARRAY="teleOp", COLUMN(_xlpm.ARRAY), 0))))=0,"",MAX(_xlfn.BYCOL('Prematch Backend 3A'!47:47, _xlfn.LAMBDA(_xlpm.ARRAY,IF(_xlpm.ARRAY="teleOp", COLUMN(_xlpm.ARRAY), 0)))))</f>
        <v/>
      </c>
      <c r="B47" t="str" cm="1">
        <f t="array" ref="B47">IF(A47="","",_xlfn.CHOOSECOLS('Prematch Backend 2A'!47:47,_xlfn.MAKEARRAY(1,A47-2,_xlfn.LAMBDA(_xlpm.r,_xlpm.c,_xlpm.c))))</f>
        <v/>
      </c>
    </row>
    <row r="48" spans="1:2" x14ac:dyDescent="0.2">
      <c r="A48" t="str" cm="1">
        <f t="array" ref="A48">IF(MAX(_xlfn.BYCOL('Prematch Backend 3A'!48:48, _xlfn.LAMBDA(_xlpm.ARRAY,IF(_xlpm.ARRAY="teleOp", COLUMN(_xlpm.ARRAY), 0))))=0,"",MAX(_xlfn.BYCOL('Prematch Backend 3A'!48:48, _xlfn.LAMBDA(_xlpm.ARRAY,IF(_xlpm.ARRAY="teleOp", COLUMN(_xlpm.ARRAY), 0)))))</f>
        <v/>
      </c>
      <c r="B48" t="str" cm="1">
        <f t="array" ref="B48">IF(A48="","",_xlfn.CHOOSECOLS('Prematch Backend 2A'!48:48,_xlfn.MAKEARRAY(1,A48-2,_xlfn.LAMBDA(_xlpm.r,_xlpm.c,_xlpm.c))))</f>
        <v/>
      </c>
    </row>
    <row r="49" spans="1:2" x14ac:dyDescent="0.2">
      <c r="A49" t="str" cm="1">
        <f t="array" ref="A49">IF(MAX(_xlfn.BYCOL('Prematch Backend 3A'!49:49, _xlfn.LAMBDA(_xlpm.ARRAY,IF(_xlpm.ARRAY="teleOp", COLUMN(_xlpm.ARRAY), 0))))=0,"",MAX(_xlfn.BYCOL('Prematch Backend 3A'!49:49, _xlfn.LAMBDA(_xlpm.ARRAY,IF(_xlpm.ARRAY="teleOp", COLUMN(_xlpm.ARRAY), 0)))))</f>
        <v/>
      </c>
      <c r="B49" t="str" cm="1">
        <f t="array" ref="B49">IF(A49="","",_xlfn.CHOOSECOLS('Prematch Backend 2A'!49:49,_xlfn.MAKEARRAY(1,A49-2,_xlfn.LAMBDA(_xlpm.r,_xlpm.c,_xlpm.c))))</f>
        <v/>
      </c>
    </row>
    <row r="50" spans="1:2" x14ac:dyDescent="0.2">
      <c r="A50" t="str" cm="1">
        <f t="array" ref="A50">IF(MAX(_xlfn.BYCOL('Prematch Backend 3A'!50:50, _xlfn.LAMBDA(_xlpm.ARRAY,IF(_xlpm.ARRAY="teleOp", COLUMN(_xlpm.ARRAY), 0))))=0,"",MAX(_xlfn.BYCOL('Prematch Backend 3A'!50:50, _xlfn.LAMBDA(_xlpm.ARRAY,IF(_xlpm.ARRAY="teleOp", COLUMN(_xlpm.ARRAY), 0)))))</f>
        <v/>
      </c>
      <c r="B50" t="str" cm="1">
        <f t="array" ref="B50">IF(A50="","",_xlfn.CHOOSECOLS('Prematch Backend 2A'!50:50,_xlfn.MAKEARRAY(1,A50-2,_xlfn.LAMBDA(_xlpm.r,_xlpm.c,_xlpm.c))))</f>
        <v/>
      </c>
    </row>
    <row r="51" spans="1:2" x14ac:dyDescent="0.2">
      <c r="A51" t="str" cm="1">
        <f t="array" ref="A51">IF(MAX(_xlfn.BYCOL('Prematch Backend 3A'!51:51, _xlfn.LAMBDA(_xlpm.ARRAY,IF(_xlpm.ARRAY="teleOp", COLUMN(_xlpm.ARRAY), 0))))=0,"",MAX(_xlfn.BYCOL('Prematch Backend 3A'!51:51, _xlfn.LAMBDA(_xlpm.ARRAY,IF(_xlpm.ARRAY="teleOp", COLUMN(_xlpm.ARRAY), 0)))))</f>
        <v/>
      </c>
      <c r="B51" t="str" cm="1">
        <f t="array" ref="B51">IF(A51="","",_xlfn.CHOOSECOLS('Prematch Backend 2A'!51:51,_xlfn.MAKEARRAY(1,A51-2,_xlfn.LAMBDA(_xlpm.r,_xlpm.c,_xlpm.c))))</f>
        <v/>
      </c>
    </row>
    <row r="52" spans="1:2" x14ac:dyDescent="0.2">
      <c r="A52" t="str" cm="1">
        <f t="array" ref="A52">IF(MAX(_xlfn.BYCOL('Prematch Backend 3A'!52:52, _xlfn.LAMBDA(_xlpm.ARRAY,IF(_xlpm.ARRAY="teleOp", COLUMN(_xlpm.ARRAY), 0))))=0,"",MAX(_xlfn.BYCOL('Prematch Backend 3A'!52:52, _xlfn.LAMBDA(_xlpm.ARRAY,IF(_xlpm.ARRAY="teleOp", COLUMN(_xlpm.ARRAY), 0)))))</f>
        <v/>
      </c>
      <c r="B52" t="str" cm="1">
        <f t="array" ref="B52">IF(A52="","",_xlfn.CHOOSECOLS('Prematch Backend 2A'!52:52,_xlfn.MAKEARRAY(1,A52-2,_xlfn.LAMBDA(_xlpm.r,_xlpm.c,_xlpm.c))))</f>
        <v/>
      </c>
    </row>
    <row r="53" spans="1:2" x14ac:dyDescent="0.2">
      <c r="A53" t="str" cm="1">
        <f t="array" ref="A53">IF(MAX(_xlfn.BYCOL('Prematch Backend 3A'!53:53, _xlfn.LAMBDA(_xlpm.ARRAY,IF(_xlpm.ARRAY="teleOp", COLUMN(_xlpm.ARRAY), 0))))=0,"",MAX(_xlfn.BYCOL('Prematch Backend 3A'!53:53, _xlfn.LAMBDA(_xlpm.ARRAY,IF(_xlpm.ARRAY="teleOp", COLUMN(_xlpm.ARRAY), 0)))))</f>
        <v/>
      </c>
      <c r="B53" t="str" cm="1">
        <f t="array" ref="B53">IF(A53="","",_xlfn.CHOOSECOLS('Prematch Backend 2A'!53:53,_xlfn.MAKEARRAY(1,A53-2,_xlfn.LAMBDA(_xlpm.r,_xlpm.c,_xlpm.c))))</f>
        <v/>
      </c>
    </row>
    <row r="54" spans="1:2" x14ac:dyDescent="0.2">
      <c r="A54" t="str" cm="1">
        <f t="array" ref="A54">IF(MAX(_xlfn.BYCOL('Prematch Backend 3A'!54:54, _xlfn.LAMBDA(_xlpm.ARRAY,IF(_xlpm.ARRAY="teleOp", COLUMN(_xlpm.ARRAY), 0))))=0,"",MAX(_xlfn.BYCOL('Prematch Backend 3A'!54:54, _xlfn.LAMBDA(_xlpm.ARRAY,IF(_xlpm.ARRAY="teleOp", COLUMN(_xlpm.ARRAY), 0)))))</f>
        <v/>
      </c>
      <c r="B54" t="str" cm="1">
        <f t="array" ref="B54">IF(A54="","",_xlfn.CHOOSECOLS('Prematch Backend 2A'!54:54,_xlfn.MAKEARRAY(1,A54-2,_xlfn.LAMBDA(_xlpm.r,_xlpm.c,_xlpm.c))))</f>
        <v/>
      </c>
    </row>
    <row r="55" spans="1:2" x14ac:dyDescent="0.2">
      <c r="A55" t="str" cm="1">
        <f t="array" ref="A55">IF(MAX(_xlfn.BYCOL('Prematch Backend 3A'!55:55, _xlfn.LAMBDA(_xlpm.ARRAY,IF(_xlpm.ARRAY="teleOp", COLUMN(_xlpm.ARRAY), 0))))=0,"",MAX(_xlfn.BYCOL('Prematch Backend 3A'!55:55, _xlfn.LAMBDA(_xlpm.ARRAY,IF(_xlpm.ARRAY="teleOp", COLUMN(_xlpm.ARRAY), 0)))))</f>
        <v/>
      </c>
      <c r="B55" t="str" cm="1">
        <f t="array" ref="B55">IF(A55="","",_xlfn.CHOOSECOLS('Prematch Backend 2A'!55:55,_xlfn.MAKEARRAY(1,A55-2,_xlfn.LAMBDA(_xlpm.r,_xlpm.c,_xlpm.c))))</f>
        <v/>
      </c>
    </row>
    <row r="56" spans="1:2" x14ac:dyDescent="0.2">
      <c r="A56" t="str" cm="1">
        <f t="array" ref="A56">IF(MAX(_xlfn.BYCOL('Prematch Backend 3A'!56:56, _xlfn.LAMBDA(_xlpm.ARRAY,IF(_xlpm.ARRAY="teleOp", COLUMN(_xlpm.ARRAY), 0))))=0,"",MAX(_xlfn.BYCOL('Prematch Backend 3A'!56:56, _xlfn.LAMBDA(_xlpm.ARRAY,IF(_xlpm.ARRAY="teleOp", COLUMN(_xlpm.ARRAY), 0)))))</f>
        <v/>
      </c>
      <c r="B56" t="str" cm="1">
        <f t="array" ref="B56">IF(A56="","",_xlfn.CHOOSECOLS('Prematch Backend 2A'!56:56,_xlfn.MAKEARRAY(1,A56-2,_xlfn.LAMBDA(_xlpm.r,_xlpm.c,_xlpm.c))))</f>
        <v/>
      </c>
    </row>
    <row r="57" spans="1:2" x14ac:dyDescent="0.2">
      <c r="A57" t="str" cm="1">
        <f t="array" ref="A57">IF(MAX(_xlfn.BYCOL('Prematch Backend 3A'!57:57, _xlfn.LAMBDA(_xlpm.ARRAY,IF(_xlpm.ARRAY="teleOp", COLUMN(_xlpm.ARRAY), 0))))=0,"",MAX(_xlfn.BYCOL('Prematch Backend 3A'!57:57, _xlfn.LAMBDA(_xlpm.ARRAY,IF(_xlpm.ARRAY="teleOp", COLUMN(_xlpm.ARRAY), 0)))))</f>
        <v/>
      </c>
      <c r="B57" t="str" cm="1">
        <f t="array" ref="B57">IF(A57="","",_xlfn.CHOOSECOLS('Prematch Backend 2A'!57:57,_xlfn.MAKEARRAY(1,A57-2,_xlfn.LAMBDA(_xlpm.r,_xlpm.c,_xlpm.c))))</f>
        <v/>
      </c>
    </row>
    <row r="58" spans="1:2" x14ac:dyDescent="0.2">
      <c r="A58" t="str" cm="1">
        <f t="array" ref="A58">IF(MAX(_xlfn.BYCOL('Prematch Backend 3A'!58:58, _xlfn.LAMBDA(_xlpm.ARRAY,IF(_xlpm.ARRAY="teleOp", COLUMN(_xlpm.ARRAY), 0))))=0,"",MAX(_xlfn.BYCOL('Prematch Backend 3A'!58:58, _xlfn.LAMBDA(_xlpm.ARRAY,IF(_xlpm.ARRAY="teleOp", COLUMN(_xlpm.ARRAY), 0)))))</f>
        <v/>
      </c>
      <c r="B58" t="str" cm="1">
        <f t="array" ref="B58">IF(A58="","",_xlfn.CHOOSECOLS('Prematch Backend 2A'!58:58,_xlfn.MAKEARRAY(1,A58-2,_xlfn.LAMBDA(_xlpm.r,_xlpm.c,_xlpm.c))))</f>
        <v/>
      </c>
    </row>
    <row r="59" spans="1:2" x14ac:dyDescent="0.2">
      <c r="A59" t="str" cm="1">
        <f t="array" ref="A59">IF(MAX(_xlfn.BYCOL('Prematch Backend 3A'!59:59, _xlfn.LAMBDA(_xlpm.ARRAY,IF(_xlpm.ARRAY="teleOp", COLUMN(_xlpm.ARRAY), 0))))=0,"",MAX(_xlfn.BYCOL('Prematch Backend 3A'!59:59, _xlfn.LAMBDA(_xlpm.ARRAY,IF(_xlpm.ARRAY="teleOp", COLUMN(_xlpm.ARRAY), 0)))))</f>
        <v/>
      </c>
      <c r="B59" t="str" cm="1">
        <f t="array" ref="B59">IF(A59="","",_xlfn.CHOOSECOLS('Prematch Backend 2A'!59:59,_xlfn.MAKEARRAY(1,A59-2,_xlfn.LAMBDA(_xlpm.r,_xlpm.c,_xlpm.c))))</f>
        <v/>
      </c>
    </row>
    <row r="60" spans="1:2" x14ac:dyDescent="0.2">
      <c r="A60" t="str" cm="1">
        <f t="array" ref="A60">IF(MAX(_xlfn.BYCOL('Prematch Backend 3A'!60:60, _xlfn.LAMBDA(_xlpm.ARRAY,IF(_xlpm.ARRAY="teleOp", COLUMN(_xlpm.ARRAY), 0))))=0,"",MAX(_xlfn.BYCOL('Prematch Backend 3A'!60:60, _xlfn.LAMBDA(_xlpm.ARRAY,IF(_xlpm.ARRAY="teleOp", COLUMN(_xlpm.ARRAY), 0)))))</f>
        <v/>
      </c>
      <c r="B60" t="str" cm="1">
        <f t="array" ref="B60">IF(A60="","",_xlfn.CHOOSECOLS('Prematch Backend 2A'!60:60,_xlfn.MAKEARRAY(1,A60-2,_xlfn.LAMBDA(_xlpm.r,_xlpm.c,_xlpm.c))))</f>
        <v/>
      </c>
    </row>
    <row r="61" spans="1:2" x14ac:dyDescent="0.2">
      <c r="A61" t="str" cm="1">
        <f t="array" ref="A61">IF(MAX(_xlfn.BYCOL('Prematch Backend 3A'!61:61, _xlfn.LAMBDA(_xlpm.ARRAY,IF(_xlpm.ARRAY="teleOp", COLUMN(_xlpm.ARRAY), 0))))=0,"",MAX(_xlfn.BYCOL('Prematch Backend 3A'!61:61, _xlfn.LAMBDA(_xlpm.ARRAY,IF(_xlpm.ARRAY="teleOp", COLUMN(_xlpm.ARRAY), 0)))))</f>
        <v/>
      </c>
      <c r="B61" t="str" cm="1">
        <f t="array" ref="B61">IF(A61="","",_xlfn.CHOOSECOLS('Prematch Backend 2A'!61:61,_xlfn.MAKEARRAY(1,A61-2,_xlfn.LAMBDA(_xlpm.r,_xlpm.c,_xlpm.c))))</f>
        <v/>
      </c>
    </row>
    <row r="62" spans="1:2" x14ac:dyDescent="0.2">
      <c r="A62" t="str" cm="1">
        <f t="array" ref="A62">IF(MAX(_xlfn.BYCOL('Prematch Backend 3A'!62:62, _xlfn.LAMBDA(_xlpm.ARRAY,IF(_xlpm.ARRAY="teleOp", COLUMN(_xlpm.ARRAY), 0))))=0,"",MAX(_xlfn.BYCOL('Prematch Backend 3A'!62:62, _xlfn.LAMBDA(_xlpm.ARRAY,IF(_xlpm.ARRAY="teleOp", COLUMN(_xlpm.ARRAY), 0)))))</f>
        <v/>
      </c>
      <c r="B62" t="str" cm="1">
        <f t="array" ref="B62">IF(A62="","",_xlfn.CHOOSECOLS('Prematch Backend 2A'!62:62,_xlfn.MAKEARRAY(1,A62-2,_xlfn.LAMBDA(_xlpm.r,_xlpm.c,_xlpm.c))))</f>
        <v/>
      </c>
    </row>
    <row r="63" spans="1:2" x14ac:dyDescent="0.2">
      <c r="A63" t="str" cm="1">
        <f t="array" ref="A63">IF(MAX(_xlfn.BYCOL('Prematch Backend 3A'!63:63, _xlfn.LAMBDA(_xlpm.ARRAY,IF(_xlpm.ARRAY="teleOp", COLUMN(_xlpm.ARRAY), 0))))=0,"",MAX(_xlfn.BYCOL('Prematch Backend 3A'!63:63, _xlfn.LAMBDA(_xlpm.ARRAY,IF(_xlpm.ARRAY="teleOp", COLUMN(_xlpm.ARRAY), 0)))))</f>
        <v/>
      </c>
      <c r="B63" t="str" cm="1">
        <f t="array" ref="B63">IF(A63="","",_xlfn.CHOOSECOLS('Prematch Backend 2A'!63:63,_xlfn.MAKEARRAY(1,A63-2,_xlfn.LAMBDA(_xlpm.r,_xlpm.c,_xlpm.c))))</f>
        <v/>
      </c>
    </row>
    <row r="64" spans="1:2" x14ac:dyDescent="0.2">
      <c r="A64" t="str" cm="1">
        <f t="array" ref="A64">IF(MAX(_xlfn.BYCOL('Prematch Backend 3A'!64:64, _xlfn.LAMBDA(_xlpm.ARRAY,IF(_xlpm.ARRAY="teleOp", COLUMN(_xlpm.ARRAY), 0))))=0,"",MAX(_xlfn.BYCOL('Prematch Backend 3A'!64:64, _xlfn.LAMBDA(_xlpm.ARRAY,IF(_xlpm.ARRAY="teleOp", COLUMN(_xlpm.ARRAY), 0)))))</f>
        <v/>
      </c>
      <c r="B64" t="str" cm="1">
        <f t="array" ref="B64">IF(A64="","",_xlfn.CHOOSECOLS('Prematch Backend 2A'!64:64,_xlfn.MAKEARRAY(1,A64-2,_xlfn.LAMBDA(_xlpm.r,_xlpm.c,_xlpm.c))))</f>
        <v/>
      </c>
    </row>
    <row r="65" spans="1:2" x14ac:dyDescent="0.2">
      <c r="A65" t="str" cm="1">
        <f t="array" ref="A65">IF(MAX(_xlfn.BYCOL('Prematch Backend 3A'!65:65, _xlfn.LAMBDA(_xlpm.ARRAY,IF(_xlpm.ARRAY="teleOp", COLUMN(_xlpm.ARRAY), 0))))=0,"",MAX(_xlfn.BYCOL('Prematch Backend 3A'!65:65, _xlfn.LAMBDA(_xlpm.ARRAY,IF(_xlpm.ARRAY="teleOp", COLUMN(_xlpm.ARRAY), 0)))))</f>
        <v/>
      </c>
      <c r="B65" t="str" cm="1">
        <f t="array" ref="B65">IF(A65="","",_xlfn.CHOOSECOLS('Prematch Backend 2A'!65:65,_xlfn.MAKEARRAY(1,A65-2,_xlfn.LAMBDA(_xlpm.r,_xlpm.c,_xlpm.c))))</f>
        <v/>
      </c>
    </row>
    <row r="66" spans="1:2" x14ac:dyDescent="0.2">
      <c r="A66" t="str" cm="1">
        <f t="array" ref="A66">IF(MAX(_xlfn.BYCOL('Prematch Backend 3A'!66:66, _xlfn.LAMBDA(_xlpm.ARRAY,IF(_xlpm.ARRAY="teleOp", COLUMN(_xlpm.ARRAY), 0))))=0,"",MAX(_xlfn.BYCOL('Prematch Backend 3A'!66:66, _xlfn.LAMBDA(_xlpm.ARRAY,IF(_xlpm.ARRAY="teleOp", COLUMN(_xlpm.ARRAY), 0)))))</f>
        <v/>
      </c>
      <c r="B66" t="str" cm="1">
        <f t="array" ref="B66">IF(A66="","",_xlfn.CHOOSECOLS('Prematch Backend 2A'!66:66,_xlfn.MAKEARRAY(1,A66-2,_xlfn.LAMBDA(_xlpm.r,_xlpm.c,_xlpm.c))))</f>
        <v/>
      </c>
    </row>
    <row r="67" spans="1:2" x14ac:dyDescent="0.2">
      <c r="A67" t="str" cm="1">
        <f t="array" ref="A67">IF(MAX(_xlfn.BYCOL('Prematch Backend 3A'!67:67, _xlfn.LAMBDA(_xlpm.ARRAY,IF(_xlpm.ARRAY="teleOp", COLUMN(_xlpm.ARRAY), 0))))=0,"",MAX(_xlfn.BYCOL('Prematch Backend 3A'!67:67, _xlfn.LAMBDA(_xlpm.ARRAY,IF(_xlpm.ARRAY="teleOp", COLUMN(_xlpm.ARRAY), 0)))))</f>
        <v/>
      </c>
      <c r="B67" t="str" cm="1">
        <f t="array" ref="B67">IF(A67="","",_xlfn.CHOOSECOLS('Prematch Backend 2A'!67:67,_xlfn.MAKEARRAY(1,A67-2,_xlfn.LAMBDA(_xlpm.r,_xlpm.c,_xlpm.c))))</f>
        <v/>
      </c>
    </row>
    <row r="68" spans="1:2" x14ac:dyDescent="0.2">
      <c r="A68" t="str" cm="1">
        <f t="array" ref="A68">IF(MAX(_xlfn.BYCOL('Prematch Backend 3A'!68:68, _xlfn.LAMBDA(_xlpm.ARRAY,IF(_xlpm.ARRAY="teleOp", COLUMN(_xlpm.ARRAY), 0))))=0,"",MAX(_xlfn.BYCOL('Prematch Backend 3A'!68:68, _xlfn.LAMBDA(_xlpm.ARRAY,IF(_xlpm.ARRAY="teleOp", COLUMN(_xlpm.ARRAY), 0)))))</f>
        <v/>
      </c>
      <c r="B68" t="str" cm="1">
        <f t="array" ref="B68">IF(A68="","",_xlfn.CHOOSECOLS('Prematch Backend 2A'!68:68,_xlfn.MAKEARRAY(1,A68-2,_xlfn.LAMBDA(_xlpm.r,_xlpm.c,_xlpm.c))))</f>
        <v/>
      </c>
    </row>
    <row r="69" spans="1:2" x14ac:dyDescent="0.2">
      <c r="A69" t="str" cm="1">
        <f t="array" ref="A69">IF(MAX(_xlfn.BYCOL('Prematch Backend 3A'!69:69, _xlfn.LAMBDA(_xlpm.ARRAY,IF(_xlpm.ARRAY="teleOp", COLUMN(_xlpm.ARRAY), 0))))=0,"",MAX(_xlfn.BYCOL('Prematch Backend 3A'!69:69, _xlfn.LAMBDA(_xlpm.ARRAY,IF(_xlpm.ARRAY="teleOp", COLUMN(_xlpm.ARRAY), 0)))))</f>
        <v/>
      </c>
      <c r="B69" t="str" cm="1">
        <f t="array" ref="B69">IF(A69="","",_xlfn.CHOOSECOLS('Prematch Backend 2A'!69:69,_xlfn.MAKEARRAY(1,A69-2,_xlfn.LAMBDA(_xlpm.r,_xlpm.c,_xlpm.c))))</f>
        <v/>
      </c>
    </row>
    <row r="70" spans="1:2" x14ac:dyDescent="0.2">
      <c r="A70" t="str" cm="1">
        <f t="array" ref="A70">IF(MAX(_xlfn.BYCOL('Prematch Backend 3A'!70:70, _xlfn.LAMBDA(_xlpm.ARRAY,IF(_xlpm.ARRAY="teleOp", COLUMN(_xlpm.ARRAY), 0))))=0,"",MAX(_xlfn.BYCOL('Prematch Backend 3A'!70:70, _xlfn.LAMBDA(_xlpm.ARRAY,IF(_xlpm.ARRAY="teleOp", COLUMN(_xlpm.ARRAY), 0)))))</f>
        <v/>
      </c>
      <c r="B70" t="str" cm="1">
        <f t="array" ref="B70">IF(A70="","",_xlfn.CHOOSECOLS('Prematch Backend 2A'!70:70,_xlfn.MAKEARRAY(1,A70-2,_xlfn.LAMBDA(_xlpm.r,_xlpm.c,_xlpm.c))))</f>
        <v/>
      </c>
    </row>
    <row r="71" spans="1:2" x14ac:dyDescent="0.2">
      <c r="A71" t="str" cm="1">
        <f t="array" ref="A71">IF(MAX(_xlfn.BYCOL('Prematch Backend 3A'!71:71, _xlfn.LAMBDA(_xlpm.ARRAY,IF(_xlpm.ARRAY="teleOp", COLUMN(_xlpm.ARRAY), 0))))=0,"",MAX(_xlfn.BYCOL('Prematch Backend 3A'!71:71, _xlfn.LAMBDA(_xlpm.ARRAY,IF(_xlpm.ARRAY="teleOp", COLUMN(_xlpm.ARRAY), 0)))))</f>
        <v/>
      </c>
      <c r="B71" t="str" cm="1">
        <f t="array" ref="B71">IF(A71="","",_xlfn.CHOOSECOLS('Prematch Backend 2A'!71:71,_xlfn.MAKEARRAY(1,A71-2,_xlfn.LAMBDA(_xlpm.r,_xlpm.c,_xlpm.c))))</f>
        <v/>
      </c>
    </row>
    <row r="72" spans="1:2" x14ac:dyDescent="0.2">
      <c r="A72" t="str" cm="1">
        <f t="array" ref="A72">IF(MAX(_xlfn.BYCOL('Prematch Backend 3A'!72:72, _xlfn.LAMBDA(_xlpm.ARRAY,IF(_xlpm.ARRAY="teleOp", COLUMN(_xlpm.ARRAY), 0))))=0,"",MAX(_xlfn.BYCOL('Prematch Backend 3A'!72:72, _xlfn.LAMBDA(_xlpm.ARRAY,IF(_xlpm.ARRAY="teleOp", COLUMN(_xlpm.ARRAY), 0)))))</f>
        <v/>
      </c>
      <c r="B72" t="str" cm="1">
        <f t="array" ref="B72">IF(A72="","",_xlfn.CHOOSECOLS('Prematch Backend 2A'!72:72,_xlfn.MAKEARRAY(1,A72-2,_xlfn.LAMBDA(_xlpm.r,_xlpm.c,_xlpm.c))))</f>
        <v/>
      </c>
    </row>
    <row r="73" spans="1:2" x14ac:dyDescent="0.2">
      <c r="A73" t="str" cm="1">
        <f t="array" ref="A73">IF(MAX(_xlfn.BYCOL('Prematch Backend 3A'!73:73, _xlfn.LAMBDA(_xlpm.ARRAY,IF(_xlpm.ARRAY="teleOp", COLUMN(_xlpm.ARRAY), 0))))=0,"",MAX(_xlfn.BYCOL('Prematch Backend 3A'!73:73, _xlfn.LAMBDA(_xlpm.ARRAY,IF(_xlpm.ARRAY="teleOp", COLUMN(_xlpm.ARRAY), 0)))))</f>
        <v/>
      </c>
      <c r="B73" t="str" cm="1">
        <f t="array" ref="B73">IF(A73="","",_xlfn.CHOOSECOLS('Prematch Backend 2A'!73:73,_xlfn.MAKEARRAY(1,A73-2,_xlfn.LAMBDA(_xlpm.r,_xlpm.c,_xlpm.c))))</f>
        <v/>
      </c>
    </row>
    <row r="74" spans="1:2" x14ac:dyDescent="0.2">
      <c r="A74" t="str" cm="1">
        <f t="array" ref="A74">IF(MAX(_xlfn.BYCOL('Prematch Backend 3A'!74:74, _xlfn.LAMBDA(_xlpm.ARRAY,IF(_xlpm.ARRAY="teleOp", COLUMN(_xlpm.ARRAY), 0))))=0,"",MAX(_xlfn.BYCOL('Prematch Backend 3A'!74:74, _xlfn.LAMBDA(_xlpm.ARRAY,IF(_xlpm.ARRAY="teleOp", COLUMN(_xlpm.ARRAY), 0)))))</f>
        <v/>
      </c>
      <c r="B74" t="str" cm="1">
        <f t="array" ref="B74">IF(A74="","",_xlfn.CHOOSECOLS('Prematch Backend 2A'!74:74,_xlfn.MAKEARRAY(1,A74-2,_xlfn.LAMBDA(_xlpm.r,_xlpm.c,_xlpm.c))))</f>
        <v/>
      </c>
    </row>
    <row r="75" spans="1:2" x14ac:dyDescent="0.2">
      <c r="A75" t="str" cm="1">
        <f t="array" ref="A75">IF(MAX(_xlfn.BYCOL('Prematch Backend 3A'!75:75, _xlfn.LAMBDA(_xlpm.ARRAY,IF(_xlpm.ARRAY="teleOp", COLUMN(_xlpm.ARRAY), 0))))=0,"",MAX(_xlfn.BYCOL('Prematch Backend 3A'!75:75, _xlfn.LAMBDA(_xlpm.ARRAY,IF(_xlpm.ARRAY="teleOp", COLUMN(_xlpm.ARRAY), 0)))))</f>
        <v/>
      </c>
      <c r="B75" t="str" cm="1">
        <f t="array" ref="B75">IF(A75="","",_xlfn.CHOOSECOLS('Prematch Backend 2A'!75:75,_xlfn.MAKEARRAY(1,A75-2,_xlfn.LAMBDA(_xlpm.r,_xlpm.c,_xlpm.c))))</f>
        <v/>
      </c>
    </row>
    <row r="76" spans="1:2" x14ac:dyDescent="0.2">
      <c r="A76" t="str" cm="1">
        <f t="array" ref="A76">IF(MAX(_xlfn.BYCOL('Prematch Backend 3A'!76:76, _xlfn.LAMBDA(_xlpm.ARRAY,IF(_xlpm.ARRAY="teleOp", COLUMN(_xlpm.ARRAY), 0))))=0,"",MAX(_xlfn.BYCOL('Prematch Backend 3A'!76:76, _xlfn.LAMBDA(_xlpm.ARRAY,IF(_xlpm.ARRAY="teleOp", COLUMN(_xlpm.ARRAY), 0)))))</f>
        <v/>
      </c>
      <c r="B76" t="str" cm="1">
        <f t="array" ref="B76">IF(A76="","",_xlfn.CHOOSECOLS('Prematch Backend 2A'!76:76,_xlfn.MAKEARRAY(1,A76-2,_xlfn.LAMBDA(_xlpm.r,_xlpm.c,_xlpm.c))))</f>
        <v/>
      </c>
    </row>
    <row r="77" spans="1:2" x14ac:dyDescent="0.2">
      <c r="A77" t="str" cm="1">
        <f t="array" ref="A77">IF(MAX(_xlfn.BYCOL('Prematch Backend 3A'!77:77, _xlfn.LAMBDA(_xlpm.ARRAY,IF(_xlpm.ARRAY="teleOp", COLUMN(_xlpm.ARRAY), 0))))=0,"",MAX(_xlfn.BYCOL('Prematch Backend 3A'!77:77, _xlfn.LAMBDA(_xlpm.ARRAY,IF(_xlpm.ARRAY="teleOp", COLUMN(_xlpm.ARRAY), 0)))))</f>
        <v/>
      </c>
      <c r="B77" t="str" cm="1">
        <f t="array" ref="B77">IF(A77="","",_xlfn.CHOOSECOLS('Prematch Backend 2A'!77:77,_xlfn.MAKEARRAY(1,A77-2,_xlfn.LAMBDA(_xlpm.r,_xlpm.c,_xlpm.c))))</f>
        <v/>
      </c>
    </row>
    <row r="78" spans="1:2" x14ac:dyDescent="0.2">
      <c r="A78" t="str" cm="1">
        <f t="array" ref="A78">IF(MAX(_xlfn.BYCOL('Prematch Backend 3A'!78:78, _xlfn.LAMBDA(_xlpm.ARRAY,IF(_xlpm.ARRAY="teleOp", COLUMN(_xlpm.ARRAY), 0))))=0,"",MAX(_xlfn.BYCOL('Prematch Backend 3A'!78:78, _xlfn.LAMBDA(_xlpm.ARRAY,IF(_xlpm.ARRAY="teleOp", COLUMN(_xlpm.ARRAY), 0)))))</f>
        <v/>
      </c>
      <c r="B78" t="str" cm="1">
        <f t="array" ref="B78">IF(A78="","",_xlfn.CHOOSECOLS('Prematch Backend 2A'!78:78,_xlfn.MAKEARRAY(1,A78-2,_xlfn.LAMBDA(_xlpm.r,_xlpm.c,_xlpm.c))))</f>
        <v/>
      </c>
    </row>
    <row r="79" spans="1:2" x14ac:dyDescent="0.2">
      <c r="A79" t="str" cm="1">
        <f t="array" ref="A79">IF(MAX(_xlfn.BYCOL('Prematch Backend 3A'!79:79, _xlfn.LAMBDA(_xlpm.ARRAY,IF(_xlpm.ARRAY="teleOp", COLUMN(_xlpm.ARRAY), 0))))=0,"",MAX(_xlfn.BYCOL('Prematch Backend 3A'!79:79, _xlfn.LAMBDA(_xlpm.ARRAY,IF(_xlpm.ARRAY="teleOp", COLUMN(_xlpm.ARRAY), 0)))))</f>
        <v/>
      </c>
      <c r="B79" t="str" cm="1">
        <f t="array" ref="B79">IF(A79="","",_xlfn.CHOOSECOLS('Prematch Backend 2A'!79:79,_xlfn.MAKEARRAY(1,A79-2,_xlfn.LAMBDA(_xlpm.r,_xlpm.c,_xlpm.c))))</f>
        <v/>
      </c>
    </row>
    <row r="80" spans="1:2" x14ac:dyDescent="0.2">
      <c r="A80" t="str" cm="1">
        <f t="array" ref="A80">IF(MAX(_xlfn.BYCOL('Prematch Backend 3A'!80:80, _xlfn.LAMBDA(_xlpm.ARRAY,IF(_xlpm.ARRAY="teleOp", COLUMN(_xlpm.ARRAY), 0))))=0,"",MAX(_xlfn.BYCOL('Prematch Backend 3A'!80:80, _xlfn.LAMBDA(_xlpm.ARRAY,IF(_xlpm.ARRAY="teleOp", COLUMN(_xlpm.ARRAY), 0)))))</f>
        <v/>
      </c>
      <c r="B80" t="str" cm="1">
        <f t="array" ref="B80">IF(A80="","",_xlfn.CHOOSECOLS('Prematch Backend 2A'!80:80,_xlfn.MAKEARRAY(1,A80-2,_xlfn.LAMBDA(_xlpm.r,_xlpm.c,_xlpm.c))))</f>
        <v/>
      </c>
    </row>
    <row r="81" spans="1:2" x14ac:dyDescent="0.2">
      <c r="A81" t="str" cm="1">
        <f t="array" ref="A81">IF(MAX(_xlfn.BYCOL('Prematch Backend 3A'!81:81, _xlfn.LAMBDA(_xlpm.ARRAY,IF(_xlpm.ARRAY="teleOp", COLUMN(_xlpm.ARRAY), 0))))=0,"",MAX(_xlfn.BYCOL('Prematch Backend 3A'!81:81, _xlfn.LAMBDA(_xlpm.ARRAY,IF(_xlpm.ARRAY="teleOp", COLUMN(_xlpm.ARRAY), 0)))))</f>
        <v/>
      </c>
      <c r="B81" t="str" cm="1">
        <f t="array" ref="B81">IF(A81="","",_xlfn.CHOOSECOLS('Prematch Backend 2A'!81:81,_xlfn.MAKEARRAY(1,A81-2,_xlfn.LAMBDA(_xlpm.r,_xlpm.c,_xlpm.c))))</f>
        <v/>
      </c>
    </row>
    <row r="82" spans="1:2" x14ac:dyDescent="0.2">
      <c r="A82" t="str" cm="1">
        <f t="array" ref="A82">IF(MAX(_xlfn.BYCOL('Prematch Backend 3A'!82:82, _xlfn.LAMBDA(_xlpm.ARRAY,IF(_xlpm.ARRAY="teleOp", COLUMN(_xlpm.ARRAY), 0))))=0,"",MAX(_xlfn.BYCOL('Prematch Backend 3A'!82:82, _xlfn.LAMBDA(_xlpm.ARRAY,IF(_xlpm.ARRAY="teleOp", COLUMN(_xlpm.ARRAY), 0)))))</f>
        <v/>
      </c>
      <c r="B82" t="str" cm="1">
        <f t="array" ref="B82">IF(A82="","",_xlfn.CHOOSECOLS('Prematch Backend 2A'!82:82,_xlfn.MAKEARRAY(1,A82-2,_xlfn.LAMBDA(_xlpm.r,_xlpm.c,_xlpm.c))))</f>
        <v/>
      </c>
    </row>
    <row r="83" spans="1:2" x14ac:dyDescent="0.2">
      <c r="A83" t="str" cm="1">
        <f t="array" ref="A83">IF(MAX(_xlfn.BYCOL('Prematch Backend 3A'!83:83, _xlfn.LAMBDA(_xlpm.ARRAY,IF(_xlpm.ARRAY="teleOp", COLUMN(_xlpm.ARRAY), 0))))=0,"",MAX(_xlfn.BYCOL('Prematch Backend 3A'!83:83, _xlfn.LAMBDA(_xlpm.ARRAY,IF(_xlpm.ARRAY="teleOp", COLUMN(_xlpm.ARRAY), 0)))))</f>
        <v/>
      </c>
      <c r="B83" t="str" cm="1">
        <f t="array" ref="B83">IF(A83="","",_xlfn.CHOOSECOLS('Prematch Backend 2A'!83:83,_xlfn.MAKEARRAY(1,A83-2,_xlfn.LAMBDA(_xlpm.r,_xlpm.c,_xlpm.c))))</f>
        <v/>
      </c>
    </row>
    <row r="84" spans="1:2" x14ac:dyDescent="0.2">
      <c r="A84" t="str" cm="1">
        <f t="array" ref="A84">IF(MAX(_xlfn.BYCOL('Prematch Backend 3A'!84:84, _xlfn.LAMBDA(_xlpm.ARRAY,IF(_xlpm.ARRAY="teleOp", COLUMN(_xlpm.ARRAY), 0))))=0,"",MAX(_xlfn.BYCOL('Prematch Backend 3A'!84:84, _xlfn.LAMBDA(_xlpm.ARRAY,IF(_xlpm.ARRAY="teleOp", COLUMN(_xlpm.ARRAY), 0)))))</f>
        <v/>
      </c>
      <c r="B84" t="str" cm="1">
        <f t="array" ref="B84">IF(A84="","",_xlfn.CHOOSECOLS('Prematch Backend 2A'!84:84,_xlfn.MAKEARRAY(1,A84-2,_xlfn.LAMBDA(_xlpm.r,_xlpm.c,_xlpm.c))))</f>
        <v/>
      </c>
    </row>
    <row r="85" spans="1:2" x14ac:dyDescent="0.2">
      <c r="A85" t="str" cm="1">
        <f t="array" ref="A85">IF(MAX(_xlfn.BYCOL('Prematch Backend 3A'!85:85, _xlfn.LAMBDA(_xlpm.ARRAY,IF(_xlpm.ARRAY="teleOp", COLUMN(_xlpm.ARRAY), 0))))=0,"",MAX(_xlfn.BYCOL('Prematch Backend 3A'!85:85, _xlfn.LAMBDA(_xlpm.ARRAY,IF(_xlpm.ARRAY="teleOp", COLUMN(_xlpm.ARRAY), 0)))))</f>
        <v/>
      </c>
      <c r="B85" t="str" cm="1">
        <f t="array" ref="B85">IF(A85="","",_xlfn.CHOOSECOLS('Prematch Backend 2A'!85:85,_xlfn.MAKEARRAY(1,A85-2,_xlfn.LAMBDA(_xlpm.r,_xlpm.c,_xlpm.c))))</f>
        <v/>
      </c>
    </row>
    <row r="86" spans="1:2" x14ac:dyDescent="0.2">
      <c r="A86" t="str" cm="1">
        <f t="array" ref="A86">IF(MAX(_xlfn.BYCOL('Prematch Backend 3A'!86:86, _xlfn.LAMBDA(_xlpm.ARRAY,IF(_xlpm.ARRAY="teleOp", COLUMN(_xlpm.ARRAY), 0))))=0,"",MAX(_xlfn.BYCOL('Prematch Backend 3A'!86:86, _xlfn.LAMBDA(_xlpm.ARRAY,IF(_xlpm.ARRAY="teleOp", COLUMN(_xlpm.ARRAY), 0)))))</f>
        <v/>
      </c>
      <c r="B86" t="str" cm="1">
        <f t="array" ref="B86">IF(A86="","",_xlfn.CHOOSECOLS('Prematch Backend 2A'!86:86,_xlfn.MAKEARRAY(1,A86-2,_xlfn.LAMBDA(_xlpm.r,_xlpm.c,_xlpm.c))))</f>
        <v/>
      </c>
    </row>
    <row r="87" spans="1:2" x14ac:dyDescent="0.2">
      <c r="A87" t="str" cm="1">
        <f t="array" ref="A87">IF(MAX(_xlfn.BYCOL('Prematch Backend 3A'!87:87, _xlfn.LAMBDA(_xlpm.ARRAY,IF(_xlpm.ARRAY="teleOp", COLUMN(_xlpm.ARRAY), 0))))=0,"",MAX(_xlfn.BYCOL('Prematch Backend 3A'!87:87, _xlfn.LAMBDA(_xlpm.ARRAY,IF(_xlpm.ARRAY="teleOp", COLUMN(_xlpm.ARRAY), 0)))))</f>
        <v/>
      </c>
      <c r="B87" t="str" cm="1">
        <f t="array" ref="B87">IF(A87="","",_xlfn.CHOOSECOLS('Prematch Backend 2A'!87:87,_xlfn.MAKEARRAY(1,A87-2,_xlfn.LAMBDA(_xlpm.r,_xlpm.c,_xlpm.c))))</f>
        <v/>
      </c>
    </row>
    <row r="88" spans="1:2" x14ac:dyDescent="0.2">
      <c r="A88" t="str" cm="1">
        <f t="array" ref="A88">IF(MAX(_xlfn.BYCOL('Prematch Backend 3A'!88:88, _xlfn.LAMBDA(_xlpm.ARRAY,IF(_xlpm.ARRAY="teleOp", COLUMN(_xlpm.ARRAY), 0))))=0,"",MAX(_xlfn.BYCOL('Prematch Backend 3A'!88:88, _xlfn.LAMBDA(_xlpm.ARRAY,IF(_xlpm.ARRAY="teleOp", COLUMN(_xlpm.ARRAY), 0)))))</f>
        <v/>
      </c>
      <c r="B88" t="str" cm="1">
        <f t="array" ref="B88">IF(A88="","",_xlfn.CHOOSECOLS('Prematch Backend 2A'!88:88,_xlfn.MAKEARRAY(1,A88-2,_xlfn.LAMBDA(_xlpm.r,_xlpm.c,_xlpm.c))))</f>
        <v/>
      </c>
    </row>
    <row r="89" spans="1:2" x14ac:dyDescent="0.2">
      <c r="A89" t="str" cm="1">
        <f t="array" ref="A89">IF(MAX(_xlfn.BYCOL('Prematch Backend 3A'!89:89, _xlfn.LAMBDA(_xlpm.ARRAY,IF(_xlpm.ARRAY="teleOp", COLUMN(_xlpm.ARRAY), 0))))=0,"",MAX(_xlfn.BYCOL('Prematch Backend 3A'!89:89, _xlfn.LAMBDA(_xlpm.ARRAY,IF(_xlpm.ARRAY="teleOp", COLUMN(_xlpm.ARRAY), 0)))))</f>
        <v/>
      </c>
      <c r="B89" t="str" cm="1">
        <f t="array" ref="B89">IF(A89="","",_xlfn.CHOOSECOLS('Prematch Backend 2A'!89:89,_xlfn.MAKEARRAY(1,A89-2,_xlfn.LAMBDA(_xlpm.r,_xlpm.c,_xlpm.c))))</f>
        <v/>
      </c>
    </row>
    <row r="90" spans="1:2" x14ac:dyDescent="0.2">
      <c r="A90" t="str" cm="1">
        <f t="array" ref="A90">IF(MAX(_xlfn.BYCOL('Prematch Backend 3A'!90:90, _xlfn.LAMBDA(_xlpm.ARRAY,IF(_xlpm.ARRAY="teleOp", COLUMN(_xlpm.ARRAY), 0))))=0,"",MAX(_xlfn.BYCOL('Prematch Backend 3A'!90:90, _xlfn.LAMBDA(_xlpm.ARRAY,IF(_xlpm.ARRAY="teleOp", COLUMN(_xlpm.ARRAY), 0)))))</f>
        <v/>
      </c>
      <c r="B90" t="str" cm="1">
        <f t="array" ref="B90">IF(A90="","",_xlfn.CHOOSECOLS('Prematch Backend 2A'!90:90,_xlfn.MAKEARRAY(1,A90-2,_xlfn.LAMBDA(_xlpm.r,_xlpm.c,_xlpm.c))))</f>
        <v/>
      </c>
    </row>
    <row r="91" spans="1:2" x14ac:dyDescent="0.2">
      <c r="A91" t="str" cm="1">
        <f t="array" ref="A91">IF(MAX(_xlfn.BYCOL('Prematch Backend 3A'!91:91, _xlfn.LAMBDA(_xlpm.ARRAY,IF(_xlpm.ARRAY="teleOp", COLUMN(_xlpm.ARRAY), 0))))=0,"",MAX(_xlfn.BYCOL('Prematch Backend 3A'!91:91, _xlfn.LAMBDA(_xlpm.ARRAY,IF(_xlpm.ARRAY="teleOp", COLUMN(_xlpm.ARRAY), 0)))))</f>
        <v/>
      </c>
      <c r="B91" t="str" cm="1">
        <f t="array" ref="B91">IF(A91="","",_xlfn.CHOOSECOLS('Prematch Backend 2A'!91:91,_xlfn.MAKEARRAY(1,A91-2,_xlfn.LAMBDA(_xlpm.r,_xlpm.c,_xlpm.c))))</f>
        <v/>
      </c>
    </row>
    <row r="92" spans="1:2" x14ac:dyDescent="0.2">
      <c r="A92" t="str" cm="1">
        <f t="array" ref="A92">IF(MAX(_xlfn.BYCOL('Prematch Backend 3A'!92:92, _xlfn.LAMBDA(_xlpm.ARRAY,IF(_xlpm.ARRAY="teleOp", COLUMN(_xlpm.ARRAY), 0))))=0,"",MAX(_xlfn.BYCOL('Prematch Backend 3A'!92:92, _xlfn.LAMBDA(_xlpm.ARRAY,IF(_xlpm.ARRAY="teleOp", COLUMN(_xlpm.ARRAY), 0)))))</f>
        <v/>
      </c>
      <c r="B92" t="str" cm="1">
        <f t="array" ref="B92">IF(A92="","",_xlfn.CHOOSECOLS('Prematch Backend 2A'!92:92,_xlfn.MAKEARRAY(1,A92-2,_xlfn.LAMBDA(_xlpm.r,_xlpm.c,_xlpm.c))))</f>
        <v/>
      </c>
    </row>
    <row r="93" spans="1:2" x14ac:dyDescent="0.2">
      <c r="A93" t="str" cm="1">
        <f t="array" ref="A93">IF(MAX(_xlfn.BYCOL('Prematch Backend 3A'!93:93, _xlfn.LAMBDA(_xlpm.ARRAY,IF(_xlpm.ARRAY="teleOp", COLUMN(_xlpm.ARRAY), 0))))=0,"",MAX(_xlfn.BYCOL('Prematch Backend 3A'!93:93, _xlfn.LAMBDA(_xlpm.ARRAY,IF(_xlpm.ARRAY="teleOp", COLUMN(_xlpm.ARRAY), 0)))))</f>
        <v/>
      </c>
      <c r="B93" t="str" cm="1">
        <f t="array" ref="B93">IF(A93="","",_xlfn.CHOOSECOLS('Prematch Backend 2A'!93:93,_xlfn.MAKEARRAY(1,A93-2,_xlfn.LAMBDA(_xlpm.r,_xlpm.c,_xlpm.c))))</f>
        <v/>
      </c>
    </row>
    <row r="94" spans="1:2" x14ac:dyDescent="0.2">
      <c r="A94" t="str" cm="1">
        <f t="array" ref="A94">IF(MAX(_xlfn.BYCOL('Prematch Backend 3A'!94:94, _xlfn.LAMBDA(_xlpm.ARRAY,IF(_xlpm.ARRAY="teleOp", COLUMN(_xlpm.ARRAY), 0))))=0,"",MAX(_xlfn.BYCOL('Prematch Backend 3A'!94:94, _xlfn.LAMBDA(_xlpm.ARRAY,IF(_xlpm.ARRAY="teleOp", COLUMN(_xlpm.ARRAY), 0)))))</f>
        <v/>
      </c>
      <c r="B94" t="str" cm="1">
        <f t="array" ref="B94">IF(A94="","",_xlfn.CHOOSECOLS('Prematch Backend 2A'!94:94,_xlfn.MAKEARRAY(1,A94-2,_xlfn.LAMBDA(_xlpm.r,_xlpm.c,_xlpm.c))))</f>
        <v/>
      </c>
    </row>
    <row r="95" spans="1:2" x14ac:dyDescent="0.2">
      <c r="A95" t="str" cm="1">
        <f t="array" ref="A95">IF(MAX(_xlfn.BYCOL('Prematch Backend 3A'!95:95, _xlfn.LAMBDA(_xlpm.ARRAY,IF(_xlpm.ARRAY="teleOp", COLUMN(_xlpm.ARRAY), 0))))=0,"",MAX(_xlfn.BYCOL('Prematch Backend 3A'!95:95, _xlfn.LAMBDA(_xlpm.ARRAY,IF(_xlpm.ARRAY="teleOp", COLUMN(_xlpm.ARRAY), 0)))))</f>
        <v/>
      </c>
      <c r="B95" t="str" cm="1">
        <f t="array" ref="B95">IF(A95="","",_xlfn.CHOOSECOLS('Prematch Backend 2A'!95:95,_xlfn.MAKEARRAY(1,A95-2,_xlfn.LAMBDA(_xlpm.r,_xlpm.c,_xlpm.c))))</f>
        <v/>
      </c>
    </row>
    <row r="96" spans="1:2" x14ac:dyDescent="0.2">
      <c r="A96" t="str" cm="1">
        <f t="array" ref="A96">IF(MAX(_xlfn.BYCOL('Prematch Backend 3A'!96:96, _xlfn.LAMBDA(_xlpm.ARRAY,IF(_xlpm.ARRAY="teleOp", COLUMN(_xlpm.ARRAY), 0))))=0,"",MAX(_xlfn.BYCOL('Prematch Backend 3A'!96:96, _xlfn.LAMBDA(_xlpm.ARRAY,IF(_xlpm.ARRAY="teleOp", COLUMN(_xlpm.ARRAY), 0)))))</f>
        <v/>
      </c>
      <c r="B96" t="str" cm="1">
        <f t="array" ref="B96">IF(A96="","",_xlfn.CHOOSECOLS('Prematch Backend 2A'!96:96,_xlfn.MAKEARRAY(1,A96-2,_xlfn.LAMBDA(_xlpm.r,_xlpm.c,_xlpm.c))))</f>
        <v/>
      </c>
    </row>
    <row r="97" spans="1:2" x14ac:dyDescent="0.2">
      <c r="A97" t="str" cm="1">
        <f t="array" ref="A97">IF(MAX(_xlfn.BYCOL('Prematch Backend 3A'!97:97, _xlfn.LAMBDA(_xlpm.ARRAY,IF(_xlpm.ARRAY="teleOp", COLUMN(_xlpm.ARRAY), 0))))=0,"",MAX(_xlfn.BYCOL('Prematch Backend 3A'!97:97, _xlfn.LAMBDA(_xlpm.ARRAY,IF(_xlpm.ARRAY="teleOp", COLUMN(_xlpm.ARRAY), 0)))))</f>
        <v/>
      </c>
      <c r="B97" t="str" cm="1">
        <f t="array" ref="B97">IF(A97="","",_xlfn.CHOOSECOLS('Prematch Backend 2A'!97:97,_xlfn.MAKEARRAY(1,A97-2,_xlfn.LAMBDA(_xlpm.r,_xlpm.c,_xlpm.c))))</f>
        <v/>
      </c>
    </row>
    <row r="98" spans="1:2" x14ac:dyDescent="0.2">
      <c r="A98" t="str" cm="1">
        <f t="array" ref="A98">IF(MAX(_xlfn.BYCOL('Prematch Backend 3A'!98:98, _xlfn.LAMBDA(_xlpm.ARRAY,IF(_xlpm.ARRAY="teleOp", COLUMN(_xlpm.ARRAY), 0))))=0,"",MAX(_xlfn.BYCOL('Prematch Backend 3A'!98:98, _xlfn.LAMBDA(_xlpm.ARRAY,IF(_xlpm.ARRAY="teleOp", COLUMN(_xlpm.ARRAY), 0)))))</f>
        <v/>
      </c>
      <c r="B98" t="str" cm="1">
        <f t="array" ref="B98">IF(A98="","",_xlfn.CHOOSECOLS('Prematch Backend 2A'!98:98,_xlfn.MAKEARRAY(1,A98-2,_xlfn.LAMBDA(_xlpm.r,_xlpm.c,_xlpm.c))))</f>
        <v/>
      </c>
    </row>
    <row r="99" spans="1:2" x14ac:dyDescent="0.2">
      <c r="A99" t="str" cm="1">
        <f t="array" ref="A99">IF(MAX(_xlfn.BYCOL('Prematch Backend 3A'!99:99, _xlfn.LAMBDA(_xlpm.ARRAY,IF(_xlpm.ARRAY="teleOp", COLUMN(_xlpm.ARRAY), 0))))=0,"",MAX(_xlfn.BYCOL('Prematch Backend 3A'!99:99, _xlfn.LAMBDA(_xlpm.ARRAY,IF(_xlpm.ARRAY="teleOp", COLUMN(_xlpm.ARRAY), 0)))))</f>
        <v/>
      </c>
      <c r="B99" t="str" cm="1">
        <f t="array" ref="B99">IF(A99="","",_xlfn.CHOOSECOLS('Prematch Backend 2A'!99:99,_xlfn.MAKEARRAY(1,A99-2,_xlfn.LAMBDA(_xlpm.r,_xlpm.c,_xlpm.c))))</f>
        <v/>
      </c>
    </row>
    <row r="100" spans="1:2" x14ac:dyDescent="0.2">
      <c r="A100" t="str" cm="1">
        <f t="array" ref="A100">IF(MAX(_xlfn.BYCOL('Prematch Backend 3A'!100:100, _xlfn.LAMBDA(_xlpm.ARRAY,IF(_xlpm.ARRAY="teleOp", COLUMN(_xlpm.ARRAY), 0))))=0,"",MAX(_xlfn.BYCOL('Prematch Backend 3A'!100:100, _xlfn.LAMBDA(_xlpm.ARRAY,IF(_xlpm.ARRAY="teleOp", COLUMN(_xlpm.ARRAY), 0)))))</f>
        <v/>
      </c>
      <c r="B100" t="str" cm="1">
        <f t="array" ref="B100">IF(A100="","",_xlfn.CHOOSECOLS('Prematch Backend 2A'!100:100,_xlfn.MAKEARRAY(1,A100-2,_xlfn.LAMBDA(_xlpm.r,_xlpm.c,_xlpm.c))))</f>
        <v/>
      </c>
    </row>
    <row r="101" spans="1:2" x14ac:dyDescent="0.2">
      <c r="A101" t="str" cm="1">
        <f t="array" ref="A101">IF(MAX(_xlfn.BYCOL('Prematch Backend 3A'!101:101, _xlfn.LAMBDA(_xlpm.ARRAY,IF(_xlpm.ARRAY="teleOp", COLUMN(_xlpm.ARRAY), 0))))=0,"",MAX(_xlfn.BYCOL('Prematch Backend 3A'!101:101, _xlfn.LAMBDA(_xlpm.ARRAY,IF(_xlpm.ARRAY="teleOp", COLUMN(_xlpm.ARRAY), 0)))))</f>
        <v/>
      </c>
      <c r="B101" t="str" cm="1">
        <f t="array" ref="B101">IF(A101="","",_xlfn.CHOOSECOLS('Prematch Backend 2A'!101:101,_xlfn.MAKEARRAY(1,A101-2,_xlfn.LAMBDA(_xlpm.r,_xlpm.c,_xlpm.c))))</f>
        <v/>
      </c>
    </row>
    <row r="102" spans="1:2" x14ac:dyDescent="0.2">
      <c r="A102" t="str" cm="1">
        <f t="array" ref="A102">IF(MAX(_xlfn.BYCOL('Prematch Backend 3A'!102:102, _xlfn.LAMBDA(_xlpm.ARRAY,IF(_xlpm.ARRAY="teleOp", COLUMN(_xlpm.ARRAY), 0))))=0,"",MAX(_xlfn.BYCOL('Prematch Backend 3A'!102:102, _xlfn.LAMBDA(_xlpm.ARRAY,IF(_xlpm.ARRAY="teleOp", COLUMN(_xlpm.ARRAY), 0)))))</f>
        <v/>
      </c>
      <c r="B102" t="str" cm="1">
        <f t="array" ref="B102">IF(A102="","",_xlfn.CHOOSECOLS('Prematch Backend 2A'!102:102,_xlfn.MAKEARRAY(1,A102-2,_xlfn.LAMBDA(_xlpm.r,_xlpm.c,_xlpm.c))))</f>
        <v/>
      </c>
    </row>
    <row r="103" spans="1:2" x14ac:dyDescent="0.2">
      <c r="A103" t="str" cm="1">
        <f t="array" ref="A103">IF(MAX(_xlfn.BYCOL('Prematch Backend 3A'!103:103, _xlfn.LAMBDA(_xlpm.ARRAY,IF(_xlpm.ARRAY="teleOp", COLUMN(_xlpm.ARRAY), 0))))=0,"",MAX(_xlfn.BYCOL('Prematch Backend 3A'!103:103, _xlfn.LAMBDA(_xlpm.ARRAY,IF(_xlpm.ARRAY="teleOp", COLUMN(_xlpm.ARRAY), 0)))))</f>
        <v/>
      </c>
      <c r="B103" t="str" cm="1">
        <f t="array" ref="B103">IF(A103="","",_xlfn.CHOOSECOLS('Prematch Backend 2A'!103:103,_xlfn.MAKEARRAY(1,A103-2,_xlfn.LAMBDA(_xlpm.r,_xlpm.c,_xlpm.c))))</f>
        <v/>
      </c>
    </row>
    <row r="104" spans="1:2" x14ac:dyDescent="0.2">
      <c r="A104" t="str" cm="1">
        <f t="array" ref="A104">IF(MAX(_xlfn.BYCOL('Prematch Backend 3A'!104:104, _xlfn.LAMBDA(_xlpm.ARRAY,IF(_xlpm.ARRAY="teleOp", COLUMN(_xlpm.ARRAY), 0))))=0,"",MAX(_xlfn.BYCOL('Prematch Backend 3A'!104:104, _xlfn.LAMBDA(_xlpm.ARRAY,IF(_xlpm.ARRAY="teleOp", COLUMN(_xlpm.ARRAY), 0)))))</f>
        <v/>
      </c>
      <c r="B104" t="str" cm="1">
        <f t="array" ref="B104">IF(A104="","",_xlfn.CHOOSECOLS('Prematch Backend 2A'!104:104,_xlfn.MAKEARRAY(1,A104-2,_xlfn.LAMBDA(_xlpm.r,_xlpm.c,_xlpm.c))))</f>
        <v/>
      </c>
    </row>
    <row r="105" spans="1:2" x14ac:dyDescent="0.2">
      <c r="A105" t="str" cm="1">
        <f t="array" ref="A105">IF(MAX(_xlfn.BYCOL('Prematch Backend 3A'!105:105, _xlfn.LAMBDA(_xlpm.ARRAY,IF(_xlpm.ARRAY="teleOp", COLUMN(_xlpm.ARRAY), 0))))=0,"",MAX(_xlfn.BYCOL('Prematch Backend 3A'!105:105, _xlfn.LAMBDA(_xlpm.ARRAY,IF(_xlpm.ARRAY="teleOp", COLUMN(_xlpm.ARRAY), 0)))))</f>
        <v/>
      </c>
      <c r="B105" t="str" cm="1">
        <f t="array" ref="B105">IF(A105="","",_xlfn.CHOOSECOLS('Prematch Backend 2A'!105:105,_xlfn.MAKEARRAY(1,A105-2,_xlfn.LAMBDA(_xlpm.r,_xlpm.c,_xlpm.c))))</f>
        <v/>
      </c>
    </row>
    <row r="106" spans="1:2" x14ac:dyDescent="0.2">
      <c r="A106" t="str" cm="1">
        <f t="array" ref="A106">IF(MAX(_xlfn.BYCOL('Prematch Backend 3A'!106:106, _xlfn.LAMBDA(_xlpm.ARRAY,IF(_xlpm.ARRAY="teleOp", COLUMN(_xlpm.ARRAY), 0))))=0,"",MAX(_xlfn.BYCOL('Prematch Backend 3A'!106:106, _xlfn.LAMBDA(_xlpm.ARRAY,IF(_xlpm.ARRAY="teleOp", COLUMN(_xlpm.ARRAY), 0)))))</f>
        <v/>
      </c>
      <c r="B106" t="str" cm="1">
        <f t="array" ref="B106">IF(A106="","",_xlfn.CHOOSECOLS('Prematch Backend 2A'!106:106,_xlfn.MAKEARRAY(1,A106-2,_xlfn.LAMBDA(_xlpm.r,_xlpm.c,_xlpm.c))))</f>
        <v/>
      </c>
    </row>
    <row r="107" spans="1:2" x14ac:dyDescent="0.2">
      <c r="A107" t="str" cm="1">
        <f t="array" ref="A107">IF(MAX(_xlfn.BYCOL('Prematch Backend 3A'!107:107, _xlfn.LAMBDA(_xlpm.ARRAY,IF(_xlpm.ARRAY="teleOp", COLUMN(_xlpm.ARRAY), 0))))=0,"",MAX(_xlfn.BYCOL('Prematch Backend 3A'!107:107, _xlfn.LAMBDA(_xlpm.ARRAY,IF(_xlpm.ARRAY="teleOp", COLUMN(_xlpm.ARRAY), 0)))))</f>
        <v/>
      </c>
      <c r="B107" t="str" cm="1">
        <f t="array" ref="B107">IF(A107="","",_xlfn.CHOOSECOLS('Prematch Backend 2A'!107:107,_xlfn.MAKEARRAY(1,A107-2,_xlfn.LAMBDA(_xlpm.r,_xlpm.c,_xlpm.c))))</f>
        <v/>
      </c>
    </row>
    <row r="108" spans="1:2" x14ac:dyDescent="0.2">
      <c r="A108" t="str" cm="1">
        <f t="array" ref="A108">IF(MAX(_xlfn.BYCOL('Prematch Backend 3A'!108:108, _xlfn.LAMBDA(_xlpm.ARRAY,IF(_xlpm.ARRAY="teleOp", COLUMN(_xlpm.ARRAY), 0))))=0,"",MAX(_xlfn.BYCOL('Prematch Backend 3A'!108:108, _xlfn.LAMBDA(_xlpm.ARRAY,IF(_xlpm.ARRAY="teleOp", COLUMN(_xlpm.ARRAY), 0)))))</f>
        <v/>
      </c>
      <c r="B108" t="str" cm="1">
        <f t="array" ref="B108">IF(A108="","",_xlfn.CHOOSECOLS('Prematch Backend 2A'!108:108,_xlfn.MAKEARRAY(1,A108-2,_xlfn.LAMBDA(_xlpm.r,_xlpm.c,_xlpm.c))))</f>
        <v/>
      </c>
    </row>
    <row r="109" spans="1:2" x14ac:dyDescent="0.2">
      <c r="A109" t="str" cm="1">
        <f t="array" ref="A109">IF(MAX(_xlfn.BYCOL('Prematch Backend 3A'!109:109, _xlfn.LAMBDA(_xlpm.ARRAY,IF(_xlpm.ARRAY="teleOp", COLUMN(_xlpm.ARRAY), 0))))=0,"",MAX(_xlfn.BYCOL('Prematch Backend 3A'!109:109, _xlfn.LAMBDA(_xlpm.ARRAY,IF(_xlpm.ARRAY="teleOp", COLUMN(_xlpm.ARRAY), 0)))))</f>
        <v/>
      </c>
      <c r="B109" t="str" cm="1">
        <f t="array" ref="B109">IF(A109="","",_xlfn.CHOOSECOLS('Prematch Backend 2A'!109:109,_xlfn.MAKEARRAY(1,A109-2,_xlfn.LAMBDA(_xlpm.r,_xlpm.c,_xlpm.c))))</f>
        <v/>
      </c>
    </row>
    <row r="110" spans="1:2" x14ac:dyDescent="0.2">
      <c r="A110" t="str" cm="1">
        <f t="array" ref="A110">IF(MAX(_xlfn.BYCOL('Prematch Backend 3A'!110:110, _xlfn.LAMBDA(_xlpm.ARRAY,IF(_xlpm.ARRAY="teleOp", COLUMN(_xlpm.ARRAY), 0))))=0,"",MAX(_xlfn.BYCOL('Prematch Backend 3A'!110:110, _xlfn.LAMBDA(_xlpm.ARRAY,IF(_xlpm.ARRAY="teleOp", COLUMN(_xlpm.ARRAY), 0)))))</f>
        <v/>
      </c>
      <c r="B110" t="str" cm="1">
        <f t="array" ref="B110">IF(A110="","",_xlfn.CHOOSECOLS('Prematch Backend 2A'!110:110,_xlfn.MAKEARRAY(1,A110-2,_xlfn.LAMBDA(_xlpm.r,_xlpm.c,_xlpm.c))))</f>
        <v/>
      </c>
    </row>
    <row r="111" spans="1:2" x14ac:dyDescent="0.2">
      <c r="A111" t="str" cm="1">
        <f t="array" ref="A111">IF(MAX(_xlfn.BYCOL('Prematch Backend 3A'!111:111, _xlfn.LAMBDA(_xlpm.ARRAY,IF(_xlpm.ARRAY="teleOp", COLUMN(_xlpm.ARRAY), 0))))=0,"",MAX(_xlfn.BYCOL('Prematch Backend 3A'!111:111, _xlfn.LAMBDA(_xlpm.ARRAY,IF(_xlpm.ARRAY="teleOp", COLUMN(_xlpm.ARRAY), 0)))))</f>
        <v/>
      </c>
      <c r="B111" t="str" cm="1">
        <f t="array" ref="B111">IF(A111="","",_xlfn.CHOOSECOLS('Prematch Backend 2A'!111:111,_xlfn.MAKEARRAY(1,A111-2,_xlfn.LAMBDA(_xlpm.r,_xlpm.c,_xlpm.c))))</f>
        <v/>
      </c>
    </row>
    <row r="112" spans="1:2" x14ac:dyDescent="0.2">
      <c r="A112" t="str" cm="1">
        <f t="array" ref="A112">IF(MAX(_xlfn.BYCOL('Prematch Backend 3A'!112:112, _xlfn.LAMBDA(_xlpm.ARRAY,IF(_xlpm.ARRAY="teleOp", COLUMN(_xlpm.ARRAY), 0))))=0,"",MAX(_xlfn.BYCOL('Prematch Backend 3A'!112:112, _xlfn.LAMBDA(_xlpm.ARRAY,IF(_xlpm.ARRAY="teleOp", COLUMN(_xlpm.ARRAY), 0)))))</f>
        <v/>
      </c>
      <c r="B112" t="str" cm="1">
        <f t="array" ref="B112">IF(A112="","",_xlfn.CHOOSECOLS('Prematch Backend 2A'!112:112,_xlfn.MAKEARRAY(1,A112-2,_xlfn.LAMBDA(_xlpm.r,_xlpm.c,_xlpm.c))))</f>
        <v/>
      </c>
    </row>
    <row r="113" spans="1:2" x14ac:dyDescent="0.2">
      <c r="A113" t="str" cm="1">
        <f t="array" ref="A113">IF(MAX(_xlfn.BYCOL('Prematch Backend 3A'!113:113, _xlfn.LAMBDA(_xlpm.ARRAY,IF(_xlpm.ARRAY="teleOp", COLUMN(_xlpm.ARRAY), 0))))=0,"",MAX(_xlfn.BYCOL('Prematch Backend 3A'!113:113, _xlfn.LAMBDA(_xlpm.ARRAY,IF(_xlpm.ARRAY="teleOp", COLUMN(_xlpm.ARRAY), 0)))))</f>
        <v/>
      </c>
      <c r="B113" t="str" cm="1">
        <f t="array" ref="B113">IF(A113="","",_xlfn.CHOOSECOLS('Prematch Backend 2A'!113:113,_xlfn.MAKEARRAY(1,A113-2,_xlfn.LAMBDA(_xlpm.r,_xlpm.c,_xlpm.c))))</f>
        <v/>
      </c>
    </row>
    <row r="114" spans="1:2" x14ac:dyDescent="0.2">
      <c r="A114" t="str" cm="1">
        <f t="array" ref="A114">IF(MAX(_xlfn.BYCOL('Prematch Backend 3A'!114:114, _xlfn.LAMBDA(_xlpm.ARRAY,IF(_xlpm.ARRAY="teleOp", COLUMN(_xlpm.ARRAY), 0))))=0,"",MAX(_xlfn.BYCOL('Prematch Backend 3A'!114:114, _xlfn.LAMBDA(_xlpm.ARRAY,IF(_xlpm.ARRAY="teleOp", COLUMN(_xlpm.ARRAY), 0)))))</f>
        <v/>
      </c>
      <c r="B114" t="str" cm="1">
        <f t="array" ref="B114">IF(A114="","",_xlfn.CHOOSECOLS('Prematch Backend 2A'!114:114,_xlfn.MAKEARRAY(1,A114-2,_xlfn.LAMBDA(_xlpm.r,_xlpm.c,_xlpm.c))))</f>
        <v/>
      </c>
    </row>
    <row r="115" spans="1:2" x14ac:dyDescent="0.2">
      <c r="A115" t="str" cm="1">
        <f t="array" ref="A115">IF(MAX(_xlfn.BYCOL('Prematch Backend 3A'!115:115, _xlfn.LAMBDA(_xlpm.ARRAY,IF(_xlpm.ARRAY="teleOp", COLUMN(_xlpm.ARRAY), 0))))=0,"",MAX(_xlfn.BYCOL('Prematch Backend 3A'!115:115, _xlfn.LAMBDA(_xlpm.ARRAY,IF(_xlpm.ARRAY="teleOp", COLUMN(_xlpm.ARRAY), 0)))))</f>
        <v/>
      </c>
      <c r="B115" t="str" cm="1">
        <f t="array" ref="B115">IF(A115="","",_xlfn.CHOOSECOLS('Prematch Backend 2A'!115:115,_xlfn.MAKEARRAY(1,A115-2,_xlfn.LAMBDA(_xlpm.r,_xlpm.c,_xlpm.c))))</f>
        <v/>
      </c>
    </row>
    <row r="116" spans="1:2" x14ac:dyDescent="0.2">
      <c r="A116" t="str" cm="1">
        <f t="array" ref="A116">IF(MAX(_xlfn.BYCOL('Prematch Backend 3A'!116:116, _xlfn.LAMBDA(_xlpm.ARRAY,IF(_xlpm.ARRAY="teleOp", COLUMN(_xlpm.ARRAY), 0))))=0,"",MAX(_xlfn.BYCOL('Prematch Backend 3A'!116:116, _xlfn.LAMBDA(_xlpm.ARRAY,IF(_xlpm.ARRAY="teleOp", COLUMN(_xlpm.ARRAY), 0)))))</f>
        <v/>
      </c>
      <c r="B116" t="str" cm="1">
        <f t="array" ref="B116">IF(A116="","",_xlfn.CHOOSECOLS('Prematch Backend 2A'!116:116,_xlfn.MAKEARRAY(1,A116-2,_xlfn.LAMBDA(_xlpm.r,_xlpm.c,_xlpm.c))))</f>
        <v/>
      </c>
    </row>
    <row r="117" spans="1:2" x14ac:dyDescent="0.2">
      <c r="A117" t="str" cm="1">
        <f t="array" ref="A117">IF(MAX(_xlfn.BYCOL('Prematch Backend 3A'!117:117, _xlfn.LAMBDA(_xlpm.ARRAY,IF(_xlpm.ARRAY="teleOp", COLUMN(_xlpm.ARRAY), 0))))=0,"",MAX(_xlfn.BYCOL('Prematch Backend 3A'!117:117, _xlfn.LAMBDA(_xlpm.ARRAY,IF(_xlpm.ARRAY="teleOp", COLUMN(_xlpm.ARRAY), 0)))))</f>
        <v/>
      </c>
      <c r="B117" t="str" cm="1">
        <f t="array" ref="B117">IF(A117="","",_xlfn.CHOOSECOLS('Prematch Backend 2A'!117:117,_xlfn.MAKEARRAY(1,A117-2,_xlfn.LAMBDA(_xlpm.r,_xlpm.c,_xlpm.c))))</f>
        <v/>
      </c>
    </row>
    <row r="118" spans="1:2" x14ac:dyDescent="0.2">
      <c r="A118" t="str" cm="1">
        <f t="array" ref="A118">IF(MAX(_xlfn.BYCOL('Prematch Backend 3A'!118:118, _xlfn.LAMBDA(_xlpm.ARRAY,IF(_xlpm.ARRAY="teleOp", COLUMN(_xlpm.ARRAY), 0))))=0,"",MAX(_xlfn.BYCOL('Prematch Backend 3A'!118:118, _xlfn.LAMBDA(_xlpm.ARRAY,IF(_xlpm.ARRAY="teleOp", COLUMN(_xlpm.ARRAY), 0)))))</f>
        <v/>
      </c>
      <c r="B118" t="str" cm="1">
        <f t="array" ref="B118">IF(A118="","",_xlfn.CHOOSECOLS('Prematch Backend 2A'!118:118,_xlfn.MAKEARRAY(1,A118-2,_xlfn.LAMBDA(_xlpm.r,_xlpm.c,_xlpm.c))))</f>
        <v/>
      </c>
    </row>
    <row r="119" spans="1:2" x14ac:dyDescent="0.2">
      <c r="A119" t="str" cm="1">
        <f t="array" ref="A119">IF(MAX(_xlfn.BYCOL('Prematch Backend 3A'!119:119, _xlfn.LAMBDA(_xlpm.ARRAY,IF(_xlpm.ARRAY="teleOp", COLUMN(_xlpm.ARRAY), 0))))=0,"",MAX(_xlfn.BYCOL('Prematch Backend 3A'!119:119, _xlfn.LAMBDA(_xlpm.ARRAY,IF(_xlpm.ARRAY="teleOp", COLUMN(_xlpm.ARRAY), 0)))))</f>
        <v/>
      </c>
      <c r="B119" t="str" cm="1">
        <f t="array" ref="B119">IF(A119="","",_xlfn.CHOOSECOLS('Prematch Backend 2A'!119:119,_xlfn.MAKEARRAY(1,A119-2,_xlfn.LAMBDA(_xlpm.r,_xlpm.c,_xlpm.c))))</f>
        <v/>
      </c>
    </row>
    <row r="120" spans="1:2" x14ac:dyDescent="0.2">
      <c r="A120" t="str" cm="1">
        <f t="array" ref="A120">IF(MAX(_xlfn.BYCOL('Prematch Backend 3A'!120:120, _xlfn.LAMBDA(_xlpm.ARRAY,IF(_xlpm.ARRAY="teleOp", COLUMN(_xlpm.ARRAY), 0))))=0,"",MAX(_xlfn.BYCOL('Prematch Backend 3A'!120:120, _xlfn.LAMBDA(_xlpm.ARRAY,IF(_xlpm.ARRAY="teleOp", COLUMN(_xlpm.ARRAY), 0)))))</f>
        <v/>
      </c>
      <c r="B120" t="str" cm="1">
        <f t="array" ref="B120">IF(A120="","",_xlfn.CHOOSECOLS('Prematch Backend 2A'!120:120,_xlfn.MAKEARRAY(1,A120-2,_xlfn.LAMBDA(_xlpm.r,_xlpm.c,_xlpm.c))))</f>
        <v/>
      </c>
    </row>
    <row r="121" spans="1:2" x14ac:dyDescent="0.2">
      <c r="A121" t="str" cm="1">
        <f t="array" ref="A121">IF(MAX(_xlfn.BYCOL('Prematch Backend 3A'!121:121, _xlfn.LAMBDA(_xlpm.ARRAY,IF(_xlpm.ARRAY="teleOp", COLUMN(_xlpm.ARRAY), 0))))=0,"",MAX(_xlfn.BYCOL('Prematch Backend 3A'!121:121, _xlfn.LAMBDA(_xlpm.ARRAY,IF(_xlpm.ARRAY="teleOp", COLUMN(_xlpm.ARRAY), 0)))))</f>
        <v/>
      </c>
      <c r="B121" t="str" cm="1">
        <f t="array" ref="B121">IF(A121="","",_xlfn.CHOOSECOLS('Prematch Backend 2A'!121:121,_xlfn.MAKEARRAY(1,A121-2,_xlfn.LAMBDA(_xlpm.r,_xlpm.c,_xlpm.c))))</f>
        <v/>
      </c>
    </row>
    <row r="122" spans="1:2" x14ac:dyDescent="0.2">
      <c r="A122" t="str" cm="1">
        <f t="array" ref="A122">IF(MAX(_xlfn.BYCOL('Prematch Backend 3A'!122:122, _xlfn.LAMBDA(_xlpm.ARRAY,IF(_xlpm.ARRAY="teleOp", COLUMN(_xlpm.ARRAY), 0))))=0,"",MAX(_xlfn.BYCOL('Prematch Backend 3A'!122:122, _xlfn.LAMBDA(_xlpm.ARRAY,IF(_xlpm.ARRAY="teleOp", COLUMN(_xlpm.ARRAY), 0)))))</f>
        <v/>
      </c>
      <c r="B122" t="str" cm="1">
        <f t="array" ref="B122">IF(A122="","",_xlfn.CHOOSECOLS('Prematch Backend 2A'!122:122,_xlfn.MAKEARRAY(1,A122-2,_xlfn.LAMBDA(_xlpm.r,_xlpm.c,_xlpm.c))))</f>
        <v/>
      </c>
    </row>
    <row r="123" spans="1:2" x14ac:dyDescent="0.2">
      <c r="A123" t="str" cm="1">
        <f t="array" ref="A123">IF(MAX(_xlfn.BYCOL('Prematch Backend 3A'!123:123, _xlfn.LAMBDA(_xlpm.ARRAY,IF(_xlpm.ARRAY="teleOp", COLUMN(_xlpm.ARRAY), 0))))=0,"",MAX(_xlfn.BYCOL('Prematch Backend 3A'!123:123, _xlfn.LAMBDA(_xlpm.ARRAY,IF(_xlpm.ARRAY="teleOp", COLUMN(_xlpm.ARRAY), 0)))))</f>
        <v/>
      </c>
      <c r="B123" t="str" cm="1">
        <f t="array" ref="B123">IF(A123="","",_xlfn.CHOOSECOLS('Prematch Backend 2A'!123:123,_xlfn.MAKEARRAY(1,A123-2,_xlfn.LAMBDA(_xlpm.r,_xlpm.c,_xlpm.c))))</f>
        <v/>
      </c>
    </row>
    <row r="124" spans="1:2" x14ac:dyDescent="0.2">
      <c r="A124" t="str" cm="1">
        <f t="array" ref="A124">IF(MAX(_xlfn.BYCOL('Prematch Backend 3A'!124:124, _xlfn.LAMBDA(_xlpm.ARRAY,IF(_xlpm.ARRAY="teleOp", COLUMN(_xlpm.ARRAY), 0))))=0,"",MAX(_xlfn.BYCOL('Prematch Backend 3A'!124:124, _xlfn.LAMBDA(_xlpm.ARRAY,IF(_xlpm.ARRAY="teleOp", COLUMN(_xlpm.ARRAY), 0)))))</f>
        <v/>
      </c>
      <c r="B124" t="str" cm="1">
        <f t="array" ref="B124">IF(A124="","",_xlfn.CHOOSECOLS('Prematch Backend 2A'!124:124,_xlfn.MAKEARRAY(1,A124-2,_xlfn.LAMBDA(_xlpm.r,_xlpm.c,_xlpm.c))))</f>
        <v/>
      </c>
    </row>
    <row r="125" spans="1:2" x14ac:dyDescent="0.2">
      <c r="A125" t="str" cm="1">
        <f t="array" ref="A125">IF(MAX(_xlfn.BYCOL('Prematch Backend 3A'!125:125, _xlfn.LAMBDA(_xlpm.ARRAY,IF(_xlpm.ARRAY="teleOp", COLUMN(_xlpm.ARRAY), 0))))=0,"",MAX(_xlfn.BYCOL('Prematch Backend 3A'!125:125, _xlfn.LAMBDA(_xlpm.ARRAY,IF(_xlpm.ARRAY="teleOp", COLUMN(_xlpm.ARRAY), 0)))))</f>
        <v/>
      </c>
      <c r="B125" t="str" cm="1">
        <f t="array" ref="B125">IF(A125="","",_xlfn.CHOOSECOLS('Prematch Backend 2A'!125:125,_xlfn.MAKEARRAY(1,A125-2,_xlfn.LAMBDA(_xlpm.r,_xlpm.c,_xlpm.c))))</f>
        <v/>
      </c>
    </row>
    <row r="126" spans="1:2" x14ac:dyDescent="0.2">
      <c r="A126" t="str" cm="1">
        <f t="array" ref="A126">IF(MAX(_xlfn.BYCOL('Prematch Backend 3A'!126:126, _xlfn.LAMBDA(_xlpm.ARRAY,IF(_xlpm.ARRAY="teleOp", COLUMN(_xlpm.ARRAY), 0))))=0,"",MAX(_xlfn.BYCOL('Prematch Backend 3A'!126:126, _xlfn.LAMBDA(_xlpm.ARRAY,IF(_xlpm.ARRAY="teleOp", COLUMN(_xlpm.ARRAY), 0)))))</f>
        <v/>
      </c>
      <c r="B126" t="str" cm="1">
        <f t="array" ref="B126">IF(A126="","",_xlfn.CHOOSECOLS('Prematch Backend 2A'!126:126,_xlfn.MAKEARRAY(1,A126-2,_xlfn.LAMBDA(_xlpm.r,_xlpm.c,_xlpm.c))))</f>
        <v/>
      </c>
    </row>
    <row r="127" spans="1:2" x14ac:dyDescent="0.2">
      <c r="A127" t="str" cm="1">
        <f t="array" ref="A127">IF(MAX(_xlfn.BYCOL('Prematch Backend 3A'!127:127, _xlfn.LAMBDA(_xlpm.ARRAY,IF(_xlpm.ARRAY="teleOp", COLUMN(_xlpm.ARRAY), 0))))=0,"",MAX(_xlfn.BYCOL('Prematch Backend 3A'!127:127, _xlfn.LAMBDA(_xlpm.ARRAY,IF(_xlpm.ARRAY="teleOp", COLUMN(_xlpm.ARRAY), 0)))))</f>
        <v/>
      </c>
      <c r="B127" t="str" cm="1">
        <f t="array" ref="B127">IF(A127="","",_xlfn.CHOOSECOLS('Prematch Backend 2A'!127:127,_xlfn.MAKEARRAY(1,A127-2,_xlfn.LAMBDA(_xlpm.r,_xlpm.c,_xlpm.c))))</f>
        <v/>
      </c>
    </row>
    <row r="128" spans="1:2" x14ac:dyDescent="0.2">
      <c r="A128" t="str" cm="1">
        <f t="array" ref="A128">IF(MAX(_xlfn.BYCOL('Prematch Backend 3A'!128:128, _xlfn.LAMBDA(_xlpm.ARRAY,IF(_xlpm.ARRAY="teleOp", COLUMN(_xlpm.ARRAY), 0))))=0,"",MAX(_xlfn.BYCOL('Prematch Backend 3A'!128:128, _xlfn.LAMBDA(_xlpm.ARRAY,IF(_xlpm.ARRAY="teleOp", COLUMN(_xlpm.ARRAY), 0)))))</f>
        <v/>
      </c>
      <c r="B128" t="str" cm="1">
        <f t="array" ref="B128">IF(A128="","",_xlfn.CHOOSECOLS('Prematch Backend 2A'!128:128,_xlfn.MAKEARRAY(1,A128-2,_xlfn.LAMBDA(_xlpm.r,_xlpm.c,_xlpm.c))))</f>
        <v/>
      </c>
    </row>
    <row r="129" spans="1:2" x14ac:dyDescent="0.2">
      <c r="A129" t="str" cm="1">
        <f t="array" ref="A129">IF(MAX(_xlfn.BYCOL('Prematch Backend 3A'!129:129, _xlfn.LAMBDA(_xlpm.ARRAY,IF(_xlpm.ARRAY="teleOp", COLUMN(_xlpm.ARRAY), 0))))=0,"",MAX(_xlfn.BYCOL('Prematch Backend 3A'!129:129, _xlfn.LAMBDA(_xlpm.ARRAY,IF(_xlpm.ARRAY="teleOp", COLUMN(_xlpm.ARRAY), 0)))))</f>
        <v/>
      </c>
      <c r="B129" t="str" cm="1">
        <f t="array" ref="B129">IF(A129="","",_xlfn.CHOOSECOLS('Prematch Backend 2A'!129:129,_xlfn.MAKEARRAY(1,A129-2,_xlfn.LAMBDA(_xlpm.r,_xlpm.c,_xlpm.c))))</f>
        <v/>
      </c>
    </row>
    <row r="130" spans="1:2" x14ac:dyDescent="0.2">
      <c r="A130" t="str" cm="1">
        <f t="array" ref="A130">IF(MAX(_xlfn.BYCOL('Prematch Backend 3A'!130:130, _xlfn.LAMBDA(_xlpm.ARRAY,IF(_xlpm.ARRAY="teleOp", COLUMN(_xlpm.ARRAY), 0))))=0,"",MAX(_xlfn.BYCOL('Prematch Backend 3A'!130:130, _xlfn.LAMBDA(_xlpm.ARRAY,IF(_xlpm.ARRAY="teleOp", COLUMN(_xlpm.ARRAY), 0)))))</f>
        <v/>
      </c>
      <c r="B130" t="str" cm="1">
        <f t="array" ref="B130">IF(A130="","",_xlfn.CHOOSECOLS('Prematch Backend 2A'!130:130,_xlfn.MAKEARRAY(1,A130-2,_xlfn.LAMBDA(_xlpm.r,_xlpm.c,_xlpm.c))))</f>
        <v/>
      </c>
    </row>
    <row r="131" spans="1:2" x14ac:dyDescent="0.2">
      <c r="A131" t="str" cm="1">
        <f t="array" ref="A131">IF(MAX(_xlfn.BYCOL('Prematch Backend 3A'!131:131, _xlfn.LAMBDA(_xlpm.ARRAY,IF(_xlpm.ARRAY="teleOp", COLUMN(_xlpm.ARRAY), 0))))=0,"",MAX(_xlfn.BYCOL('Prematch Backend 3A'!131:131, _xlfn.LAMBDA(_xlpm.ARRAY,IF(_xlpm.ARRAY="teleOp", COLUMN(_xlpm.ARRAY), 0)))))</f>
        <v/>
      </c>
      <c r="B131" t="str" cm="1">
        <f t="array" ref="B131">IF(A131="","",_xlfn.CHOOSECOLS('Prematch Backend 2A'!131:131,_xlfn.MAKEARRAY(1,A131-2,_xlfn.LAMBDA(_xlpm.r,_xlpm.c,_xlpm.c))))</f>
        <v/>
      </c>
    </row>
    <row r="132" spans="1:2" x14ac:dyDescent="0.2">
      <c r="A132" t="str" cm="1">
        <f t="array" ref="A132">IF(MAX(_xlfn.BYCOL('Prematch Backend 3A'!132:132, _xlfn.LAMBDA(_xlpm.ARRAY,IF(_xlpm.ARRAY="teleOp", COLUMN(_xlpm.ARRAY), 0))))=0,"",MAX(_xlfn.BYCOL('Prematch Backend 3A'!132:132, _xlfn.LAMBDA(_xlpm.ARRAY,IF(_xlpm.ARRAY="teleOp", COLUMN(_xlpm.ARRAY), 0)))))</f>
        <v/>
      </c>
      <c r="B132" t="str" cm="1">
        <f t="array" ref="B132">IF(A132="","",_xlfn.CHOOSECOLS('Prematch Backend 2A'!132:132,_xlfn.MAKEARRAY(1,A132-2,_xlfn.LAMBDA(_xlpm.r,_xlpm.c,_xlpm.c))))</f>
        <v/>
      </c>
    </row>
    <row r="133" spans="1:2" x14ac:dyDescent="0.2">
      <c r="A133" t="str" cm="1">
        <f t="array" ref="A133">IF(MAX(_xlfn.BYCOL('Prematch Backend 3A'!133:133, _xlfn.LAMBDA(_xlpm.ARRAY,IF(_xlpm.ARRAY="teleOp", COLUMN(_xlpm.ARRAY), 0))))=0,"",MAX(_xlfn.BYCOL('Prematch Backend 3A'!133:133, _xlfn.LAMBDA(_xlpm.ARRAY,IF(_xlpm.ARRAY="teleOp", COLUMN(_xlpm.ARRAY), 0)))))</f>
        <v/>
      </c>
      <c r="B133" t="str" cm="1">
        <f t="array" ref="B133">IF(A133="","",_xlfn.CHOOSECOLS('Prematch Backend 2A'!133:133,_xlfn.MAKEARRAY(1,A133-2,_xlfn.LAMBDA(_xlpm.r,_xlpm.c,_xlpm.c))))</f>
        <v/>
      </c>
    </row>
    <row r="134" spans="1:2" x14ac:dyDescent="0.2">
      <c r="A134" t="str" cm="1">
        <f t="array" ref="A134">IF(MAX(_xlfn.BYCOL('Prematch Backend 3A'!134:134, _xlfn.LAMBDA(_xlpm.ARRAY,IF(_xlpm.ARRAY="teleOp", COLUMN(_xlpm.ARRAY), 0))))=0,"",MAX(_xlfn.BYCOL('Prematch Backend 3A'!134:134, _xlfn.LAMBDA(_xlpm.ARRAY,IF(_xlpm.ARRAY="teleOp", COLUMN(_xlpm.ARRAY), 0)))))</f>
        <v/>
      </c>
      <c r="B134" t="str" cm="1">
        <f t="array" ref="B134">IF(A134="","",_xlfn.CHOOSECOLS('Prematch Backend 2A'!134:134,_xlfn.MAKEARRAY(1,A134-2,_xlfn.LAMBDA(_xlpm.r,_xlpm.c,_xlpm.c))))</f>
        <v/>
      </c>
    </row>
    <row r="135" spans="1:2" x14ac:dyDescent="0.2">
      <c r="A135" t="str" cm="1">
        <f t="array" ref="A135">IF(MAX(_xlfn.BYCOL('Prematch Backend 3A'!135:135, _xlfn.LAMBDA(_xlpm.ARRAY,IF(_xlpm.ARRAY="teleOp", COLUMN(_xlpm.ARRAY), 0))))=0,"",MAX(_xlfn.BYCOL('Prematch Backend 3A'!135:135, _xlfn.LAMBDA(_xlpm.ARRAY,IF(_xlpm.ARRAY="teleOp", COLUMN(_xlpm.ARRAY), 0)))))</f>
        <v/>
      </c>
      <c r="B135" t="str" cm="1">
        <f t="array" ref="B135">IF(A135="","",_xlfn.CHOOSECOLS('Prematch Backend 2A'!135:135,_xlfn.MAKEARRAY(1,A135-2,_xlfn.LAMBDA(_xlpm.r,_xlpm.c,_xlpm.c))))</f>
        <v/>
      </c>
    </row>
    <row r="136" spans="1:2" x14ac:dyDescent="0.2">
      <c r="A136" t="str" cm="1">
        <f t="array" ref="A136">IF(MAX(_xlfn.BYCOL('Prematch Backend 3A'!136:136, _xlfn.LAMBDA(_xlpm.ARRAY,IF(_xlpm.ARRAY="teleOp", COLUMN(_xlpm.ARRAY), 0))))=0,"",MAX(_xlfn.BYCOL('Prematch Backend 3A'!136:136, _xlfn.LAMBDA(_xlpm.ARRAY,IF(_xlpm.ARRAY="teleOp", COLUMN(_xlpm.ARRAY), 0)))))</f>
        <v/>
      </c>
      <c r="B136" t="str" cm="1">
        <f t="array" ref="B136">IF(A136="","",_xlfn.CHOOSECOLS('Prematch Backend 2A'!136:136,_xlfn.MAKEARRAY(1,A136-2,_xlfn.LAMBDA(_xlpm.r,_xlpm.c,_xlpm.c))))</f>
        <v/>
      </c>
    </row>
    <row r="137" spans="1:2" x14ac:dyDescent="0.2">
      <c r="A137" t="str" cm="1">
        <f t="array" ref="A137">IF(MAX(_xlfn.BYCOL('Prematch Backend 3A'!137:137, _xlfn.LAMBDA(_xlpm.ARRAY,IF(_xlpm.ARRAY="teleOp", COLUMN(_xlpm.ARRAY), 0))))=0,"",MAX(_xlfn.BYCOL('Prematch Backend 3A'!137:137, _xlfn.LAMBDA(_xlpm.ARRAY,IF(_xlpm.ARRAY="teleOp", COLUMN(_xlpm.ARRAY), 0)))))</f>
        <v/>
      </c>
      <c r="B137" t="str" cm="1">
        <f t="array" ref="B137">IF(A137="","",_xlfn.CHOOSECOLS('Prematch Backend 2A'!137:137,_xlfn.MAKEARRAY(1,A137-2,_xlfn.LAMBDA(_xlpm.r,_xlpm.c,_xlpm.c))))</f>
        <v/>
      </c>
    </row>
    <row r="138" spans="1:2" x14ac:dyDescent="0.2">
      <c r="A138" t="str" cm="1">
        <f t="array" ref="A138">IF(MAX(_xlfn.BYCOL('Prematch Backend 3A'!138:138, _xlfn.LAMBDA(_xlpm.ARRAY,IF(_xlpm.ARRAY="teleOp", COLUMN(_xlpm.ARRAY), 0))))=0,"",MAX(_xlfn.BYCOL('Prematch Backend 3A'!138:138, _xlfn.LAMBDA(_xlpm.ARRAY,IF(_xlpm.ARRAY="teleOp", COLUMN(_xlpm.ARRAY), 0)))))</f>
        <v/>
      </c>
      <c r="B138" t="str" cm="1">
        <f t="array" ref="B138">IF(A138="","",_xlfn.CHOOSECOLS('Prematch Backend 2A'!138:138,_xlfn.MAKEARRAY(1,A138-2,_xlfn.LAMBDA(_xlpm.r,_xlpm.c,_xlpm.c))))</f>
        <v/>
      </c>
    </row>
    <row r="139" spans="1:2" x14ac:dyDescent="0.2">
      <c r="A139" t="str" cm="1">
        <f t="array" ref="A139">IF(MAX(_xlfn.BYCOL('Prematch Backend 3A'!139:139, _xlfn.LAMBDA(_xlpm.ARRAY,IF(_xlpm.ARRAY="teleOp", COLUMN(_xlpm.ARRAY), 0))))=0,"",MAX(_xlfn.BYCOL('Prematch Backend 3A'!139:139, _xlfn.LAMBDA(_xlpm.ARRAY,IF(_xlpm.ARRAY="teleOp", COLUMN(_xlpm.ARRAY), 0)))))</f>
        <v/>
      </c>
      <c r="B139" t="str" cm="1">
        <f t="array" ref="B139">IF(A139="","",_xlfn.CHOOSECOLS('Prematch Backend 2A'!139:139,_xlfn.MAKEARRAY(1,A139-2,_xlfn.LAMBDA(_xlpm.r,_xlpm.c,_xlpm.c))))</f>
        <v/>
      </c>
    </row>
    <row r="140" spans="1:2" x14ac:dyDescent="0.2">
      <c r="A140" t="str" cm="1">
        <f t="array" ref="A140">IF(MAX(_xlfn.BYCOL('Prematch Backend 3A'!140:140, _xlfn.LAMBDA(_xlpm.ARRAY,IF(_xlpm.ARRAY="teleOp", COLUMN(_xlpm.ARRAY), 0))))=0,"",MAX(_xlfn.BYCOL('Prematch Backend 3A'!140:140, _xlfn.LAMBDA(_xlpm.ARRAY,IF(_xlpm.ARRAY="teleOp", COLUMN(_xlpm.ARRAY), 0)))))</f>
        <v/>
      </c>
      <c r="B140" t="str" cm="1">
        <f t="array" ref="B140">IF(A140="","",_xlfn.CHOOSECOLS('Prematch Backend 2A'!140:140,_xlfn.MAKEARRAY(1,A140-2,_xlfn.LAMBDA(_xlpm.r,_xlpm.c,_xlpm.c))))</f>
        <v/>
      </c>
    </row>
    <row r="141" spans="1:2" x14ac:dyDescent="0.2">
      <c r="B141" t="str" cm="1">
        <f t="array" ref="B141">IF(A141="","",_xlfn.CHOOSECOLS('Prematch Backend 2A'!141:141,_xlfn.MAKEARRAY(1,A141-2,_xlfn.LAMBDA(_xlpm.r,_xlpm.c,_xlpm.c))))</f>
        <v/>
      </c>
    </row>
    <row r="142" spans="1:2" x14ac:dyDescent="0.2">
      <c r="B142" t="str" cm="1">
        <f t="array" ref="B142">IF(A142="","",_xlfn.CHOOSECOLS('Prematch Backend 2A'!142:142,_xlfn.MAKEARRAY(1,A142-2,_xlfn.LAMBDA(_xlpm.r,_xlpm.c,_xlpm.c))))</f>
        <v/>
      </c>
    </row>
    <row r="143" spans="1:2" x14ac:dyDescent="0.2">
      <c r="B143" t="str" cm="1">
        <f t="array" ref="B143">IF(A143="","",_xlfn.CHOOSECOLS('Prematch Backend 2A'!143:143,_xlfn.MAKEARRAY(1,A143-2,_xlfn.LAMBDA(_xlpm.r,_xlpm.c,_xlpm.c))))</f>
        <v/>
      </c>
    </row>
    <row r="144" spans="1:2" x14ac:dyDescent="0.2">
      <c r="B144" t="str" cm="1">
        <f t="array" ref="B144">IF(A144="","",_xlfn.CHOOSECOLS('Prematch Backend 2A'!144:144,_xlfn.MAKEARRAY(1,A144-2,_xlfn.LAMBDA(_xlpm.r,_xlpm.c,_xlpm.c))))</f>
        <v/>
      </c>
    </row>
    <row r="145" spans="2:2" x14ac:dyDescent="0.2">
      <c r="B145" t="str" cm="1">
        <f t="array" ref="B145">IF(A145="","",_xlfn.CHOOSECOLS('Prematch Backend 2A'!145:145,_xlfn.MAKEARRAY(1,A145-2,_xlfn.LAMBDA(_xlpm.r,_xlpm.c,_xlpm.c))))</f>
        <v/>
      </c>
    </row>
    <row r="146" spans="2:2" x14ac:dyDescent="0.2">
      <c r="B146" t="str" cm="1">
        <f t="array" ref="B146">IF(A146="","",_xlfn.CHOOSECOLS('Prematch Backend 2A'!146:146,_xlfn.MAKEARRAY(1,A146-2,_xlfn.LAMBDA(_xlpm.r,_xlpm.c,_xlpm.c))))</f>
        <v/>
      </c>
    </row>
    <row r="147" spans="2:2" x14ac:dyDescent="0.2">
      <c r="B147" t="str" cm="1">
        <f t="array" ref="B147">IF(A147="","",_xlfn.CHOOSECOLS('Prematch Backend 2A'!147:147,_xlfn.MAKEARRAY(1,A147-2,_xlfn.LAMBDA(_xlpm.r,_xlpm.c,_xlpm.c))))</f>
        <v/>
      </c>
    </row>
    <row r="148" spans="2:2" x14ac:dyDescent="0.2">
      <c r="B148" t="str" cm="1">
        <f t="array" ref="B148">IF(A148="","",_xlfn.CHOOSECOLS('Prematch Backend 2A'!148:148,_xlfn.MAKEARRAY(1,A148-2,_xlfn.LAMBDA(_xlpm.r,_xlpm.c,_xlpm.c))))</f>
        <v/>
      </c>
    </row>
    <row r="149" spans="2:2" x14ac:dyDescent="0.2">
      <c r="B149" t="str" cm="1">
        <f t="array" ref="B149">IF(A149="","",_xlfn.CHOOSECOLS('Prematch Backend 2A'!149:149,_xlfn.MAKEARRAY(1,A149-2,_xlfn.LAMBDA(_xlpm.r,_xlpm.c,_xlpm.c))))</f>
        <v/>
      </c>
    </row>
    <row r="150" spans="2:2" x14ac:dyDescent="0.2">
      <c r="B150" t="str" cm="1">
        <f t="array" ref="B150">IF(A150="","",_xlfn.CHOOSECOLS('Prematch Backend 2A'!150:150,_xlfn.MAKEARRAY(1,A150-2,_xlfn.LAMBDA(_xlpm.r,_xlpm.c,_xlpm.c))))</f>
        <v/>
      </c>
    </row>
    <row r="151" spans="2:2" x14ac:dyDescent="0.2">
      <c r="B151" t="str" cm="1">
        <f t="array" ref="B151">IF(A151="","",_xlfn.CHOOSECOLS('Prematch Backend 2A'!151:151,_xlfn.MAKEARRAY(1,A151-2,_xlfn.LAMBDA(_xlpm.r,_xlpm.c,_xlpm.c))))</f>
        <v/>
      </c>
    </row>
    <row r="152" spans="2:2" x14ac:dyDescent="0.2">
      <c r="B152" t="str" cm="1">
        <f t="array" ref="B152">IF(A152="","",_xlfn.CHOOSECOLS('Prematch Backend 2A'!152:152,_xlfn.MAKEARRAY(1,A152-2,_xlfn.LAMBDA(_xlpm.r,_xlpm.c,_xlpm.c))))</f>
        <v/>
      </c>
    </row>
    <row r="153" spans="2:2" x14ac:dyDescent="0.2">
      <c r="B153" t="str" cm="1">
        <f t="array" ref="B153">IF(A153="","",_xlfn.CHOOSECOLS('Prematch Backend 2A'!153:153,_xlfn.MAKEARRAY(1,A153-2,_xlfn.LAMBDA(_xlpm.r,_xlpm.c,_xlpm.c))))</f>
        <v/>
      </c>
    </row>
    <row r="154" spans="2:2" x14ac:dyDescent="0.2">
      <c r="B154" t="str" cm="1">
        <f t="array" ref="B154">IF(A154="","",_xlfn.CHOOSECOLS('Prematch Backend 2A'!154:154,_xlfn.MAKEARRAY(1,A154-2,_xlfn.LAMBDA(_xlpm.r,_xlpm.c,_xlpm.c))))</f>
        <v/>
      </c>
    </row>
    <row r="155" spans="2:2" x14ac:dyDescent="0.2">
      <c r="B155" t="str" cm="1">
        <f t="array" ref="B155">IF(A155="","",_xlfn.CHOOSECOLS('Prematch Backend 2A'!155:155,_xlfn.MAKEARRAY(1,A155-2,_xlfn.LAMBDA(_xlpm.r,_xlpm.c,_xlpm.c))))</f>
        <v/>
      </c>
    </row>
    <row r="156" spans="2:2" x14ac:dyDescent="0.2">
      <c r="B156" t="str" cm="1">
        <f t="array" ref="B156">IF(A156="","",_xlfn.CHOOSECOLS('Prematch Backend 2A'!156:156,_xlfn.MAKEARRAY(1,A156-2,_xlfn.LAMBDA(_xlpm.r,_xlpm.c,_xlpm.c))))</f>
        <v/>
      </c>
    </row>
    <row r="157" spans="2:2" x14ac:dyDescent="0.2">
      <c r="B157" t="str" cm="1">
        <f t="array" ref="B157">IF(A157="","",_xlfn.CHOOSECOLS('Prematch Backend 2A'!157:157,_xlfn.MAKEARRAY(1,A157-2,_xlfn.LAMBDA(_xlpm.r,_xlpm.c,_xlpm.c))))</f>
        <v/>
      </c>
    </row>
    <row r="158" spans="2:2" x14ac:dyDescent="0.2">
      <c r="B158" t="str" cm="1">
        <f t="array" ref="B158">IF(A158="","",_xlfn.CHOOSECOLS('Prematch Backend 2A'!158:158,_xlfn.MAKEARRAY(1,A158-2,_xlfn.LAMBDA(_xlpm.r,_xlpm.c,_xlpm.c))))</f>
        <v/>
      </c>
    </row>
    <row r="159" spans="2:2" x14ac:dyDescent="0.2">
      <c r="B159" t="str" cm="1">
        <f t="array" ref="B159">IF(A159="","",_xlfn.CHOOSECOLS('Prematch Backend 2A'!159:159,_xlfn.MAKEARRAY(1,A159-2,_xlfn.LAMBDA(_xlpm.r,_xlpm.c,_xlpm.c))))</f>
        <v/>
      </c>
    </row>
    <row r="160" spans="2:2" x14ac:dyDescent="0.2">
      <c r="B160" t="str" cm="1">
        <f t="array" ref="B160">IF(A160="","",_xlfn.CHOOSECOLS('Prematch Backend 2A'!160:160,_xlfn.MAKEARRAY(1,A160-2,_xlfn.LAMBDA(_xlpm.r,_xlpm.c,_xlpm.c))))</f>
        <v/>
      </c>
    </row>
    <row r="161" spans="2:2" x14ac:dyDescent="0.2">
      <c r="B161" t="str" cm="1">
        <f t="array" ref="B161">IF(A161="","",_xlfn.CHOOSECOLS('Prematch Backend 2A'!161:161,_xlfn.MAKEARRAY(1,A161-2,_xlfn.LAMBDA(_xlpm.r,_xlpm.c,_xlpm.c))))</f>
        <v/>
      </c>
    </row>
    <row r="162" spans="2:2" x14ac:dyDescent="0.2">
      <c r="B162" t="str" cm="1">
        <f t="array" ref="B162">IF(A162="","",_xlfn.CHOOSECOLS('Prematch Backend 2A'!162:162,_xlfn.MAKEARRAY(1,A162-2,_xlfn.LAMBDA(_xlpm.r,_xlpm.c,_xlpm.c))))</f>
        <v/>
      </c>
    </row>
    <row r="163" spans="2:2" x14ac:dyDescent="0.2">
      <c r="B163" t="str" cm="1">
        <f t="array" ref="B163">IF(A163="","",_xlfn.CHOOSECOLS('Prematch Backend 2A'!163:163,_xlfn.MAKEARRAY(1,A163-2,_xlfn.LAMBDA(_xlpm.r,_xlpm.c,_xlpm.c))))</f>
        <v/>
      </c>
    </row>
    <row r="164" spans="2:2" x14ac:dyDescent="0.2">
      <c r="B164" t="str" cm="1">
        <f t="array" ref="B164">IF(A164="","",_xlfn.CHOOSECOLS('Prematch Backend 2A'!164:164,_xlfn.MAKEARRAY(1,A164-2,_xlfn.LAMBDA(_xlpm.r,_xlpm.c,_xlpm.c))))</f>
        <v/>
      </c>
    </row>
    <row r="165" spans="2:2" x14ac:dyDescent="0.2">
      <c r="B165" t="str" cm="1">
        <f t="array" ref="B165">IF(A165="","",_xlfn.CHOOSECOLS('Prematch Backend 2A'!165:165,_xlfn.MAKEARRAY(1,A165-2,_xlfn.LAMBDA(_xlpm.r,_xlpm.c,_xlpm.c))))</f>
        <v/>
      </c>
    </row>
    <row r="166" spans="2:2" x14ac:dyDescent="0.2">
      <c r="B166" t="str" cm="1">
        <f t="array" ref="B166">IF(A166="","",_xlfn.CHOOSECOLS('Prematch Backend 2A'!166:166,_xlfn.MAKEARRAY(1,A166-2,_xlfn.LAMBDA(_xlpm.r,_xlpm.c,_xlpm.c))))</f>
        <v/>
      </c>
    </row>
    <row r="167" spans="2:2" x14ac:dyDescent="0.2">
      <c r="B167" t="str" cm="1">
        <f t="array" ref="B167">IF(A167="","",_xlfn.CHOOSECOLS('Prematch Backend 2A'!167:167,_xlfn.MAKEARRAY(1,A167-2,_xlfn.LAMBDA(_xlpm.r,_xlpm.c,_xlpm.c))))</f>
        <v/>
      </c>
    </row>
    <row r="168" spans="2:2" x14ac:dyDescent="0.2">
      <c r="B168" t="str" cm="1">
        <f t="array" ref="B168">IF(A168="","",_xlfn.CHOOSECOLS('Prematch Backend 2A'!168:168,_xlfn.MAKEARRAY(1,A168-2,_xlfn.LAMBDA(_xlpm.r,_xlpm.c,_xlpm.c))))</f>
        <v/>
      </c>
    </row>
    <row r="169" spans="2:2" x14ac:dyDescent="0.2">
      <c r="B169" t="str" cm="1">
        <f t="array" ref="B169">IF(A169="","",_xlfn.CHOOSECOLS('Prematch Backend 2A'!169:169,_xlfn.MAKEARRAY(1,A169-2,_xlfn.LAMBDA(_xlpm.r,_xlpm.c,_xlpm.c))))</f>
        <v/>
      </c>
    </row>
    <row r="170" spans="2:2" x14ac:dyDescent="0.2">
      <c r="B170" t="str" cm="1">
        <f t="array" ref="B170">IF(A170="","",_xlfn.CHOOSECOLS('Prematch Backend 2A'!170:170,_xlfn.MAKEARRAY(1,A170-2,_xlfn.LAMBDA(_xlpm.r,_xlpm.c,_xlpm.c))))</f>
        <v/>
      </c>
    </row>
    <row r="171" spans="2:2" x14ac:dyDescent="0.2">
      <c r="B171" t="str" cm="1">
        <f t="array" ref="B171">IF(A171="","",_xlfn.CHOOSECOLS('Prematch Backend 2A'!171:171,_xlfn.MAKEARRAY(1,A171-2,_xlfn.LAMBDA(_xlpm.r,_xlpm.c,_xlpm.c))))</f>
        <v/>
      </c>
    </row>
    <row r="172" spans="2:2" x14ac:dyDescent="0.2">
      <c r="B172" t="str" cm="1">
        <f t="array" ref="B172">IF(A172="","",_xlfn.CHOOSECOLS('Prematch Backend 2A'!172:172,_xlfn.MAKEARRAY(1,A172-2,_xlfn.LAMBDA(_xlpm.r,_xlpm.c,_xlpm.c))))</f>
        <v/>
      </c>
    </row>
    <row r="173" spans="2:2" x14ac:dyDescent="0.2">
      <c r="B173" t="str" cm="1">
        <f t="array" ref="B173">IF(A173="","",_xlfn.CHOOSECOLS('Prematch Backend 2A'!173:173,_xlfn.MAKEARRAY(1,A173-2,_xlfn.LAMBDA(_xlpm.r,_xlpm.c,_xlpm.c))))</f>
        <v/>
      </c>
    </row>
    <row r="174" spans="2:2" x14ac:dyDescent="0.2">
      <c r="B174" t="str" cm="1">
        <f t="array" ref="B174">IF(A174="","",_xlfn.CHOOSECOLS('Prematch Backend 2A'!174:174,_xlfn.MAKEARRAY(1,A174-2,_xlfn.LAMBDA(_xlpm.r,_xlpm.c,_xlpm.c))))</f>
        <v/>
      </c>
    </row>
    <row r="175" spans="2:2" x14ac:dyDescent="0.2">
      <c r="B175" t="str" cm="1">
        <f t="array" ref="B175">IF(A175="","",_xlfn.CHOOSECOLS('Prematch Backend 2A'!175:175,_xlfn.MAKEARRAY(1,A175-2,_xlfn.LAMBDA(_xlpm.r,_xlpm.c,_xlpm.c))))</f>
        <v/>
      </c>
    </row>
    <row r="176" spans="2:2" x14ac:dyDescent="0.2">
      <c r="B176" t="str" cm="1">
        <f t="array" ref="B176">IF(A176="","",_xlfn.CHOOSECOLS('Prematch Backend 2A'!176:176,_xlfn.MAKEARRAY(1,A176-2,_xlfn.LAMBDA(_xlpm.r,_xlpm.c,_xlpm.c))))</f>
        <v/>
      </c>
    </row>
    <row r="177" spans="2:2" x14ac:dyDescent="0.2">
      <c r="B177" t="str" cm="1">
        <f t="array" ref="B177">IF(A177="","",_xlfn.CHOOSECOLS('Prematch Backend 2A'!177:177,_xlfn.MAKEARRAY(1,A177-2,_xlfn.LAMBDA(_xlpm.r,_xlpm.c,_xlpm.c))))</f>
        <v/>
      </c>
    </row>
    <row r="178" spans="2:2" x14ac:dyDescent="0.2">
      <c r="B178" t="str" cm="1">
        <f t="array" ref="B178">IF(A178="","",_xlfn.CHOOSECOLS('Prematch Backend 2A'!178:178,_xlfn.MAKEARRAY(1,A178-2,_xlfn.LAMBDA(_xlpm.r,_xlpm.c,_xlpm.c))))</f>
        <v/>
      </c>
    </row>
    <row r="179" spans="2:2" x14ac:dyDescent="0.2">
      <c r="B179" t="str" cm="1">
        <f t="array" ref="B179">IF(A179="","",_xlfn.CHOOSECOLS('Prematch Backend 2A'!179:179,_xlfn.MAKEARRAY(1,A179-2,_xlfn.LAMBDA(_xlpm.r,_xlpm.c,_xlpm.c))))</f>
        <v/>
      </c>
    </row>
    <row r="180" spans="2:2" x14ac:dyDescent="0.2">
      <c r="B180" t="str" cm="1">
        <f t="array" ref="B180">IF(A180="","",_xlfn.CHOOSECOLS('Prematch Backend 2A'!180:180,_xlfn.MAKEARRAY(1,A180-2,_xlfn.LAMBDA(_xlpm.r,_xlpm.c,_xlpm.c))))</f>
        <v/>
      </c>
    </row>
    <row r="181" spans="2:2" x14ac:dyDescent="0.2">
      <c r="B181" t="str" cm="1">
        <f t="array" ref="B181">IF(A181="","",_xlfn.CHOOSECOLS('Prematch Backend 2A'!181:181,_xlfn.MAKEARRAY(1,A181-2,_xlfn.LAMBDA(_xlpm.r,_xlpm.c,_xlpm.c))))</f>
        <v/>
      </c>
    </row>
    <row r="182" spans="2:2" x14ac:dyDescent="0.2">
      <c r="B182" t="str" cm="1">
        <f t="array" ref="B182">IF(A182="","",_xlfn.CHOOSECOLS('Prematch Backend 2A'!182:182,_xlfn.MAKEARRAY(1,A182-2,_xlfn.LAMBDA(_xlpm.r,_xlpm.c,_xlpm.c))))</f>
        <v/>
      </c>
    </row>
    <row r="183" spans="2:2" x14ac:dyDescent="0.2">
      <c r="B183" t="str" cm="1">
        <f t="array" ref="B183">IF(A183="","",_xlfn.CHOOSECOLS('Prematch Backend 2A'!183:183,_xlfn.MAKEARRAY(1,A183-2,_xlfn.LAMBDA(_xlpm.r,_xlpm.c,_xlpm.c))))</f>
        <v/>
      </c>
    </row>
    <row r="184" spans="2:2" x14ac:dyDescent="0.2">
      <c r="B184" t="str" cm="1">
        <f t="array" ref="B184">IF(A184="","",_xlfn.CHOOSECOLS('Prematch Backend 2A'!184:184,_xlfn.MAKEARRAY(1,A184-2,_xlfn.LAMBDA(_xlpm.r,_xlpm.c,_xlpm.c))))</f>
        <v/>
      </c>
    </row>
    <row r="185" spans="2:2" x14ac:dyDescent="0.2">
      <c r="B185" t="str" cm="1">
        <f t="array" ref="B185">IF(A185="","",_xlfn.CHOOSECOLS('Prematch Backend 2A'!185:185,_xlfn.MAKEARRAY(1,A185-2,_xlfn.LAMBDA(_xlpm.r,_xlpm.c,_xlpm.c))))</f>
        <v/>
      </c>
    </row>
    <row r="186" spans="2:2" x14ac:dyDescent="0.2">
      <c r="B186" t="str" cm="1">
        <f t="array" ref="B186">IF(A186="","",_xlfn.CHOOSECOLS('Prematch Backend 2A'!186:186,_xlfn.MAKEARRAY(1,A186-2,_xlfn.LAMBDA(_xlpm.r,_xlpm.c,_xlpm.c))))</f>
        <v/>
      </c>
    </row>
    <row r="187" spans="2:2" x14ac:dyDescent="0.2">
      <c r="B187" t="str" cm="1">
        <f t="array" ref="B187">IF(A187="","",_xlfn.CHOOSECOLS('Prematch Backend 2A'!187:187,_xlfn.MAKEARRAY(1,A187-2,_xlfn.LAMBDA(_xlpm.r,_xlpm.c,_xlpm.c))))</f>
        <v/>
      </c>
    </row>
    <row r="188" spans="2:2" x14ac:dyDescent="0.2">
      <c r="B188" t="str" cm="1">
        <f t="array" ref="B188">IF(A188="","",_xlfn.CHOOSECOLS('Prematch Backend 2A'!188:188,_xlfn.MAKEARRAY(1,A188-2,_xlfn.LAMBDA(_xlpm.r,_xlpm.c,_xlpm.c))))</f>
        <v/>
      </c>
    </row>
    <row r="189" spans="2:2" x14ac:dyDescent="0.2">
      <c r="B189" t="str" cm="1">
        <f t="array" ref="B189">IF(A189="","",_xlfn.CHOOSECOLS('Prematch Backend 2A'!189:189,_xlfn.MAKEARRAY(1,A189-2,_xlfn.LAMBDA(_xlpm.r,_xlpm.c,_xlpm.c))))</f>
        <v/>
      </c>
    </row>
    <row r="190" spans="2:2" x14ac:dyDescent="0.2">
      <c r="B190" t="str" cm="1">
        <f t="array" ref="B190">IF(A190="","",_xlfn.CHOOSECOLS('Prematch Backend 2A'!190:190,_xlfn.MAKEARRAY(1,A190-2,_xlfn.LAMBDA(_xlpm.r,_xlpm.c,_xlpm.c))))</f>
        <v/>
      </c>
    </row>
    <row r="191" spans="2:2" x14ac:dyDescent="0.2">
      <c r="B191" t="str" cm="1">
        <f t="array" ref="B191">IF(A191="","",_xlfn.CHOOSECOLS('Prematch Backend 2A'!191:191,_xlfn.MAKEARRAY(1,A191-2,_xlfn.LAMBDA(_xlpm.r,_xlpm.c,_xlpm.c))))</f>
        <v/>
      </c>
    </row>
    <row r="192" spans="2:2" x14ac:dyDescent="0.2">
      <c r="B192" t="str" cm="1">
        <f t="array" ref="B192">IF(A192="","",_xlfn.CHOOSECOLS('Prematch Backend 2A'!192:192,_xlfn.MAKEARRAY(1,A192-2,_xlfn.LAMBDA(_xlpm.r,_xlpm.c,_xlpm.c))))</f>
        <v/>
      </c>
    </row>
    <row r="193" spans="2:2" x14ac:dyDescent="0.2">
      <c r="B193" t="str" cm="1">
        <f t="array" ref="B193">IF(A193="","",_xlfn.CHOOSECOLS('Prematch Backend 2A'!193:193,_xlfn.MAKEARRAY(1,A193-2,_xlfn.LAMBDA(_xlpm.r,_xlpm.c,_xlpm.c))))</f>
        <v/>
      </c>
    </row>
    <row r="194" spans="2:2" x14ac:dyDescent="0.2">
      <c r="B194" t="str" cm="1">
        <f t="array" ref="B194">IF(A194="","",_xlfn.CHOOSECOLS('Prematch Backend 2A'!194:194,_xlfn.MAKEARRAY(1,A194-2,_xlfn.LAMBDA(_xlpm.r,_xlpm.c,_xlpm.c))))</f>
        <v/>
      </c>
    </row>
    <row r="195" spans="2:2" x14ac:dyDescent="0.2">
      <c r="B195" t="str" cm="1">
        <f t="array" ref="B195">IF(A195="","",_xlfn.CHOOSECOLS('Prematch Backend 2A'!195:195,_xlfn.MAKEARRAY(1,A195-2,_xlfn.LAMBDA(_xlpm.r,_xlpm.c,_xlpm.c))))</f>
        <v/>
      </c>
    </row>
    <row r="196" spans="2:2" x14ac:dyDescent="0.2">
      <c r="B196" t="str" cm="1">
        <f t="array" ref="B196">IF(A196="","",_xlfn.CHOOSECOLS('Prematch Backend 2A'!196:196,_xlfn.MAKEARRAY(1,A196-2,_xlfn.LAMBDA(_xlpm.r,_xlpm.c,_xlpm.c))))</f>
        <v/>
      </c>
    </row>
    <row r="197" spans="2:2" x14ac:dyDescent="0.2">
      <c r="B197" t="str" cm="1">
        <f t="array" ref="B197">IF(A197="","",_xlfn.CHOOSECOLS('Prematch Backend 2A'!197:197,_xlfn.MAKEARRAY(1,A197-2,_xlfn.LAMBDA(_xlpm.r,_xlpm.c,_xlpm.c))))</f>
        <v/>
      </c>
    </row>
    <row r="198" spans="2:2" x14ac:dyDescent="0.2">
      <c r="B198" t="str" cm="1">
        <f t="array" ref="B198">IF(A198="","",_xlfn.CHOOSECOLS('Prematch Backend 2A'!198:198,_xlfn.MAKEARRAY(1,A198-2,_xlfn.LAMBDA(_xlpm.r,_xlpm.c,_xlpm.c))))</f>
        <v/>
      </c>
    </row>
    <row r="199" spans="2:2" x14ac:dyDescent="0.2">
      <c r="B199" t="str" cm="1">
        <f t="array" ref="B199">IF(A199="","",_xlfn.CHOOSECOLS('Prematch Backend 2A'!199:199,_xlfn.MAKEARRAY(1,A199-2,_xlfn.LAMBDA(_xlpm.r,_xlpm.c,_xlpm.c))))</f>
        <v/>
      </c>
    </row>
    <row r="200" spans="2:2" x14ac:dyDescent="0.2">
      <c r="B200" t="str" cm="1">
        <f t="array" ref="B200">IF(A200="","",_xlfn.CHOOSECOLS('Prematch Backend 2A'!200:200,_xlfn.MAKEARRAY(1,A200-2,_xlfn.LAMBDA(_xlpm.r,_xlpm.c,_xlpm.c))))</f>
        <v/>
      </c>
    </row>
    <row r="201" spans="2:2" x14ac:dyDescent="0.2">
      <c r="B201" t="str" cm="1">
        <f t="array" ref="B201">IF(A201="","",_xlfn.CHOOSECOLS('Prematch Backend 2A'!201:201,_xlfn.MAKEARRAY(1,A201-2,_xlfn.LAMBDA(_xlpm.r,_xlpm.c,_xlpm.c))))</f>
        <v/>
      </c>
    </row>
    <row r="202" spans="2:2" x14ac:dyDescent="0.2">
      <c r="B202" t="str" cm="1">
        <f t="array" ref="B202">IF(A202="","",_xlfn.CHOOSECOLS('Prematch Backend 2A'!202:202,_xlfn.MAKEARRAY(1,A202-2,_xlfn.LAMBDA(_xlpm.r,_xlpm.c,_xlpm.c))))</f>
        <v/>
      </c>
    </row>
    <row r="203" spans="2:2" x14ac:dyDescent="0.2">
      <c r="B203" t="str" cm="1">
        <f t="array" ref="B203">IF(A203="","",_xlfn.CHOOSECOLS('Prematch Backend 2A'!203:203,_xlfn.MAKEARRAY(1,A203-2,_xlfn.LAMBDA(_xlpm.r,_xlpm.c,_xlpm.c))))</f>
        <v/>
      </c>
    </row>
    <row r="204" spans="2:2" x14ac:dyDescent="0.2">
      <c r="B204" t="str" cm="1">
        <f t="array" ref="B204">IF(A204="","",_xlfn.CHOOSECOLS('Prematch Backend 2A'!204:204,_xlfn.MAKEARRAY(1,A204-2,_xlfn.LAMBDA(_xlpm.r,_xlpm.c,_xlpm.c))))</f>
        <v/>
      </c>
    </row>
    <row r="205" spans="2:2" x14ac:dyDescent="0.2">
      <c r="B205" t="str" cm="1">
        <f t="array" ref="B205">IF(A205="","",_xlfn.CHOOSECOLS('Prematch Backend 2A'!205:205,_xlfn.MAKEARRAY(1,A205-2,_xlfn.LAMBDA(_xlpm.r,_xlpm.c,_xlpm.c))))</f>
        <v/>
      </c>
    </row>
    <row r="206" spans="2:2" x14ac:dyDescent="0.2">
      <c r="B206" t="str" cm="1">
        <f t="array" ref="B206">IF(A206="","",_xlfn.CHOOSECOLS('Prematch Backend 2A'!206:206,_xlfn.MAKEARRAY(1,A206-2,_xlfn.LAMBDA(_xlpm.r,_xlpm.c,_xlpm.c))))</f>
        <v/>
      </c>
    </row>
    <row r="207" spans="2:2" x14ac:dyDescent="0.2">
      <c r="B207" t="str" cm="1">
        <f t="array" ref="B207">IF(A207="","",_xlfn.CHOOSECOLS('Prematch Backend 2A'!207:207,_xlfn.MAKEARRAY(1,A207-2,_xlfn.LAMBDA(_xlpm.r,_xlpm.c,_xlpm.c))))</f>
        <v/>
      </c>
    </row>
    <row r="208" spans="2:2" x14ac:dyDescent="0.2">
      <c r="B208" t="str" cm="1">
        <f t="array" ref="B208">IF(A208="","",_xlfn.CHOOSECOLS('Prematch Backend 2A'!208:208,_xlfn.MAKEARRAY(1,A208-2,_xlfn.LAMBDA(_xlpm.r,_xlpm.c,_xlpm.c))))</f>
        <v/>
      </c>
    </row>
    <row r="209" spans="2:2" x14ac:dyDescent="0.2">
      <c r="B209" t="str" cm="1">
        <f t="array" ref="B209">IF(A209="","",_xlfn.CHOOSECOLS('Prematch Backend 2A'!209:209,_xlfn.MAKEARRAY(1,A209-2,_xlfn.LAMBDA(_xlpm.r,_xlpm.c,_xlpm.c))))</f>
        <v/>
      </c>
    </row>
    <row r="210" spans="2:2" x14ac:dyDescent="0.2">
      <c r="B210" t="str" cm="1">
        <f t="array" ref="B210">IF(A210="","",_xlfn.CHOOSECOLS('Prematch Backend 2A'!210:210,_xlfn.MAKEARRAY(1,A210-2,_xlfn.LAMBDA(_xlpm.r,_xlpm.c,_xlpm.c))))</f>
        <v/>
      </c>
    </row>
    <row r="211" spans="2:2" x14ac:dyDescent="0.2">
      <c r="B211" t="str" cm="1">
        <f t="array" ref="B211">IF(A211="","",_xlfn.CHOOSECOLS('Prematch Backend 2A'!211:211,_xlfn.MAKEARRAY(1,A211-2,_xlfn.LAMBDA(_xlpm.r,_xlpm.c,_xlpm.c))))</f>
        <v/>
      </c>
    </row>
    <row r="212" spans="2:2" x14ac:dyDescent="0.2">
      <c r="B212" t="str" cm="1">
        <f t="array" ref="B212">IF(A212="","",_xlfn.CHOOSECOLS('Prematch Backend 2A'!212:212,_xlfn.MAKEARRAY(1,A212-2,_xlfn.LAMBDA(_xlpm.r,_xlpm.c,_xlpm.c))))</f>
        <v/>
      </c>
    </row>
    <row r="213" spans="2:2" x14ac:dyDescent="0.2">
      <c r="B213" t="str" cm="1">
        <f t="array" ref="B213">IF(A213="","",_xlfn.CHOOSECOLS('Prematch Backend 2A'!213:213,_xlfn.MAKEARRAY(1,A213-2,_xlfn.LAMBDA(_xlpm.r,_xlpm.c,_xlpm.c))))</f>
        <v/>
      </c>
    </row>
    <row r="214" spans="2:2" x14ac:dyDescent="0.2">
      <c r="B214" t="str" cm="1">
        <f t="array" ref="B214">IF(A214="","",_xlfn.CHOOSECOLS('Prematch Backend 2A'!214:214,_xlfn.MAKEARRAY(1,A214-2,_xlfn.LAMBDA(_xlpm.r,_xlpm.c,_xlpm.c))))</f>
        <v/>
      </c>
    </row>
    <row r="215" spans="2:2" x14ac:dyDescent="0.2">
      <c r="B215" t="str" cm="1">
        <f t="array" ref="B215">IF(A215="","",_xlfn.CHOOSECOLS('Prematch Backend 2A'!215:215,_xlfn.MAKEARRAY(1,A215-2,_xlfn.LAMBDA(_xlpm.r,_xlpm.c,_xlpm.c))))</f>
        <v/>
      </c>
    </row>
    <row r="216" spans="2:2" x14ac:dyDescent="0.2">
      <c r="B216" t="str" cm="1">
        <f t="array" ref="B216">IF(A216="","",_xlfn.CHOOSECOLS('Prematch Backend 2A'!216:216,_xlfn.MAKEARRAY(1,A216-2,_xlfn.LAMBDA(_xlpm.r,_xlpm.c,_xlpm.c))))</f>
        <v/>
      </c>
    </row>
    <row r="217" spans="2:2" x14ac:dyDescent="0.2">
      <c r="B217" t="str" cm="1">
        <f t="array" ref="B217">IF(A217="","",_xlfn.CHOOSECOLS('Prematch Backend 2A'!217:217,_xlfn.MAKEARRAY(1,A217-2,_xlfn.LAMBDA(_xlpm.r,_xlpm.c,_xlpm.c))))</f>
        <v/>
      </c>
    </row>
    <row r="218" spans="2:2" x14ac:dyDescent="0.2">
      <c r="B218" t="str" cm="1">
        <f t="array" ref="B218">IF(A218="","",_xlfn.CHOOSECOLS('Prematch Backend 2A'!218:218,_xlfn.MAKEARRAY(1,A218-2,_xlfn.LAMBDA(_xlpm.r,_xlpm.c,_xlpm.c))))</f>
        <v/>
      </c>
    </row>
    <row r="219" spans="2:2" x14ac:dyDescent="0.2">
      <c r="B219" t="str" cm="1">
        <f t="array" ref="B219">IF(A219="","",_xlfn.CHOOSECOLS('Prematch Backend 2A'!219:219,_xlfn.MAKEARRAY(1,A219-2,_xlfn.LAMBDA(_xlpm.r,_xlpm.c,_xlpm.c))))</f>
        <v/>
      </c>
    </row>
    <row r="220" spans="2:2" x14ac:dyDescent="0.2">
      <c r="B220" t="str" cm="1">
        <f t="array" ref="B220">IF(A220="","",_xlfn.CHOOSECOLS('Prematch Backend 2A'!220:220,_xlfn.MAKEARRAY(1,A220-2,_xlfn.LAMBDA(_xlpm.r,_xlpm.c,_xlpm.c))))</f>
        <v/>
      </c>
    </row>
    <row r="221" spans="2:2" x14ac:dyDescent="0.2">
      <c r="B221" t="str" cm="1">
        <f t="array" ref="B221">IF(A221="","",_xlfn.CHOOSECOLS('Prematch Backend 2A'!221:221,_xlfn.MAKEARRAY(1,A221-2,_xlfn.LAMBDA(_xlpm.r,_xlpm.c,_xlpm.c))))</f>
        <v/>
      </c>
    </row>
    <row r="222" spans="2:2" x14ac:dyDescent="0.2">
      <c r="B222" t="str" cm="1">
        <f t="array" ref="B222">IF(A222="","",_xlfn.CHOOSECOLS('Prematch Backend 2A'!222:222,_xlfn.MAKEARRAY(1,A222-2,_xlfn.LAMBDA(_xlpm.r,_xlpm.c,_xlpm.c))))</f>
        <v/>
      </c>
    </row>
    <row r="223" spans="2:2" x14ac:dyDescent="0.2">
      <c r="B223" t="str" cm="1">
        <f t="array" ref="B223">IF(A223="","",_xlfn.CHOOSECOLS('Prematch Backend 2A'!223:223,_xlfn.MAKEARRAY(1,A223-2,_xlfn.LAMBDA(_xlpm.r,_xlpm.c,_xlpm.c))))</f>
        <v/>
      </c>
    </row>
    <row r="224" spans="2:2" x14ac:dyDescent="0.2">
      <c r="B224" t="str" cm="1">
        <f t="array" ref="B224">IF(A224="","",_xlfn.CHOOSECOLS('Prematch Backend 2A'!224:224,_xlfn.MAKEARRAY(1,A224-2,_xlfn.LAMBDA(_xlpm.r,_xlpm.c,_xlpm.c))))</f>
        <v/>
      </c>
    </row>
    <row r="225" spans="2:2" x14ac:dyDescent="0.2">
      <c r="B225" t="str" cm="1">
        <f t="array" ref="B225">IF(A225="","",_xlfn.CHOOSECOLS('Prematch Backend 2A'!225:225,_xlfn.MAKEARRAY(1,A225-2,_xlfn.LAMBDA(_xlpm.r,_xlpm.c,_xlpm.c))))</f>
        <v/>
      </c>
    </row>
    <row r="226" spans="2:2" x14ac:dyDescent="0.2">
      <c r="B226" t="str" cm="1">
        <f t="array" ref="B226">IF(A226="","",_xlfn.CHOOSECOLS('Prematch Backend 2A'!226:226,_xlfn.MAKEARRAY(1,A226-2,_xlfn.LAMBDA(_xlpm.r,_xlpm.c,_xlpm.c))))</f>
        <v/>
      </c>
    </row>
    <row r="227" spans="2:2" x14ac:dyDescent="0.2">
      <c r="B227" t="str" cm="1">
        <f t="array" ref="B227">IF(A227="","",_xlfn.CHOOSECOLS('Prematch Backend 2A'!227:227,_xlfn.MAKEARRAY(1,A227-2,_xlfn.LAMBDA(_xlpm.r,_xlpm.c,_xlpm.c))))</f>
        <v/>
      </c>
    </row>
    <row r="228" spans="2:2" x14ac:dyDescent="0.2">
      <c r="B228" t="str" cm="1">
        <f t="array" ref="B228">IF(A228="","",_xlfn.CHOOSECOLS('Prematch Backend 2A'!228:228,_xlfn.MAKEARRAY(1,A228-2,_xlfn.LAMBDA(_xlpm.r,_xlpm.c,_xlpm.c))))</f>
        <v/>
      </c>
    </row>
    <row r="229" spans="2:2" x14ac:dyDescent="0.2">
      <c r="B229" t="str" cm="1">
        <f t="array" ref="B229">IF(A229="","",_xlfn.CHOOSECOLS('Prematch Backend 2A'!229:229,_xlfn.MAKEARRAY(1,A229-2,_xlfn.LAMBDA(_xlpm.r,_xlpm.c,_xlpm.c))))</f>
        <v/>
      </c>
    </row>
    <row r="230" spans="2:2" x14ac:dyDescent="0.2">
      <c r="B230" t="str" cm="1">
        <f t="array" ref="B230">IF(A230="","",_xlfn.CHOOSECOLS('Prematch Backend 2A'!230:230,_xlfn.MAKEARRAY(1,A230-2,_xlfn.LAMBDA(_xlpm.r,_xlpm.c,_xlpm.c))))</f>
        <v/>
      </c>
    </row>
    <row r="231" spans="2:2" x14ac:dyDescent="0.2">
      <c r="B231" t="str" cm="1">
        <f t="array" ref="B231">IF(A231="","",_xlfn.CHOOSECOLS('Prematch Backend 2A'!231:231,_xlfn.MAKEARRAY(1,A231-2,_xlfn.LAMBDA(_xlpm.r,_xlpm.c,_xlpm.c))))</f>
        <v/>
      </c>
    </row>
    <row r="232" spans="2:2" x14ac:dyDescent="0.2">
      <c r="B232" t="str" cm="1">
        <f t="array" ref="B232">IF(A232="","",_xlfn.CHOOSECOLS('Prematch Backend 2A'!232:232,_xlfn.MAKEARRAY(1,A232-2,_xlfn.LAMBDA(_xlpm.r,_xlpm.c,_xlpm.c))))</f>
        <v/>
      </c>
    </row>
    <row r="233" spans="2:2" x14ac:dyDescent="0.2">
      <c r="B233" t="str" cm="1">
        <f t="array" ref="B233">IF(A233="","",_xlfn.CHOOSECOLS('Prematch Backend 2A'!233:233,_xlfn.MAKEARRAY(1,A233-2,_xlfn.LAMBDA(_xlpm.r,_xlpm.c,_xlpm.c))))</f>
        <v/>
      </c>
    </row>
    <row r="234" spans="2:2" x14ac:dyDescent="0.2">
      <c r="B234" t="str" cm="1">
        <f t="array" ref="B234">IF(A234="","",_xlfn.CHOOSECOLS('Prematch Backend 2A'!234:234,_xlfn.MAKEARRAY(1,A234-2,_xlfn.LAMBDA(_xlpm.r,_xlpm.c,_xlpm.c))))</f>
        <v/>
      </c>
    </row>
    <row r="235" spans="2:2" x14ac:dyDescent="0.2">
      <c r="B235" t="str" cm="1">
        <f t="array" ref="B235">IF(A235="","",_xlfn.CHOOSECOLS('Prematch Backend 2A'!235:235,_xlfn.MAKEARRAY(1,A235-2,_xlfn.LAMBDA(_xlpm.r,_xlpm.c,_xlpm.c))))</f>
        <v/>
      </c>
    </row>
    <row r="236" spans="2:2" x14ac:dyDescent="0.2">
      <c r="B236" t="str" cm="1">
        <f t="array" ref="B236">IF(A236="","",_xlfn.CHOOSECOLS('Prematch Backend 2A'!236:236,_xlfn.MAKEARRAY(1,A236-2,_xlfn.LAMBDA(_xlpm.r,_xlpm.c,_xlpm.c))))</f>
        <v/>
      </c>
    </row>
    <row r="237" spans="2:2" x14ac:dyDescent="0.2">
      <c r="B237" t="str" cm="1">
        <f t="array" ref="B237">IF(A237="","",_xlfn.CHOOSECOLS('Prematch Backend 2A'!237:237,_xlfn.MAKEARRAY(1,A237-2,_xlfn.LAMBDA(_xlpm.r,_xlpm.c,_xlpm.c))))</f>
        <v/>
      </c>
    </row>
    <row r="238" spans="2:2" x14ac:dyDescent="0.2">
      <c r="B238" t="str" cm="1">
        <f t="array" ref="B238">IF(A238="","",_xlfn.CHOOSECOLS('Prematch Backend 2A'!238:238,_xlfn.MAKEARRAY(1,A238-2,_xlfn.LAMBDA(_xlpm.r,_xlpm.c,_xlpm.c))))</f>
        <v/>
      </c>
    </row>
    <row r="239" spans="2:2" x14ac:dyDescent="0.2">
      <c r="B239" t="str" cm="1">
        <f t="array" ref="B239">IF(A239="","",_xlfn.CHOOSECOLS('Prematch Backend 2A'!239:239,_xlfn.MAKEARRAY(1,A239-2,_xlfn.LAMBDA(_xlpm.r,_xlpm.c,_xlpm.c))))</f>
        <v/>
      </c>
    </row>
    <row r="240" spans="2:2" x14ac:dyDescent="0.2">
      <c r="B240" t="str" cm="1">
        <f t="array" ref="B240">IF(A240="","",_xlfn.CHOOSECOLS('Prematch Backend 2A'!240:240,_xlfn.MAKEARRAY(1,A240-2,_xlfn.LAMBDA(_xlpm.r,_xlpm.c,_xlpm.c))))</f>
        <v/>
      </c>
    </row>
    <row r="241" spans="2:2" x14ac:dyDescent="0.2">
      <c r="B241" t="str" cm="1">
        <f t="array" ref="B241">IF(A241="","",_xlfn.CHOOSECOLS('Prematch Backend 2A'!241:241,_xlfn.MAKEARRAY(1,A241-2,_xlfn.LAMBDA(_xlpm.r,_xlpm.c,_xlpm.c))))</f>
        <v/>
      </c>
    </row>
    <row r="242" spans="2:2" x14ac:dyDescent="0.2">
      <c r="B242" t="str" cm="1">
        <f t="array" ref="B242">IF(A242="","",_xlfn.CHOOSECOLS('Prematch Backend 2A'!242:242,_xlfn.MAKEARRAY(1,A242-2,_xlfn.LAMBDA(_xlpm.r,_xlpm.c,_xlpm.c))))</f>
        <v/>
      </c>
    </row>
    <row r="243" spans="2:2" x14ac:dyDescent="0.2">
      <c r="B243" t="str" cm="1">
        <f t="array" ref="B243">IF(A243="","",_xlfn.CHOOSECOLS('Prematch Backend 2A'!243:243,_xlfn.MAKEARRAY(1,A243-2,_xlfn.LAMBDA(_xlpm.r,_xlpm.c,_xlpm.c))))</f>
        <v/>
      </c>
    </row>
    <row r="244" spans="2:2" x14ac:dyDescent="0.2">
      <c r="B244" t="str" cm="1">
        <f t="array" ref="B244">IF(A244="","",_xlfn.CHOOSECOLS('Prematch Backend 2A'!244:244,_xlfn.MAKEARRAY(1,A244-2,_xlfn.LAMBDA(_xlpm.r,_xlpm.c,_xlpm.c))))</f>
        <v/>
      </c>
    </row>
    <row r="245" spans="2:2" x14ac:dyDescent="0.2">
      <c r="B245" t="str" cm="1">
        <f t="array" ref="B245">IF(A245="","",_xlfn.CHOOSECOLS('Prematch Backend 2A'!245:245,_xlfn.MAKEARRAY(1,A245-2,_xlfn.LAMBDA(_xlpm.r,_xlpm.c,_xlpm.c))))</f>
        <v/>
      </c>
    </row>
    <row r="246" spans="2:2" x14ac:dyDescent="0.2">
      <c r="B246" t="str" cm="1">
        <f t="array" ref="B246">IF(A246="","",_xlfn.CHOOSECOLS('Prematch Backend 2A'!246:246,_xlfn.MAKEARRAY(1,A246-2,_xlfn.LAMBDA(_xlpm.r,_xlpm.c,_xlpm.c))))</f>
        <v/>
      </c>
    </row>
    <row r="247" spans="2:2" x14ac:dyDescent="0.2">
      <c r="B247" t="str" cm="1">
        <f t="array" ref="B247">IF(A247="","",_xlfn.CHOOSECOLS('Prematch Backend 2A'!247:247,_xlfn.MAKEARRAY(1,A247-2,_xlfn.LAMBDA(_xlpm.r,_xlpm.c,_xlpm.c))))</f>
        <v/>
      </c>
    </row>
    <row r="248" spans="2:2" x14ac:dyDescent="0.2">
      <c r="B248" t="str" cm="1">
        <f t="array" ref="B248">IF(A248="","",_xlfn.CHOOSECOLS('Prematch Backend 2A'!248:248,_xlfn.MAKEARRAY(1,A248-2,_xlfn.LAMBDA(_xlpm.r,_xlpm.c,_xlpm.c))))</f>
        <v/>
      </c>
    </row>
    <row r="249" spans="2:2" x14ac:dyDescent="0.2">
      <c r="B249" t="str" cm="1">
        <f t="array" ref="B249">IF(A249="","",_xlfn.CHOOSECOLS('Prematch Backend 2A'!249:249,_xlfn.MAKEARRAY(1,A249-2,_xlfn.LAMBDA(_xlpm.r,_xlpm.c,_xlpm.c))))</f>
        <v/>
      </c>
    </row>
    <row r="250" spans="2:2" x14ac:dyDescent="0.2">
      <c r="B250" t="str" cm="1">
        <f t="array" ref="B250">IF(A250="","",_xlfn.CHOOSECOLS('Prematch Backend 2A'!250:250,_xlfn.MAKEARRAY(1,A250-2,_xlfn.LAMBDA(_xlpm.r,_xlpm.c,_xlpm.c))))</f>
        <v/>
      </c>
    </row>
    <row r="251" spans="2:2" x14ac:dyDescent="0.2">
      <c r="B251" t="str" cm="1">
        <f t="array" ref="B251">IF(A251="","",_xlfn.CHOOSECOLS('Prematch Backend 2A'!251:251,_xlfn.MAKEARRAY(1,A251-2,_xlfn.LAMBDA(_xlpm.r,_xlpm.c,_xlpm.c))))</f>
        <v/>
      </c>
    </row>
    <row r="252" spans="2:2" x14ac:dyDescent="0.2">
      <c r="B252" t="str" cm="1">
        <f t="array" ref="B252">IF(A252="","",_xlfn.CHOOSECOLS('Prematch Backend 2A'!252:252,_xlfn.MAKEARRAY(1,A252-2,_xlfn.LAMBDA(_xlpm.r,_xlpm.c,_xlpm.c))))</f>
        <v/>
      </c>
    </row>
    <row r="253" spans="2:2" x14ac:dyDescent="0.2">
      <c r="B253" t="str" cm="1">
        <f t="array" ref="B253">IF(A253="","",_xlfn.CHOOSECOLS('Prematch Backend 2A'!253:253,_xlfn.MAKEARRAY(1,A253-2,_xlfn.LAMBDA(_xlpm.r,_xlpm.c,_xlpm.c))))</f>
        <v/>
      </c>
    </row>
    <row r="254" spans="2:2" x14ac:dyDescent="0.2">
      <c r="B254" t="str" cm="1">
        <f t="array" ref="B254">IF(A254="","",_xlfn.CHOOSECOLS('Prematch Backend 2A'!254:254,_xlfn.MAKEARRAY(1,A254-2,_xlfn.LAMBDA(_xlpm.r,_xlpm.c,_xlpm.c))))</f>
        <v/>
      </c>
    </row>
    <row r="255" spans="2:2" x14ac:dyDescent="0.2">
      <c r="B255" t="str" cm="1">
        <f t="array" ref="B255">IF(A255="","",_xlfn.CHOOSECOLS('Prematch Backend 2A'!255:255,_xlfn.MAKEARRAY(1,A255-2,_xlfn.LAMBDA(_xlpm.r,_xlpm.c,_xlpm.c))))</f>
        <v/>
      </c>
    </row>
    <row r="256" spans="2:2" x14ac:dyDescent="0.2">
      <c r="B256" t="str" cm="1">
        <f t="array" ref="B256">IF(A256="","",_xlfn.CHOOSECOLS('Prematch Backend 2A'!256:256,_xlfn.MAKEARRAY(1,A256-2,_xlfn.LAMBDA(_xlpm.r,_xlpm.c,_xlpm.c))))</f>
        <v/>
      </c>
    </row>
    <row r="257" spans="2:2" x14ac:dyDescent="0.2">
      <c r="B257" t="str" cm="1">
        <f t="array" ref="B257">IF(A257="","",_xlfn.CHOOSECOLS('Prematch Backend 2A'!257:257,_xlfn.MAKEARRAY(1,A257-2,_xlfn.LAMBDA(_xlpm.r,_xlpm.c,_xlpm.c))))</f>
        <v/>
      </c>
    </row>
    <row r="258" spans="2:2" x14ac:dyDescent="0.2">
      <c r="B258" t="str" cm="1">
        <f t="array" ref="B258">IF(A258="","",_xlfn.CHOOSECOLS('Prematch Backend 2A'!258:258,_xlfn.MAKEARRAY(1,A258-2,_xlfn.LAMBDA(_xlpm.r,_xlpm.c,_xlpm.c))))</f>
        <v/>
      </c>
    </row>
    <row r="259" spans="2:2" x14ac:dyDescent="0.2">
      <c r="B259" t="str" cm="1">
        <f t="array" ref="B259">IF(A259="","",_xlfn.CHOOSECOLS('Prematch Backend 2A'!259:259,_xlfn.MAKEARRAY(1,A259-2,_xlfn.LAMBDA(_xlpm.r,_xlpm.c,_xlpm.c))))</f>
        <v/>
      </c>
    </row>
    <row r="260" spans="2:2" x14ac:dyDescent="0.2">
      <c r="B260" t="str" cm="1">
        <f t="array" ref="B260">IF(A260="","",_xlfn.CHOOSECOLS('Prematch Backend 2A'!260:260,_xlfn.MAKEARRAY(1,A260-2,_xlfn.LAMBDA(_xlpm.r,_xlpm.c,_xlpm.c))))</f>
        <v/>
      </c>
    </row>
    <row r="261" spans="2:2" x14ac:dyDescent="0.2">
      <c r="B261" t="str" cm="1">
        <f t="array" ref="B261">IF(A261="","",_xlfn.CHOOSECOLS('Prematch Backend 2A'!261:261,_xlfn.MAKEARRAY(1,A261-2,_xlfn.LAMBDA(_xlpm.r,_xlpm.c,_xlpm.c))))</f>
        <v/>
      </c>
    </row>
    <row r="262" spans="2:2" x14ac:dyDescent="0.2">
      <c r="B262" t="str" cm="1">
        <f t="array" ref="B262">IF(A262="","",_xlfn.CHOOSECOLS('Prematch Backend 2A'!262:262,_xlfn.MAKEARRAY(1,A262-2,_xlfn.LAMBDA(_xlpm.r,_xlpm.c,_xlpm.c))))</f>
        <v/>
      </c>
    </row>
    <row r="263" spans="2:2" x14ac:dyDescent="0.2">
      <c r="B263" t="str" cm="1">
        <f t="array" ref="B263">IF(A263="","",_xlfn.CHOOSECOLS('Prematch Backend 2A'!263:263,_xlfn.MAKEARRAY(1,A263-2,_xlfn.LAMBDA(_xlpm.r,_xlpm.c,_xlpm.c))))</f>
        <v/>
      </c>
    </row>
    <row r="264" spans="2:2" x14ac:dyDescent="0.2">
      <c r="B264" t="str" cm="1">
        <f t="array" ref="B264">IF(A264="","",_xlfn.CHOOSECOLS('Prematch Backend 2A'!264:264,_xlfn.MAKEARRAY(1,A264-2,_xlfn.LAMBDA(_xlpm.r,_xlpm.c,_xlpm.c))))</f>
        <v/>
      </c>
    </row>
    <row r="265" spans="2:2" x14ac:dyDescent="0.2">
      <c r="B265" t="str" cm="1">
        <f t="array" ref="B265">IF(A265="","",_xlfn.CHOOSECOLS('Prematch Backend 2A'!265:265,_xlfn.MAKEARRAY(1,A265-2,_xlfn.LAMBDA(_xlpm.r,_xlpm.c,_xlpm.c))))</f>
        <v/>
      </c>
    </row>
    <row r="266" spans="2:2" x14ac:dyDescent="0.2">
      <c r="B266" t="str" cm="1">
        <f t="array" ref="B266">IF(A266="","",_xlfn.CHOOSECOLS('Prematch Backend 2A'!266:266,_xlfn.MAKEARRAY(1,A266-2,_xlfn.LAMBDA(_xlpm.r,_xlpm.c,_xlpm.c))))</f>
        <v/>
      </c>
    </row>
    <row r="267" spans="2:2" x14ac:dyDescent="0.2">
      <c r="B267" t="str" cm="1">
        <f t="array" ref="B267">IF(A267="","",_xlfn.CHOOSECOLS('Prematch Backend 2A'!267:267,_xlfn.MAKEARRAY(1,A267-2,_xlfn.LAMBDA(_xlpm.r,_xlpm.c,_xlpm.c))))</f>
        <v/>
      </c>
    </row>
    <row r="268" spans="2:2" x14ac:dyDescent="0.2">
      <c r="B268" t="str" cm="1">
        <f t="array" ref="B268">IF(A268="","",_xlfn.CHOOSECOLS('Prematch Backend 2A'!268:268,_xlfn.MAKEARRAY(1,A268-2,_xlfn.LAMBDA(_xlpm.r,_xlpm.c,_xlpm.c))))</f>
        <v/>
      </c>
    </row>
    <row r="269" spans="2:2" x14ac:dyDescent="0.2">
      <c r="B269" t="str" cm="1">
        <f t="array" ref="B269">IF(A269="","",_xlfn.CHOOSECOLS('Prematch Backend 2A'!269:269,_xlfn.MAKEARRAY(1,A269-2,_xlfn.LAMBDA(_xlpm.r,_xlpm.c,_xlpm.c))))</f>
        <v/>
      </c>
    </row>
    <row r="270" spans="2:2" x14ac:dyDescent="0.2">
      <c r="B270" t="str" cm="1">
        <f t="array" ref="B270">IF(A270="","",_xlfn.CHOOSECOLS('Prematch Backend 2A'!270:270,_xlfn.MAKEARRAY(1,A270-2,_xlfn.LAMBDA(_xlpm.r,_xlpm.c,_xlpm.c))))</f>
        <v/>
      </c>
    </row>
    <row r="271" spans="2:2" x14ac:dyDescent="0.2">
      <c r="B271" t="str" cm="1">
        <f t="array" ref="B271">IF(A271="","",_xlfn.CHOOSECOLS('Prematch Backend 2A'!271:271,_xlfn.MAKEARRAY(1,A271-2,_xlfn.LAMBDA(_xlpm.r,_xlpm.c,_xlpm.c))))</f>
        <v/>
      </c>
    </row>
    <row r="272" spans="2:2" x14ac:dyDescent="0.2">
      <c r="B272" t="str" cm="1">
        <f t="array" ref="B272">IF(A272="","",_xlfn.CHOOSECOLS('Prematch Backend 2A'!272:272,_xlfn.MAKEARRAY(1,A272-2,_xlfn.LAMBDA(_xlpm.r,_xlpm.c,_xlpm.c))))</f>
        <v/>
      </c>
    </row>
    <row r="273" spans="2:2" x14ac:dyDescent="0.2">
      <c r="B273" t="str" cm="1">
        <f t="array" ref="B273">IF(A273="","",_xlfn.CHOOSECOLS('Prematch Backend 2A'!273:273,_xlfn.MAKEARRAY(1,A273-2,_xlfn.LAMBDA(_xlpm.r,_xlpm.c,_xlpm.c))))</f>
        <v/>
      </c>
    </row>
    <row r="274" spans="2:2" x14ac:dyDescent="0.2">
      <c r="B274" t="str" cm="1">
        <f t="array" ref="B274">IF(A274="","",_xlfn.CHOOSECOLS('Prematch Backend 2A'!274:274,_xlfn.MAKEARRAY(1,A274-2,_xlfn.LAMBDA(_xlpm.r,_xlpm.c,_xlpm.c))))</f>
        <v/>
      </c>
    </row>
    <row r="275" spans="2:2" x14ac:dyDescent="0.2">
      <c r="B275" t="str" cm="1">
        <f t="array" ref="B275">IF(A275="","",_xlfn.CHOOSECOLS('Prematch Backend 2A'!275:275,_xlfn.MAKEARRAY(1,A275-2,_xlfn.LAMBDA(_xlpm.r,_xlpm.c,_xlpm.c))))</f>
        <v/>
      </c>
    </row>
    <row r="276" spans="2:2" x14ac:dyDescent="0.2">
      <c r="B276" t="str" cm="1">
        <f t="array" ref="B276">IF(A276="","",_xlfn.CHOOSECOLS('Prematch Backend 2A'!276:276,_xlfn.MAKEARRAY(1,A276-2,_xlfn.LAMBDA(_xlpm.r,_xlpm.c,_xlpm.c))))</f>
        <v/>
      </c>
    </row>
    <row r="277" spans="2:2" x14ac:dyDescent="0.2">
      <c r="B277" t="str" cm="1">
        <f t="array" ref="B277">IF(A277="","",_xlfn.CHOOSECOLS('Prematch Backend 2A'!277:277,_xlfn.MAKEARRAY(1,A277-2,_xlfn.LAMBDA(_xlpm.r,_xlpm.c,_xlpm.c))))</f>
        <v/>
      </c>
    </row>
    <row r="278" spans="2:2" x14ac:dyDescent="0.2">
      <c r="B278" t="str" cm="1">
        <f t="array" ref="B278">IF(A278="","",_xlfn.CHOOSECOLS('Prematch Backend 2A'!278:278,_xlfn.MAKEARRAY(1,A278-2,_xlfn.LAMBDA(_xlpm.r,_xlpm.c,_xlpm.c))))</f>
        <v/>
      </c>
    </row>
    <row r="279" spans="2:2" x14ac:dyDescent="0.2">
      <c r="B279" t="str" cm="1">
        <f t="array" ref="B279">IF(A279="","",_xlfn.CHOOSECOLS('Prematch Backend 2A'!279:279,_xlfn.MAKEARRAY(1,A279-2,_xlfn.LAMBDA(_xlpm.r,_xlpm.c,_xlpm.c))))</f>
        <v/>
      </c>
    </row>
    <row r="280" spans="2:2" x14ac:dyDescent="0.2">
      <c r="B280" t="str" cm="1">
        <f t="array" ref="B280">IF(A280="","",_xlfn.CHOOSECOLS('Prematch Backend 2A'!280:280,_xlfn.MAKEARRAY(1,A280-2,_xlfn.LAMBDA(_xlpm.r,_xlpm.c,_xlpm.c))))</f>
        <v/>
      </c>
    </row>
    <row r="281" spans="2:2" x14ac:dyDescent="0.2">
      <c r="B281" t="str" cm="1">
        <f t="array" ref="B281">IF(A281="","",_xlfn.CHOOSECOLS('Prematch Backend 2A'!281:281,_xlfn.MAKEARRAY(1,A281-2,_xlfn.LAMBDA(_xlpm.r,_xlpm.c,_xlpm.c))))</f>
        <v/>
      </c>
    </row>
    <row r="282" spans="2:2" x14ac:dyDescent="0.2">
      <c r="B282" t="str" cm="1">
        <f t="array" ref="B282">IF(A282="","",_xlfn.CHOOSECOLS('Prematch Backend 2A'!282:282,_xlfn.MAKEARRAY(1,A282-2,_xlfn.LAMBDA(_xlpm.r,_xlpm.c,_xlpm.c))))</f>
        <v/>
      </c>
    </row>
    <row r="283" spans="2:2" x14ac:dyDescent="0.2">
      <c r="B283" t="str" cm="1">
        <f t="array" ref="B283">IF(A283="","",_xlfn.CHOOSECOLS('Prematch Backend 2A'!283:283,_xlfn.MAKEARRAY(1,A283-2,_xlfn.LAMBDA(_xlpm.r,_xlpm.c,_xlpm.c))))</f>
        <v/>
      </c>
    </row>
    <row r="284" spans="2:2" x14ac:dyDescent="0.2">
      <c r="B284" t="str" cm="1">
        <f t="array" ref="B284">IF(A284="","",_xlfn.CHOOSECOLS('Prematch Backend 2A'!284:284,_xlfn.MAKEARRAY(1,A284-2,_xlfn.LAMBDA(_xlpm.r,_xlpm.c,_xlpm.c))))</f>
        <v/>
      </c>
    </row>
    <row r="285" spans="2:2" x14ac:dyDescent="0.2">
      <c r="B285" t="str" cm="1">
        <f t="array" ref="B285">IF(A285="","",_xlfn.CHOOSECOLS('Prematch Backend 2A'!285:285,_xlfn.MAKEARRAY(1,A285-2,_xlfn.LAMBDA(_xlpm.r,_xlpm.c,_xlpm.c))))</f>
        <v/>
      </c>
    </row>
    <row r="286" spans="2:2" x14ac:dyDescent="0.2">
      <c r="B286" t="str" cm="1">
        <f t="array" ref="B286">IF(A286="","",_xlfn.CHOOSECOLS('Prematch Backend 2A'!286:286,_xlfn.MAKEARRAY(1,A286-2,_xlfn.LAMBDA(_xlpm.r,_xlpm.c,_xlpm.c))))</f>
        <v/>
      </c>
    </row>
    <row r="287" spans="2:2" x14ac:dyDescent="0.2">
      <c r="B287" t="str" cm="1">
        <f t="array" ref="B287">IF(A287="","",_xlfn.CHOOSECOLS('Prematch Backend 2A'!287:287,_xlfn.MAKEARRAY(1,A287-2,_xlfn.LAMBDA(_xlpm.r,_xlpm.c,_xlpm.c))))</f>
        <v/>
      </c>
    </row>
    <row r="288" spans="2:2" x14ac:dyDescent="0.2">
      <c r="B288" t="str" cm="1">
        <f t="array" ref="B288">IF(A288="","",_xlfn.CHOOSECOLS('Prematch Backend 2A'!288:288,_xlfn.MAKEARRAY(1,A288-2,_xlfn.LAMBDA(_xlpm.r,_xlpm.c,_xlpm.c))))</f>
        <v/>
      </c>
    </row>
    <row r="289" spans="2:2" x14ac:dyDescent="0.2">
      <c r="B289" t="str" cm="1">
        <f t="array" ref="B289">IF(A289="","",_xlfn.CHOOSECOLS('Prematch Backend 2A'!289:289,_xlfn.MAKEARRAY(1,A289-2,_xlfn.LAMBDA(_xlpm.r,_xlpm.c,_xlpm.c))))</f>
        <v/>
      </c>
    </row>
    <row r="290" spans="2:2" x14ac:dyDescent="0.2">
      <c r="B290" t="str" cm="1">
        <f t="array" ref="B290">IF(A290="","",_xlfn.CHOOSECOLS('Prematch Backend 2A'!290:290,_xlfn.MAKEARRAY(1,A290-2,_xlfn.LAMBDA(_xlpm.r,_xlpm.c,_xlpm.c))))</f>
        <v/>
      </c>
    </row>
    <row r="291" spans="2:2" x14ac:dyDescent="0.2">
      <c r="B291" t="str" cm="1">
        <f t="array" ref="B291">IF(A291="","",_xlfn.CHOOSECOLS('Prematch Backend 2A'!291:291,_xlfn.MAKEARRAY(1,A291-2,_xlfn.LAMBDA(_xlpm.r,_xlpm.c,_xlpm.c))))</f>
        <v/>
      </c>
    </row>
    <row r="292" spans="2:2" x14ac:dyDescent="0.2">
      <c r="B292" t="str" cm="1">
        <f t="array" ref="B292">IF(A292="","",_xlfn.CHOOSECOLS('Prematch Backend 2A'!292:292,_xlfn.MAKEARRAY(1,A292-2,_xlfn.LAMBDA(_xlpm.r,_xlpm.c,_xlpm.c))))</f>
        <v/>
      </c>
    </row>
    <row r="293" spans="2:2" x14ac:dyDescent="0.2">
      <c r="B293" t="str" cm="1">
        <f t="array" ref="B293">IF(A293="","",_xlfn.CHOOSECOLS('Prematch Backend 2A'!293:293,_xlfn.MAKEARRAY(1,A293-2,_xlfn.LAMBDA(_xlpm.r,_xlpm.c,_xlpm.c))))</f>
        <v/>
      </c>
    </row>
    <row r="294" spans="2:2" x14ac:dyDescent="0.2">
      <c r="B294" t="str" cm="1">
        <f t="array" ref="B294">IF(A294="","",_xlfn.CHOOSECOLS('Prematch Backend 2A'!294:294,_xlfn.MAKEARRAY(1,A294-2,_xlfn.LAMBDA(_xlpm.r,_xlpm.c,_xlpm.c))))</f>
        <v/>
      </c>
    </row>
    <row r="295" spans="2:2" x14ac:dyDescent="0.2">
      <c r="B295" t="str" cm="1">
        <f t="array" ref="B295">IF(A295="","",_xlfn.CHOOSECOLS('Prematch Backend 2A'!295:295,_xlfn.MAKEARRAY(1,A295-2,_xlfn.LAMBDA(_xlpm.r,_xlpm.c,_xlpm.c))))</f>
        <v/>
      </c>
    </row>
    <row r="296" spans="2:2" x14ac:dyDescent="0.2">
      <c r="B296" t="str" cm="1">
        <f t="array" ref="B296">IF(A296="","",_xlfn.CHOOSECOLS('Prematch Backend 2A'!296:296,_xlfn.MAKEARRAY(1,A296-2,_xlfn.LAMBDA(_xlpm.r,_xlpm.c,_xlpm.c))))</f>
        <v/>
      </c>
    </row>
    <row r="297" spans="2:2" x14ac:dyDescent="0.2">
      <c r="B297" t="str" cm="1">
        <f t="array" ref="B297">IF(A297="","",_xlfn.CHOOSECOLS('Prematch Backend 2A'!297:297,_xlfn.MAKEARRAY(1,A297-2,_xlfn.LAMBDA(_xlpm.r,_xlpm.c,_xlpm.c))))</f>
        <v/>
      </c>
    </row>
    <row r="298" spans="2:2" x14ac:dyDescent="0.2">
      <c r="B298" t="str" cm="1">
        <f t="array" ref="B298">IF(A298="","",_xlfn.CHOOSECOLS('Prematch Backend 2A'!298:298,_xlfn.MAKEARRAY(1,A298-2,_xlfn.LAMBDA(_xlpm.r,_xlpm.c,_xlpm.c))))</f>
        <v/>
      </c>
    </row>
    <row r="299" spans="2:2" x14ac:dyDescent="0.2">
      <c r="B299" t="str" cm="1">
        <f t="array" ref="B299">IF(A299="","",_xlfn.CHOOSECOLS('Prematch Backend 2A'!299:299,_xlfn.MAKEARRAY(1,A299-2,_xlfn.LAMBDA(_xlpm.r,_xlpm.c,_xlpm.c))))</f>
        <v/>
      </c>
    </row>
    <row r="300" spans="2:2" x14ac:dyDescent="0.2">
      <c r="B300" t="str" cm="1">
        <f t="array" ref="B300">IF(A300="","",_xlfn.CHOOSECOLS('Prematch Backend 2A'!300:300,_xlfn.MAKEARRAY(1,A300-2,_xlfn.LAMBDA(_xlpm.r,_xlpm.c,_xlpm.c))))</f>
        <v/>
      </c>
    </row>
    <row r="301" spans="2:2" x14ac:dyDescent="0.2">
      <c r="B301" t="str" cm="1">
        <f t="array" ref="B301">IF(A301="","",_xlfn.CHOOSECOLS('Prematch Backend 2A'!301:301,_xlfn.MAKEARRAY(1,A301-2,_xlfn.LAMBDA(_xlpm.r,_xlpm.c,_xlpm.c))))</f>
        <v/>
      </c>
    </row>
    <row r="302" spans="2:2" x14ac:dyDescent="0.2">
      <c r="B302" t="str" cm="1">
        <f t="array" ref="B302">IF(A302="","",_xlfn.CHOOSECOLS('Prematch Backend 2A'!302:302,_xlfn.MAKEARRAY(1,A302-2,_xlfn.LAMBDA(_xlpm.r,_xlpm.c,_xlpm.c))))</f>
        <v/>
      </c>
    </row>
    <row r="303" spans="2:2" x14ac:dyDescent="0.2">
      <c r="B303" t="str" cm="1">
        <f t="array" ref="B303">IF(A303="","",_xlfn.CHOOSECOLS('Prematch Backend 2A'!303:303,_xlfn.MAKEARRAY(1,A303-2,_xlfn.LAMBDA(_xlpm.r,_xlpm.c,_xlpm.c))))</f>
        <v/>
      </c>
    </row>
    <row r="304" spans="2:2" x14ac:dyDescent="0.2">
      <c r="B304" t="str" cm="1">
        <f t="array" ref="B304">IF(A304="","",_xlfn.CHOOSECOLS('Prematch Backend 2A'!304:304,_xlfn.MAKEARRAY(1,A304-2,_xlfn.LAMBDA(_xlpm.r,_xlpm.c,_xlpm.c))))</f>
        <v/>
      </c>
    </row>
    <row r="305" spans="2:2" x14ac:dyDescent="0.2">
      <c r="B305" t="str" cm="1">
        <f t="array" ref="B305">IF(A305="","",_xlfn.CHOOSECOLS('Prematch Backend 2A'!305:305,_xlfn.MAKEARRAY(1,A305-2,_xlfn.LAMBDA(_xlpm.r,_xlpm.c,_xlpm.c))))</f>
        <v/>
      </c>
    </row>
    <row r="306" spans="2:2" x14ac:dyDescent="0.2">
      <c r="B306" t="str" cm="1">
        <f t="array" ref="B306">IF(A306="","",_xlfn.CHOOSECOLS('Prematch Backend 2A'!306:306,_xlfn.MAKEARRAY(1,A306-2,_xlfn.LAMBDA(_xlpm.r,_xlpm.c,_xlpm.c))))</f>
        <v/>
      </c>
    </row>
    <row r="307" spans="2:2" x14ac:dyDescent="0.2">
      <c r="B307" t="str" cm="1">
        <f t="array" ref="B307">IF(A307="","",_xlfn.CHOOSECOLS('Prematch Backend 2A'!307:307,_xlfn.MAKEARRAY(1,A307-2,_xlfn.LAMBDA(_xlpm.r,_xlpm.c,_xlpm.c))))</f>
        <v/>
      </c>
    </row>
    <row r="308" spans="2:2" x14ac:dyDescent="0.2">
      <c r="B308" t="str" cm="1">
        <f t="array" ref="B308">IF(A308="","",_xlfn.CHOOSECOLS('Prematch Backend 2A'!308:308,_xlfn.MAKEARRAY(1,A308-2,_xlfn.LAMBDA(_xlpm.r,_xlpm.c,_xlpm.c))))</f>
        <v/>
      </c>
    </row>
    <row r="309" spans="2:2" x14ac:dyDescent="0.2">
      <c r="B309" t="str" cm="1">
        <f t="array" ref="B309">IF(A309="","",_xlfn.CHOOSECOLS('Prematch Backend 2A'!309:309,_xlfn.MAKEARRAY(1,A309-2,_xlfn.LAMBDA(_xlpm.r,_xlpm.c,_xlpm.c))))</f>
        <v/>
      </c>
    </row>
    <row r="310" spans="2:2" x14ac:dyDescent="0.2">
      <c r="B310" t="str" cm="1">
        <f t="array" ref="B310">IF(A310="","",_xlfn.CHOOSECOLS('Prematch Backend 2A'!310:310,_xlfn.MAKEARRAY(1,A310-2,_xlfn.LAMBDA(_xlpm.r,_xlpm.c,_xlpm.c))))</f>
        <v/>
      </c>
    </row>
    <row r="311" spans="2:2" x14ac:dyDescent="0.2">
      <c r="B311" t="str" cm="1">
        <f t="array" ref="B311">IF(A311="","",_xlfn.CHOOSECOLS('Prematch Backend 2A'!311:311,_xlfn.MAKEARRAY(1,A311-2,_xlfn.LAMBDA(_xlpm.r,_xlpm.c,_xlpm.c))))</f>
        <v/>
      </c>
    </row>
    <row r="312" spans="2:2" x14ac:dyDescent="0.2">
      <c r="B312" t="str" cm="1">
        <f t="array" ref="B312">IF(A312="","",_xlfn.CHOOSECOLS('Prematch Backend 2A'!312:312,_xlfn.MAKEARRAY(1,A312-2,_xlfn.LAMBDA(_xlpm.r,_xlpm.c,_xlpm.c))))</f>
        <v/>
      </c>
    </row>
    <row r="313" spans="2:2" x14ac:dyDescent="0.2">
      <c r="B313" t="str" cm="1">
        <f t="array" ref="B313">IF(A313="","",_xlfn.CHOOSECOLS('Prematch Backend 2A'!313:313,_xlfn.MAKEARRAY(1,A313-2,_xlfn.LAMBDA(_xlpm.r,_xlpm.c,_xlpm.c))))</f>
        <v/>
      </c>
    </row>
    <row r="314" spans="2:2" x14ac:dyDescent="0.2">
      <c r="B314" t="str" cm="1">
        <f t="array" ref="B314">IF(A314="","",_xlfn.CHOOSECOLS('Prematch Backend 2A'!314:314,_xlfn.MAKEARRAY(1,A314-2,_xlfn.LAMBDA(_xlpm.r,_xlpm.c,_xlpm.c))))</f>
        <v/>
      </c>
    </row>
    <row r="315" spans="2:2" x14ac:dyDescent="0.2">
      <c r="B315" t="str" cm="1">
        <f t="array" ref="B315">IF(A315="","",_xlfn.CHOOSECOLS('Prematch Backend 2A'!315:315,_xlfn.MAKEARRAY(1,A315-2,_xlfn.LAMBDA(_xlpm.r,_xlpm.c,_xlpm.c))))</f>
        <v/>
      </c>
    </row>
    <row r="316" spans="2:2" x14ac:dyDescent="0.2">
      <c r="B316" t="str" cm="1">
        <f t="array" ref="B316">IF(A316="","",_xlfn.CHOOSECOLS('Prematch Backend 2A'!316:316,_xlfn.MAKEARRAY(1,A316-2,_xlfn.LAMBDA(_xlpm.r,_xlpm.c,_xlpm.c))))</f>
        <v/>
      </c>
    </row>
    <row r="317" spans="2:2" x14ac:dyDescent="0.2">
      <c r="B317" t="str" cm="1">
        <f t="array" ref="B317">IF(A317="","",_xlfn.CHOOSECOLS('Prematch Backend 2A'!317:317,_xlfn.MAKEARRAY(1,A317-2,_xlfn.LAMBDA(_xlpm.r,_xlpm.c,_xlpm.c))))</f>
        <v/>
      </c>
    </row>
    <row r="318" spans="2:2" x14ac:dyDescent="0.2">
      <c r="B318" t="str" cm="1">
        <f t="array" ref="B318">IF(A318="","",_xlfn.CHOOSECOLS('Prematch Backend 2A'!318:318,_xlfn.MAKEARRAY(1,A318-2,_xlfn.LAMBDA(_xlpm.r,_xlpm.c,_xlpm.c))))</f>
        <v/>
      </c>
    </row>
    <row r="319" spans="2:2" x14ac:dyDescent="0.2">
      <c r="B319" t="str" cm="1">
        <f t="array" ref="B319">IF(A319="","",_xlfn.CHOOSECOLS('Prematch Backend 2A'!319:319,_xlfn.MAKEARRAY(1,A319-2,_xlfn.LAMBDA(_xlpm.r,_xlpm.c,_xlpm.c))))</f>
        <v/>
      </c>
    </row>
    <row r="320" spans="2:2" x14ac:dyDescent="0.2">
      <c r="B320" t="str" cm="1">
        <f t="array" ref="B320">IF(A320="","",_xlfn.CHOOSECOLS('Prematch Backend 2A'!320:320,_xlfn.MAKEARRAY(1,A320-2,_xlfn.LAMBDA(_xlpm.r,_xlpm.c,_xlpm.c))))</f>
        <v/>
      </c>
    </row>
    <row r="321" spans="2:2" x14ac:dyDescent="0.2">
      <c r="B321" t="str" cm="1">
        <f t="array" ref="B321">IF(A321="","",_xlfn.CHOOSECOLS('Prematch Backend 2A'!321:321,_xlfn.MAKEARRAY(1,A321-2,_xlfn.LAMBDA(_xlpm.r,_xlpm.c,_xlpm.c))))</f>
        <v/>
      </c>
    </row>
    <row r="322" spans="2:2" x14ac:dyDescent="0.2">
      <c r="B322" t="str" cm="1">
        <f t="array" ref="B322">IF(A322="","",_xlfn.CHOOSECOLS('Prematch Backend 2A'!322:322,_xlfn.MAKEARRAY(1,A322-2,_xlfn.LAMBDA(_xlpm.r,_xlpm.c,_xlpm.c))))</f>
        <v/>
      </c>
    </row>
    <row r="323" spans="2:2" x14ac:dyDescent="0.2">
      <c r="B323" t="str" cm="1">
        <f t="array" ref="B323">IF(A323="","",_xlfn.CHOOSECOLS('Prematch Backend 2A'!323:323,_xlfn.MAKEARRAY(1,A323-2,_xlfn.LAMBDA(_xlpm.r,_xlpm.c,_xlpm.c))))</f>
        <v/>
      </c>
    </row>
    <row r="324" spans="2:2" x14ac:dyDescent="0.2">
      <c r="B324" t="str" cm="1">
        <f t="array" ref="B324">IF(A324="","",_xlfn.CHOOSECOLS('Prematch Backend 2A'!324:324,_xlfn.MAKEARRAY(1,A324-2,_xlfn.LAMBDA(_xlpm.r,_xlpm.c,_xlpm.c))))</f>
        <v/>
      </c>
    </row>
    <row r="325" spans="2:2" x14ac:dyDescent="0.2">
      <c r="B325" t="str" cm="1">
        <f t="array" ref="B325">IF(A325="","",_xlfn.CHOOSECOLS('Prematch Backend 2A'!325:325,_xlfn.MAKEARRAY(1,A325-2,_xlfn.LAMBDA(_xlpm.r,_xlpm.c,_xlpm.c))))</f>
        <v/>
      </c>
    </row>
    <row r="326" spans="2:2" x14ac:dyDescent="0.2">
      <c r="B326" t="str" cm="1">
        <f t="array" ref="B326">IF(A326="","",_xlfn.CHOOSECOLS('Prematch Backend 2A'!326:326,_xlfn.MAKEARRAY(1,A326-2,_xlfn.LAMBDA(_xlpm.r,_xlpm.c,_xlpm.c))))</f>
        <v/>
      </c>
    </row>
    <row r="327" spans="2:2" x14ac:dyDescent="0.2">
      <c r="B327" t="str" cm="1">
        <f t="array" ref="B327">IF(A327="","",_xlfn.CHOOSECOLS('Prematch Backend 2A'!327:327,_xlfn.MAKEARRAY(1,A327-2,_xlfn.LAMBDA(_xlpm.r,_xlpm.c,_xlpm.c))))</f>
        <v/>
      </c>
    </row>
    <row r="328" spans="2:2" x14ac:dyDescent="0.2">
      <c r="B328" t="str" cm="1">
        <f t="array" ref="B328">IF(A328="","",_xlfn.CHOOSECOLS('Prematch Backend 2A'!328:328,_xlfn.MAKEARRAY(1,A328-2,_xlfn.LAMBDA(_xlpm.r,_xlpm.c,_xlpm.c))))</f>
        <v/>
      </c>
    </row>
    <row r="329" spans="2:2" x14ac:dyDescent="0.2">
      <c r="B329" t="str" cm="1">
        <f t="array" ref="B329">IF(A329="","",_xlfn.CHOOSECOLS('Prematch Backend 2A'!329:329,_xlfn.MAKEARRAY(1,A329-2,_xlfn.LAMBDA(_xlpm.r,_xlpm.c,_xlpm.c))))</f>
        <v/>
      </c>
    </row>
    <row r="330" spans="2:2" x14ac:dyDescent="0.2">
      <c r="B330" t="str" cm="1">
        <f t="array" ref="B330">IF(A330="","",_xlfn.CHOOSECOLS('Prematch Backend 2A'!330:330,_xlfn.MAKEARRAY(1,A330-2,_xlfn.LAMBDA(_xlpm.r,_xlpm.c,_xlpm.c))))</f>
        <v/>
      </c>
    </row>
    <row r="331" spans="2:2" x14ac:dyDescent="0.2">
      <c r="B331" t="str" cm="1">
        <f t="array" ref="B331">IF(A331="","",_xlfn.CHOOSECOLS('Prematch Backend 2A'!331:331,_xlfn.MAKEARRAY(1,A331-2,_xlfn.LAMBDA(_xlpm.r,_xlpm.c,_xlpm.c))))</f>
        <v/>
      </c>
    </row>
    <row r="332" spans="2:2" x14ac:dyDescent="0.2">
      <c r="B332" t="str" cm="1">
        <f t="array" ref="B332">IF(A332="","",_xlfn.CHOOSECOLS('Prematch Backend 2A'!332:332,_xlfn.MAKEARRAY(1,A332-2,_xlfn.LAMBDA(_xlpm.r,_xlpm.c,_xlpm.c))))</f>
        <v/>
      </c>
    </row>
    <row r="333" spans="2:2" x14ac:dyDescent="0.2">
      <c r="B333" t="str" cm="1">
        <f t="array" ref="B333">IF(A333="","",_xlfn.CHOOSECOLS('Prematch Backend 2A'!333:333,_xlfn.MAKEARRAY(1,A333-2,_xlfn.LAMBDA(_xlpm.r,_xlpm.c,_xlpm.c))))</f>
        <v/>
      </c>
    </row>
    <row r="334" spans="2:2" x14ac:dyDescent="0.2">
      <c r="B334" t="str" cm="1">
        <f t="array" ref="B334">IF(A334="","",_xlfn.CHOOSECOLS('Prematch Backend 2A'!334:334,_xlfn.MAKEARRAY(1,A334-2,_xlfn.LAMBDA(_xlpm.r,_xlpm.c,_xlpm.c))))</f>
        <v/>
      </c>
    </row>
    <row r="335" spans="2:2" x14ac:dyDescent="0.2">
      <c r="B335" t="str" cm="1">
        <f t="array" ref="B335">IF(A335="","",_xlfn.CHOOSECOLS('Prematch Backend 2A'!335:335,_xlfn.MAKEARRAY(1,A335-2,_xlfn.LAMBDA(_xlpm.r,_xlpm.c,_xlpm.c))))</f>
        <v/>
      </c>
    </row>
    <row r="336" spans="2:2" x14ac:dyDescent="0.2">
      <c r="B336" t="str" cm="1">
        <f t="array" ref="B336">IF(A336="","",_xlfn.CHOOSECOLS('Prematch Backend 2A'!336:336,_xlfn.MAKEARRAY(1,A336-2,_xlfn.LAMBDA(_xlpm.r,_xlpm.c,_xlpm.c))))</f>
        <v/>
      </c>
    </row>
    <row r="337" spans="2:2" x14ac:dyDescent="0.2">
      <c r="B337" t="str" cm="1">
        <f t="array" ref="B337">IF(A337="","",_xlfn.CHOOSECOLS('Prematch Backend 2A'!337:337,_xlfn.MAKEARRAY(1,A337-2,_xlfn.LAMBDA(_xlpm.r,_xlpm.c,_xlpm.c))))</f>
        <v/>
      </c>
    </row>
    <row r="338" spans="2:2" x14ac:dyDescent="0.2">
      <c r="B338" t="str" cm="1">
        <f t="array" ref="B338">IF(A338="","",_xlfn.CHOOSECOLS('Prematch Backend 2A'!338:338,_xlfn.MAKEARRAY(1,A338-2,_xlfn.LAMBDA(_xlpm.r,_xlpm.c,_xlpm.c))))</f>
        <v/>
      </c>
    </row>
    <row r="339" spans="2:2" x14ac:dyDescent="0.2">
      <c r="B339" t="str" cm="1">
        <f t="array" ref="B339">IF(A339="","",_xlfn.CHOOSECOLS('Prematch Backend 2A'!339:339,_xlfn.MAKEARRAY(1,A339-2,_xlfn.LAMBDA(_xlpm.r,_xlpm.c,_xlpm.c))))</f>
        <v/>
      </c>
    </row>
    <row r="340" spans="2:2" x14ac:dyDescent="0.2">
      <c r="B340" t="str" cm="1">
        <f t="array" ref="B340">IF(A340="","",_xlfn.CHOOSECOLS('Prematch Backend 2A'!340:340,_xlfn.MAKEARRAY(1,A340-2,_xlfn.LAMBDA(_xlpm.r,_xlpm.c,_xlpm.c))))</f>
        <v/>
      </c>
    </row>
    <row r="341" spans="2:2" x14ac:dyDescent="0.2">
      <c r="B341" t="str" cm="1">
        <f t="array" ref="B341">IF(A341="","",_xlfn.CHOOSECOLS('Prematch Backend 2A'!341:341,_xlfn.MAKEARRAY(1,A341-2,_xlfn.LAMBDA(_xlpm.r,_xlpm.c,_xlpm.c))))</f>
        <v/>
      </c>
    </row>
    <row r="342" spans="2:2" x14ac:dyDescent="0.2">
      <c r="B342" t="str" cm="1">
        <f t="array" ref="B342">IF(A342="","",_xlfn.CHOOSECOLS('Prematch Backend 2A'!342:342,_xlfn.MAKEARRAY(1,A342-2,_xlfn.LAMBDA(_xlpm.r,_xlpm.c,_xlpm.c))))</f>
        <v/>
      </c>
    </row>
    <row r="343" spans="2:2" x14ac:dyDescent="0.2">
      <c r="B343" t="str" cm="1">
        <f t="array" ref="B343">IF(A343="","",_xlfn.CHOOSECOLS('Prematch Backend 2A'!343:343,_xlfn.MAKEARRAY(1,A343-2,_xlfn.LAMBDA(_xlpm.r,_xlpm.c,_xlpm.c))))</f>
        <v/>
      </c>
    </row>
    <row r="344" spans="2:2" x14ac:dyDescent="0.2">
      <c r="B344" t="str" cm="1">
        <f t="array" ref="B344">IF(A344="","",_xlfn.CHOOSECOLS('Prematch Backend 2A'!344:344,_xlfn.MAKEARRAY(1,A344-2,_xlfn.LAMBDA(_xlpm.r,_xlpm.c,_xlpm.c))))</f>
        <v/>
      </c>
    </row>
    <row r="345" spans="2:2" x14ac:dyDescent="0.2">
      <c r="B345" t="str" cm="1">
        <f t="array" ref="B345">IF(A345="","",_xlfn.CHOOSECOLS('Prematch Backend 2A'!345:345,_xlfn.MAKEARRAY(1,A345-2,_xlfn.LAMBDA(_xlpm.r,_xlpm.c,_xlpm.c))))</f>
        <v/>
      </c>
    </row>
    <row r="346" spans="2:2" x14ac:dyDescent="0.2">
      <c r="B346" t="str" cm="1">
        <f t="array" ref="B346">IF(A346="","",_xlfn.CHOOSECOLS('Prematch Backend 2A'!346:346,_xlfn.MAKEARRAY(1,A346-2,_xlfn.LAMBDA(_xlpm.r,_xlpm.c,_xlpm.c))))</f>
        <v/>
      </c>
    </row>
    <row r="347" spans="2:2" x14ac:dyDescent="0.2">
      <c r="B347" t="str" cm="1">
        <f t="array" ref="B347">IF(A347="","",_xlfn.CHOOSECOLS('Prematch Backend 2A'!347:347,_xlfn.MAKEARRAY(1,A347-2,_xlfn.LAMBDA(_xlpm.r,_xlpm.c,_xlpm.c))))</f>
        <v/>
      </c>
    </row>
    <row r="348" spans="2:2" x14ac:dyDescent="0.2">
      <c r="B348" t="str" cm="1">
        <f t="array" ref="B348">IF(A348="","",_xlfn.CHOOSECOLS('Prematch Backend 2A'!348:348,_xlfn.MAKEARRAY(1,A348-2,_xlfn.LAMBDA(_xlpm.r,_xlpm.c,_xlpm.c))))</f>
        <v/>
      </c>
    </row>
    <row r="349" spans="2:2" x14ac:dyDescent="0.2">
      <c r="B349" t="str" cm="1">
        <f t="array" ref="B349">IF(A349="","",_xlfn.CHOOSECOLS('Prematch Backend 2A'!349:349,_xlfn.MAKEARRAY(1,A349-2,_xlfn.LAMBDA(_xlpm.r,_xlpm.c,_xlpm.c))))</f>
        <v/>
      </c>
    </row>
    <row r="350" spans="2:2" x14ac:dyDescent="0.2">
      <c r="B350" t="str" cm="1">
        <f t="array" ref="B350">IF(A350="","",_xlfn.CHOOSECOLS('Prematch Backend 2A'!350:350,_xlfn.MAKEARRAY(1,A350-2,_xlfn.LAMBDA(_xlpm.r,_xlpm.c,_xlpm.c))))</f>
        <v/>
      </c>
    </row>
    <row r="351" spans="2:2" x14ac:dyDescent="0.2">
      <c r="B351" t="str" cm="1">
        <f t="array" ref="B351">IF(A351="","",_xlfn.CHOOSECOLS('Prematch Backend 2A'!351:351,_xlfn.MAKEARRAY(1,A351-2,_xlfn.LAMBDA(_xlpm.r,_xlpm.c,_xlpm.c))))</f>
        <v/>
      </c>
    </row>
    <row r="352" spans="2:2" x14ac:dyDescent="0.2">
      <c r="B352" t="str" cm="1">
        <f t="array" ref="B352">IF(A352="","",_xlfn.CHOOSECOLS('Prematch Backend 2A'!352:352,_xlfn.MAKEARRAY(1,A352-2,_xlfn.LAMBDA(_xlpm.r,_xlpm.c,_xlpm.c))))</f>
        <v/>
      </c>
    </row>
    <row r="353" spans="2:2" x14ac:dyDescent="0.2">
      <c r="B353" t="str" cm="1">
        <f t="array" ref="B353">IF(A353="","",_xlfn.CHOOSECOLS('Prematch Backend 2A'!353:353,_xlfn.MAKEARRAY(1,A353-2,_xlfn.LAMBDA(_xlpm.r,_xlpm.c,_xlpm.c))))</f>
        <v/>
      </c>
    </row>
    <row r="354" spans="2:2" x14ac:dyDescent="0.2">
      <c r="B354" t="str" cm="1">
        <f t="array" ref="B354">IF(A354="","",_xlfn.CHOOSECOLS('Prematch Backend 2A'!354:354,_xlfn.MAKEARRAY(1,A354-2,_xlfn.LAMBDA(_xlpm.r,_xlpm.c,_xlpm.c))))</f>
        <v/>
      </c>
    </row>
    <row r="355" spans="2:2" x14ac:dyDescent="0.2">
      <c r="B355" t="str" cm="1">
        <f t="array" ref="B355">IF(A355="","",_xlfn.CHOOSECOLS('Prematch Backend 2A'!355:355,_xlfn.MAKEARRAY(1,A355-2,_xlfn.LAMBDA(_xlpm.r,_xlpm.c,_xlpm.c))))</f>
        <v/>
      </c>
    </row>
    <row r="356" spans="2:2" x14ac:dyDescent="0.2">
      <c r="B356" t="str" cm="1">
        <f t="array" ref="B356">IF(A356="","",_xlfn.CHOOSECOLS('Prematch Backend 2A'!356:356,_xlfn.MAKEARRAY(1,A356-2,_xlfn.LAMBDA(_xlpm.r,_xlpm.c,_xlpm.c))))</f>
        <v/>
      </c>
    </row>
    <row r="357" spans="2:2" x14ac:dyDescent="0.2">
      <c r="B357" t="str" cm="1">
        <f t="array" ref="B357">IF(A357="","",_xlfn.CHOOSECOLS('Prematch Backend 2A'!357:357,_xlfn.MAKEARRAY(1,A357-2,_xlfn.LAMBDA(_xlpm.r,_xlpm.c,_xlpm.c))))</f>
        <v/>
      </c>
    </row>
    <row r="358" spans="2:2" x14ac:dyDescent="0.2">
      <c r="B358" t="str" cm="1">
        <f t="array" ref="B358">IF(A358="","",_xlfn.CHOOSECOLS('Prematch Backend 2A'!358:358,_xlfn.MAKEARRAY(1,A358-2,_xlfn.LAMBDA(_xlpm.r,_xlpm.c,_xlpm.c))))</f>
        <v/>
      </c>
    </row>
    <row r="359" spans="2:2" x14ac:dyDescent="0.2">
      <c r="B359" t="str" cm="1">
        <f t="array" ref="B359">IF(A359="","",_xlfn.CHOOSECOLS('Prematch Backend 2A'!359:359,_xlfn.MAKEARRAY(1,A359-2,_xlfn.LAMBDA(_xlpm.r,_xlpm.c,_xlpm.c))))</f>
        <v/>
      </c>
    </row>
    <row r="360" spans="2:2" x14ac:dyDescent="0.2">
      <c r="B360" t="str" cm="1">
        <f t="array" ref="B360">IF(A360="","",_xlfn.CHOOSECOLS('Prematch Backend 2A'!360:360,_xlfn.MAKEARRAY(1,A360-2,_xlfn.LAMBDA(_xlpm.r,_xlpm.c,_xlpm.c))))</f>
        <v/>
      </c>
    </row>
    <row r="361" spans="2:2" x14ac:dyDescent="0.2">
      <c r="B361" t="str" cm="1">
        <f t="array" ref="B361">IF(A361="","",_xlfn.CHOOSECOLS('Prematch Backend 2A'!361:361,_xlfn.MAKEARRAY(1,A361-2,_xlfn.LAMBDA(_xlpm.r,_xlpm.c,_xlpm.c))))</f>
        <v/>
      </c>
    </row>
    <row r="362" spans="2:2" x14ac:dyDescent="0.2">
      <c r="B362" t="str" cm="1">
        <f t="array" ref="B362">IF(A362="","",_xlfn.CHOOSECOLS('Prematch Backend 2A'!362:362,_xlfn.MAKEARRAY(1,A362-2,_xlfn.LAMBDA(_xlpm.r,_xlpm.c,_xlpm.c))))</f>
        <v/>
      </c>
    </row>
    <row r="363" spans="2:2" x14ac:dyDescent="0.2">
      <c r="B363" t="str" cm="1">
        <f t="array" ref="B363">IF(A363="","",_xlfn.CHOOSECOLS('Prematch Backend 2A'!363:363,_xlfn.MAKEARRAY(1,A363-2,_xlfn.LAMBDA(_xlpm.r,_xlpm.c,_xlpm.c))))</f>
        <v/>
      </c>
    </row>
    <row r="364" spans="2:2" x14ac:dyDescent="0.2">
      <c r="B364" t="str" cm="1">
        <f t="array" ref="B364">IF(A364="","",_xlfn.CHOOSECOLS('Prematch Backend 2A'!364:364,_xlfn.MAKEARRAY(1,A364-2,_xlfn.LAMBDA(_xlpm.r,_xlpm.c,_xlpm.c))))</f>
        <v/>
      </c>
    </row>
    <row r="365" spans="2:2" x14ac:dyDescent="0.2">
      <c r="B365" t="str" cm="1">
        <f t="array" ref="B365">IF(A365="","",_xlfn.CHOOSECOLS('Prematch Backend 2A'!365:365,_xlfn.MAKEARRAY(1,A365-2,_xlfn.LAMBDA(_xlpm.r,_xlpm.c,_xlpm.c))))</f>
        <v/>
      </c>
    </row>
    <row r="366" spans="2:2" x14ac:dyDescent="0.2">
      <c r="B366" t="str" cm="1">
        <f t="array" ref="B366">IF(A366="","",_xlfn.CHOOSECOLS('Prematch Backend 2A'!366:366,_xlfn.MAKEARRAY(1,A366-2,_xlfn.LAMBDA(_xlpm.r,_xlpm.c,_xlpm.c))))</f>
        <v/>
      </c>
    </row>
    <row r="367" spans="2:2" x14ac:dyDescent="0.2">
      <c r="B367" t="str" cm="1">
        <f t="array" ref="B367">IF(A367="","",_xlfn.CHOOSECOLS('Prematch Backend 2A'!367:367,_xlfn.MAKEARRAY(1,A367-2,_xlfn.LAMBDA(_xlpm.r,_xlpm.c,_xlpm.c))))</f>
        <v/>
      </c>
    </row>
    <row r="368" spans="2:2" x14ac:dyDescent="0.2">
      <c r="B368" t="str" cm="1">
        <f t="array" ref="B368">IF(A368="","",_xlfn.CHOOSECOLS('Prematch Backend 2A'!368:368,_xlfn.MAKEARRAY(1,A368-2,_xlfn.LAMBDA(_xlpm.r,_xlpm.c,_xlpm.c))))</f>
        <v/>
      </c>
    </row>
    <row r="369" spans="2:2" x14ac:dyDescent="0.2">
      <c r="B369" t="str" cm="1">
        <f t="array" ref="B369">IF(A369="","",_xlfn.CHOOSECOLS('Prematch Backend 2A'!369:369,_xlfn.MAKEARRAY(1,A369-2,_xlfn.LAMBDA(_xlpm.r,_xlpm.c,_xlpm.c))))</f>
        <v/>
      </c>
    </row>
    <row r="370" spans="2:2" x14ac:dyDescent="0.2">
      <c r="B370" t="str" cm="1">
        <f t="array" ref="B370">IF(A370="","",_xlfn.CHOOSECOLS('Prematch Backend 2A'!370:370,_xlfn.MAKEARRAY(1,A370-2,_xlfn.LAMBDA(_xlpm.r,_xlpm.c,_xlpm.c))))</f>
        <v/>
      </c>
    </row>
    <row r="371" spans="2:2" x14ac:dyDescent="0.2">
      <c r="B371" t="str" cm="1">
        <f t="array" ref="B371">IF(A371="","",_xlfn.CHOOSECOLS('Prematch Backend 2A'!371:371,_xlfn.MAKEARRAY(1,A371-2,_xlfn.LAMBDA(_xlpm.r,_xlpm.c,_xlpm.c))))</f>
        <v/>
      </c>
    </row>
    <row r="372" spans="2:2" x14ac:dyDescent="0.2">
      <c r="B372" t="str" cm="1">
        <f t="array" ref="B372">IF(A372="","",_xlfn.CHOOSECOLS('Prematch Backend 2A'!372:372,_xlfn.MAKEARRAY(1,A372-2,_xlfn.LAMBDA(_xlpm.r,_xlpm.c,_xlpm.c))))</f>
        <v/>
      </c>
    </row>
    <row r="373" spans="2:2" x14ac:dyDescent="0.2">
      <c r="B373" t="str" cm="1">
        <f t="array" ref="B373">IF(A373="","",_xlfn.CHOOSECOLS('Prematch Backend 2A'!373:373,_xlfn.MAKEARRAY(1,A373-2,_xlfn.LAMBDA(_xlpm.r,_xlpm.c,_xlpm.c))))</f>
        <v/>
      </c>
    </row>
    <row r="374" spans="2:2" x14ac:dyDescent="0.2">
      <c r="B374" t="str" cm="1">
        <f t="array" ref="B374">IF(A374="","",_xlfn.CHOOSECOLS('Prematch Backend 2A'!374:374,_xlfn.MAKEARRAY(1,A374-2,_xlfn.LAMBDA(_xlpm.r,_xlpm.c,_xlpm.c))))</f>
        <v/>
      </c>
    </row>
    <row r="375" spans="2:2" x14ac:dyDescent="0.2">
      <c r="B375" t="str" cm="1">
        <f t="array" ref="B375">IF(A375="","",_xlfn.CHOOSECOLS('Prematch Backend 2A'!375:375,_xlfn.MAKEARRAY(1,A375-2,_xlfn.LAMBDA(_xlpm.r,_xlpm.c,_xlpm.c))))</f>
        <v/>
      </c>
    </row>
    <row r="376" spans="2:2" x14ac:dyDescent="0.2">
      <c r="B376" t="str" cm="1">
        <f t="array" ref="B376">IF(A376="","",_xlfn.CHOOSECOLS('Prematch Backend 2A'!376:376,_xlfn.MAKEARRAY(1,A376-2,_xlfn.LAMBDA(_xlpm.r,_xlpm.c,_xlpm.c))))</f>
        <v/>
      </c>
    </row>
    <row r="377" spans="2:2" x14ac:dyDescent="0.2">
      <c r="B377" t="str" cm="1">
        <f t="array" ref="B377">IF(A377="","",_xlfn.CHOOSECOLS('Prematch Backend 2A'!377:377,_xlfn.MAKEARRAY(1,A377-2,_xlfn.LAMBDA(_xlpm.r,_xlpm.c,_xlpm.c))))</f>
        <v/>
      </c>
    </row>
    <row r="378" spans="2:2" x14ac:dyDescent="0.2">
      <c r="B378" t="str" cm="1">
        <f t="array" ref="B378">IF(A378="","",_xlfn.CHOOSECOLS('Prematch Backend 2A'!378:378,_xlfn.MAKEARRAY(1,A378-2,_xlfn.LAMBDA(_xlpm.r,_xlpm.c,_xlpm.c))))</f>
        <v/>
      </c>
    </row>
    <row r="379" spans="2:2" x14ac:dyDescent="0.2">
      <c r="B379" t="str" cm="1">
        <f t="array" ref="B379">IF(A379="","",_xlfn.CHOOSECOLS('Prematch Backend 2A'!379:379,_xlfn.MAKEARRAY(1,A379-2,_xlfn.LAMBDA(_xlpm.r,_xlpm.c,_xlpm.c))))</f>
        <v/>
      </c>
    </row>
    <row r="380" spans="2:2" x14ac:dyDescent="0.2">
      <c r="B380" t="str" cm="1">
        <f t="array" ref="B380">IF(A380="","",_xlfn.CHOOSECOLS('Prematch Backend 2A'!380:380,_xlfn.MAKEARRAY(1,A380-2,_xlfn.LAMBDA(_xlpm.r,_xlpm.c,_xlpm.c))))</f>
        <v/>
      </c>
    </row>
    <row r="381" spans="2:2" x14ac:dyDescent="0.2">
      <c r="B381" t="str" cm="1">
        <f t="array" ref="B381">IF(A381="","",_xlfn.CHOOSECOLS('Prematch Backend 2A'!381:381,_xlfn.MAKEARRAY(1,A381-2,_xlfn.LAMBDA(_xlpm.r,_xlpm.c,_xlpm.c))))</f>
        <v/>
      </c>
    </row>
    <row r="382" spans="2:2" x14ac:dyDescent="0.2">
      <c r="B382" t="str" cm="1">
        <f t="array" ref="B382">IF(A382="","",_xlfn.CHOOSECOLS('Prematch Backend 2A'!382:382,_xlfn.MAKEARRAY(1,A382-2,_xlfn.LAMBDA(_xlpm.r,_xlpm.c,_xlpm.c))))</f>
        <v/>
      </c>
    </row>
    <row r="383" spans="2:2" x14ac:dyDescent="0.2">
      <c r="B383" t="str" cm="1">
        <f t="array" ref="B383">IF(A383="","",_xlfn.CHOOSECOLS('Prematch Backend 2A'!383:383,_xlfn.MAKEARRAY(1,A383-2,_xlfn.LAMBDA(_xlpm.r,_xlpm.c,_xlpm.c))))</f>
        <v/>
      </c>
    </row>
    <row r="384" spans="2:2" x14ac:dyDescent="0.2">
      <c r="B384" t="str" cm="1">
        <f t="array" ref="B384">IF(A384="","",_xlfn.CHOOSECOLS('Prematch Backend 2A'!384:384,_xlfn.MAKEARRAY(1,A384-2,_xlfn.LAMBDA(_xlpm.r,_xlpm.c,_xlpm.c))))</f>
        <v/>
      </c>
    </row>
    <row r="385" spans="2:2" x14ac:dyDescent="0.2">
      <c r="B385" t="str" cm="1">
        <f t="array" ref="B385">IF(A385="","",_xlfn.CHOOSECOLS('Prematch Backend 2A'!385:385,_xlfn.MAKEARRAY(1,A385-2,_xlfn.LAMBDA(_xlpm.r,_xlpm.c,_xlpm.c))))</f>
        <v/>
      </c>
    </row>
    <row r="386" spans="2:2" x14ac:dyDescent="0.2">
      <c r="B386" t="str" cm="1">
        <f t="array" ref="B386">IF(A386="","",_xlfn.CHOOSECOLS('Prematch Backend 2A'!386:386,_xlfn.MAKEARRAY(1,A386-2,_xlfn.LAMBDA(_xlpm.r,_xlpm.c,_xlpm.c))))</f>
        <v/>
      </c>
    </row>
    <row r="387" spans="2:2" x14ac:dyDescent="0.2">
      <c r="B387" t="str" cm="1">
        <f t="array" ref="B387">IF(A387="","",_xlfn.CHOOSECOLS('Prematch Backend 2A'!387:387,_xlfn.MAKEARRAY(1,A387-2,_xlfn.LAMBDA(_xlpm.r,_xlpm.c,_xlpm.c))))</f>
        <v/>
      </c>
    </row>
    <row r="388" spans="2:2" x14ac:dyDescent="0.2">
      <c r="B388" t="str" cm="1">
        <f t="array" ref="B388">IF(A388="","",_xlfn.CHOOSECOLS('Prematch Backend 2A'!388:388,_xlfn.MAKEARRAY(1,A388-2,_xlfn.LAMBDA(_xlpm.r,_xlpm.c,_xlpm.c))))</f>
        <v/>
      </c>
    </row>
    <row r="389" spans="2:2" x14ac:dyDescent="0.2">
      <c r="B389" t="str" cm="1">
        <f t="array" ref="B389">IF(A389="","",_xlfn.CHOOSECOLS('Prematch Backend 2A'!389:389,_xlfn.MAKEARRAY(1,A389-2,_xlfn.LAMBDA(_xlpm.r,_xlpm.c,_xlpm.c))))</f>
        <v/>
      </c>
    </row>
    <row r="390" spans="2:2" x14ac:dyDescent="0.2">
      <c r="B390" t="str" cm="1">
        <f t="array" ref="B390">IF(A390="","",_xlfn.CHOOSECOLS('Prematch Backend 2A'!390:390,_xlfn.MAKEARRAY(1,A390-2,_xlfn.LAMBDA(_xlpm.r,_xlpm.c,_xlpm.c))))</f>
        <v/>
      </c>
    </row>
    <row r="391" spans="2:2" x14ac:dyDescent="0.2">
      <c r="B391" t="str" cm="1">
        <f t="array" ref="B391">IF(A391="","",_xlfn.CHOOSECOLS('Prematch Backend 2A'!391:391,_xlfn.MAKEARRAY(1,A391-2,_xlfn.LAMBDA(_xlpm.r,_xlpm.c,_xlpm.c))))</f>
        <v/>
      </c>
    </row>
    <row r="392" spans="2:2" x14ac:dyDescent="0.2">
      <c r="B392" t="str" cm="1">
        <f t="array" ref="B392">IF(A392="","",_xlfn.CHOOSECOLS('Prematch Backend 2A'!392:392,_xlfn.MAKEARRAY(1,A392-2,_xlfn.LAMBDA(_xlpm.r,_xlpm.c,_xlpm.c))))</f>
        <v/>
      </c>
    </row>
    <row r="393" spans="2:2" x14ac:dyDescent="0.2">
      <c r="B393" t="str" cm="1">
        <f t="array" ref="B393">IF(A393="","",_xlfn.CHOOSECOLS('Prematch Backend 2A'!393:393,_xlfn.MAKEARRAY(1,A393-2,_xlfn.LAMBDA(_xlpm.r,_xlpm.c,_xlpm.c))))</f>
        <v/>
      </c>
    </row>
    <row r="394" spans="2:2" x14ac:dyDescent="0.2">
      <c r="B394" t="str" cm="1">
        <f t="array" ref="B394">IF(A394="","",_xlfn.CHOOSECOLS('Prematch Backend 2A'!394:394,_xlfn.MAKEARRAY(1,A394-2,_xlfn.LAMBDA(_xlpm.r,_xlpm.c,_xlpm.c))))</f>
        <v/>
      </c>
    </row>
    <row r="395" spans="2:2" x14ac:dyDescent="0.2">
      <c r="B395" t="str" cm="1">
        <f t="array" ref="B395">IF(A395="","",_xlfn.CHOOSECOLS('Prematch Backend 2A'!395:395,_xlfn.MAKEARRAY(1,A395-2,_xlfn.LAMBDA(_xlpm.r,_xlpm.c,_xlpm.c))))</f>
        <v/>
      </c>
    </row>
    <row r="396" spans="2:2" x14ac:dyDescent="0.2">
      <c r="B396" t="str" cm="1">
        <f t="array" ref="B396">IF(A396="","",_xlfn.CHOOSECOLS('Prematch Backend 2A'!396:396,_xlfn.MAKEARRAY(1,A396-2,_xlfn.LAMBDA(_xlpm.r,_xlpm.c,_xlpm.c))))</f>
        <v/>
      </c>
    </row>
    <row r="397" spans="2:2" x14ac:dyDescent="0.2">
      <c r="B397" t="str" cm="1">
        <f t="array" ref="B397">IF(A397="","",_xlfn.CHOOSECOLS('Prematch Backend 2A'!397:397,_xlfn.MAKEARRAY(1,A397-2,_xlfn.LAMBDA(_xlpm.r,_xlpm.c,_xlpm.c))))</f>
        <v/>
      </c>
    </row>
    <row r="398" spans="2:2" x14ac:dyDescent="0.2">
      <c r="B398" t="str" cm="1">
        <f t="array" ref="B398">IF(A398="","",_xlfn.CHOOSECOLS('Prematch Backend 2A'!398:398,_xlfn.MAKEARRAY(1,A398-2,_xlfn.LAMBDA(_xlpm.r,_xlpm.c,_xlpm.c))))</f>
        <v/>
      </c>
    </row>
    <row r="399" spans="2:2" x14ac:dyDescent="0.2">
      <c r="B399" t="str" cm="1">
        <f t="array" ref="B399">IF(A399="","",_xlfn.CHOOSECOLS('Prematch Backend 2A'!399:399,_xlfn.MAKEARRAY(1,A399-2,_xlfn.LAMBDA(_xlpm.r,_xlpm.c,_xlpm.c))))</f>
        <v/>
      </c>
    </row>
    <row r="400" spans="2:2" x14ac:dyDescent="0.2">
      <c r="B400" t="str" cm="1">
        <f t="array" ref="B400">IF(A400="","",_xlfn.CHOOSECOLS('Prematch Backend 2A'!400:400,_xlfn.MAKEARRAY(1,A400-2,_xlfn.LAMBDA(_xlpm.r,_xlpm.c,_xlpm.c))))</f>
        <v/>
      </c>
    </row>
    <row r="401" spans="2:2" x14ac:dyDescent="0.2">
      <c r="B401" t="str" cm="1">
        <f t="array" ref="B401">IF(A401="","",_xlfn.CHOOSECOLS('Prematch Backend 2A'!401:401,_xlfn.MAKEARRAY(1,A401-2,_xlfn.LAMBDA(_xlpm.r,_xlpm.c,_xlpm.c))))</f>
        <v/>
      </c>
    </row>
    <row r="402" spans="2:2" x14ac:dyDescent="0.2">
      <c r="B402" t="str" cm="1">
        <f t="array" ref="B402">IF(A402="","",_xlfn.CHOOSECOLS('Prematch Backend 2A'!402:402,_xlfn.MAKEARRAY(1,A402-2,_xlfn.LAMBDA(_xlpm.r,_xlpm.c,_xlpm.c))))</f>
        <v/>
      </c>
    </row>
    <row r="403" spans="2:2" x14ac:dyDescent="0.2">
      <c r="B403" t="str" cm="1">
        <f t="array" ref="B403">IF(A403="","",_xlfn.CHOOSECOLS('Prematch Backend 2A'!403:403,_xlfn.MAKEARRAY(1,A403-2,_xlfn.LAMBDA(_xlpm.r,_xlpm.c,_xlpm.c))))</f>
        <v/>
      </c>
    </row>
    <row r="404" spans="2:2" x14ac:dyDescent="0.2">
      <c r="B404" t="str" cm="1">
        <f t="array" ref="B404">IF(A404="","",_xlfn.CHOOSECOLS('Prematch Backend 2A'!404:404,_xlfn.MAKEARRAY(1,A404-2,_xlfn.LAMBDA(_xlpm.r,_xlpm.c,_xlpm.c))))</f>
        <v/>
      </c>
    </row>
    <row r="405" spans="2:2" x14ac:dyDescent="0.2">
      <c r="B405" t="str" cm="1">
        <f t="array" ref="B405">IF(A405="","",_xlfn.CHOOSECOLS('Prematch Backend 2A'!405:405,_xlfn.MAKEARRAY(1,A405-2,_xlfn.LAMBDA(_xlpm.r,_xlpm.c,_xlpm.c))))</f>
        <v/>
      </c>
    </row>
    <row r="406" spans="2:2" x14ac:dyDescent="0.2">
      <c r="B406" t="str" cm="1">
        <f t="array" ref="B406">IF(A406="","",_xlfn.CHOOSECOLS('Prematch Backend 2A'!406:406,_xlfn.MAKEARRAY(1,A406-2,_xlfn.LAMBDA(_xlpm.r,_xlpm.c,_xlpm.c))))</f>
        <v/>
      </c>
    </row>
    <row r="407" spans="2:2" x14ac:dyDescent="0.2">
      <c r="B407" t="str" cm="1">
        <f t="array" ref="B407">IF(A407="","",_xlfn.CHOOSECOLS('Prematch Backend 2A'!407:407,_xlfn.MAKEARRAY(1,A407-2,_xlfn.LAMBDA(_xlpm.r,_xlpm.c,_xlpm.c))))</f>
        <v/>
      </c>
    </row>
    <row r="408" spans="2:2" x14ac:dyDescent="0.2">
      <c r="B408" t="str" cm="1">
        <f t="array" ref="B408">IF(A408="","",_xlfn.CHOOSECOLS('Prematch Backend 2A'!408:408,_xlfn.MAKEARRAY(1,A408-2,_xlfn.LAMBDA(_xlpm.r,_xlpm.c,_xlpm.c))))</f>
        <v/>
      </c>
    </row>
    <row r="409" spans="2:2" x14ac:dyDescent="0.2">
      <c r="B409" t="str" cm="1">
        <f t="array" ref="B409">IF(A409="","",_xlfn.CHOOSECOLS('Prematch Backend 2A'!409:409,_xlfn.MAKEARRAY(1,A409-2,_xlfn.LAMBDA(_xlpm.r,_xlpm.c,_xlpm.c))))</f>
        <v/>
      </c>
    </row>
    <row r="410" spans="2:2" x14ac:dyDescent="0.2">
      <c r="B410" t="str" cm="1">
        <f t="array" ref="B410">IF(A410="","",_xlfn.CHOOSECOLS('Prematch Backend 2A'!410:410,_xlfn.MAKEARRAY(1,A410-2,_xlfn.LAMBDA(_xlpm.r,_xlpm.c,_xlpm.c))))</f>
        <v/>
      </c>
    </row>
    <row r="411" spans="2:2" x14ac:dyDescent="0.2">
      <c r="B411" t="str" cm="1">
        <f t="array" ref="B411">IF(A411="","",_xlfn.CHOOSECOLS('Prematch Backend 2A'!411:411,_xlfn.MAKEARRAY(1,A411-2,_xlfn.LAMBDA(_xlpm.r,_xlpm.c,_xlpm.c))))</f>
        <v/>
      </c>
    </row>
    <row r="412" spans="2:2" x14ac:dyDescent="0.2">
      <c r="B412" t="str" cm="1">
        <f t="array" ref="B412">IF(A412="","",_xlfn.CHOOSECOLS('Prematch Backend 2A'!412:412,_xlfn.MAKEARRAY(1,A412-2,_xlfn.LAMBDA(_xlpm.r,_xlpm.c,_xlpm.c))))</f>
        <v/>
      </c>
    </row>
    <row r="413" spans="2:2" x14ac:dyDescent="0.2">
      <c r="B413" t="str" cm="1">
        <f t="array" ref="B413">IF(A413="","",_xlfn.CHOOSECOLS('Prematch Backend 2A'!413:413,_xlfn.MAKEARRAY(1,A413-2,_xlfn.LAMBDA(_xlpm.r,_xlpm.c,_xlpm.c))))</f>
        <v/>
      </c>
    </row>
    <row r="414" spans="2:2" x14ac:dyDescent="0.2">
      <c r="B414" t="str" cm="1">
        <f t="array" ref="B414">IF(A414="","",_xlfn.CHOOSECOLS('Prematch Backend 2A'!414:414,_xlfn.MAKEARRAY(1,A414-2,_xlfn.LAMBDA(_xlpm.r,_xlpm.c,_xlpm.c))))</f>
        <v/>
      </c>
    </row>
    <row r="415" spans="2:2" x14ac:dyDescent="0.2">
      <c r="B415" t="str" cm="1">
        <f t="array" ref="B415">IF(A415="","",_xlfn.CHOOSECOLS('Prematch Backend 2A'!415:415,_xlfn.MAKEARRAY(1,A415-2,_xlfn.LAMBDA(_xlpm.r,_xlpm.c,_xlpm.c))))</f>
        <v/>
      </c>
    </row>
    <row r="416" spans="2:2" x14ac:dyDescent="0.2">
      <c r="B416" t="str" cm="1">
        <f t="array" ref="B416">IF(A416="","",_xlfn.CHOOSECOLS('Prematch Backend 2A'!416:416,_xlfn.MAKEARRAY(1,A416-2,_xlfn.LAMBDA(_xlpm.r,_xlpm.c,_xlpm.c))))</f>
        <v/>
      </c>
    </row>
    <row r="417" spans="2:2" x14ac:dyDescent="0.2">
      <c r="B417" t="str" cm="1">
        <f t="array" ref="B417">IF(A417="","",_xlfn.CHOOSECOLS('Prematch Backend 2A'!417:417,_xlfn.MAKEARRAY(1,A417-2,_xlfn.LAMBDA(_xlpm.r,_xlpm.c,_xlpm.c))))</f>
        <v/>
      </c>
    </row>
    <row r="418" spans="2:2" x14ac:dyDescent="0.2">
      <c r="B418" t="str" cm="1">
        <f t="array" ref="B418">IF(A418="","",_xlfn.CHOOSECOLS('Prematch Backend 2A'!418:418,_xlfn.MAKEARRAY(1,A418-2,_xlfn.LAMBDA(_xlpm.r,_xlpm.c,_xlpm.c))))</f>
        <v/>
      </c>
    </row>
    <row r="419" spans="2:2" x14ac:dyDescent="0.2">
      <c r="B419" t="str" cm="1">
        <f t="array" ref="B419">IF(A419="","",_xlfn.CHOOSECOLS('Prematch Backend 2A'!419:419,_xlfn.MAKEARRAY(1,A419-2,_xlfn.LAMBDA(_xlpm.r,_xlpm.c,_xlpm.c))))</f>
        <v/>
      </c>
    </row>
    <row r="420" spans="2:2" x14ac:dyDescent="0.2">
      <c r="B420" t="str" cm="1">
        <f t="array" ref="B420">IF(A420="","",_xlfn.CHOOSECOLS('Prematch Backend 2A'!420:420,_xlfn.MAKEARRAY(1,A420-2,_xlfn.LAMBDA(_xlpm.r,_xlpm.c,_xlpm.c))))</f>
        <v/>
      </c>
    </row>
    <row r="421" spans="2:2" x14ac:dyDescent="0.2">
      <c r="B421" t="str" cm="1">
        <f t="array" ref="B421">IF(A421="","",_xlfn.CHOOSECOLS('Prematch Backend 2A'!421:421,_xlfn.MAKEARRAY(1,A421-2,_xlfn.LAMBDA(_xlpm.r,_xlpm.c,_xlpm.c))))</f>
        <v/>
      </c>
    </row>
    <row r="422" spans="2:2" x14ac:dyDescent="0.2">
      <c r="B422" t="str" cm="1">
        <f t="array" ref="B422">IF(A422="","",_xlfn.CHOOSECOLS('Prematch Backend 2A'!422:422,_xlfn.MAKEARRAY(1,A422-2,_xlfn.LAMBDA(_xlpm.r,_xlpm.c,_xlpm.c))))</f>
        <v/>
      </c>
    </row>
    <row r="423" spans="2:2" x14ac:dyDescent="0.2">
      <c r="B423" t="str" cm="1">
        <f t="array" ref="B423">IF(A423="","",_xlfn.CHOOSECOLS('Prematch Backend 2A'!423:423,_xlfn.MAKEARRAY(1,A423-2,_xlfn.LAMBDA(_xlpm.r,_xlpm.c,_xlpm.c))))</f>
        <v/>
      </c>
    </row>
    <row r="424" spans="2:2" x14ac:dyDescent="0.2">
      <c r="B424" t="str" cm="1">
        <f t="array" ref="B424">IF(A424="","",_xlfn.CHOOSECOLS('Prematch Backend 2A'!424:424,_xlfn.MAKEARRAY(1,A424-2,_xlfn.LAMBDA(_xlpm.r,_xlpm.c,_xlpm.c))))</f>
        <v/>
      </c>
    </row>
    <row r="425" spans="2:2" x14ac:dyDescent="0.2">
      <c r="B425" t="str" cm="1">
        <f t="array" ref="B425">IF(A425="","",_xlfn.CHOOSECOLS('Prematch Backend 2A'!425:425,_xlfn.MAKEARRAY(1,A425-2,_xlfn.LAMBDA(_xlpm.r,_xlpm.c,_xlpm.c))))</f>
        <v/>
      </c>
    </row>
    <row r="426" spans="2:2" x14ac:dyDescent="0.2">
      <c r="B426" t="str" cm="1">
        <f t="array" ref="B426">IF(A426="","",_xlfn.CHOOSECOLS('Prematch Backend 2A'!426:426,_xlfn.MAKEARRAY(1,A426-2,_xlfn.LAMBDA(_xlpm.r,_xlpm.c,_xlpm.c))))</f>
        <v/>
      </c>
    </row>
    <row r="427" spans="2:2" x14ac:dyDescent="0.2">
      <c r="B427" t="str" cm="1">
        <f t="array" ref="B427">IF(A427="","",_xlfn.CHOOSECOLS('Prematch Backend 2A'!427:427,_xlfn.MAKEARRAY(1,A427-2,_xlfn.LAMBDA(_xlpm.r,_xlpm.c,_xlpm.c))))</f>
        <v/>
      </c>
    </row>
    <row r="428" spans="2:2" x14ac:dyDescent="0.2">
      <c r="B428" t="str" cm="1">
        <f t="array" ref="B428">IF(A428="","",_xlfn.CHOOSECOLS('Prematch Backend 2A'!428:428,_xlfn.MAKEARRAY(1,A428-2,_xlfn.LAMBDA(_xlpm.r,_xlpm.c,_xlpm.c))))</f>
        <v/>
      </c>
    </row>
    <row r="429" spans="2:2" x14ac:dyDescent="0.2">
      <c r="B429" t="str" cm="1">
        <f t="array" ref="B429">IF(A429="","",_xlfn.CHOOSECOLS('Prematch Backend 2A'!429:429,_xlfn.MAKEARRAY(1,A429-2,_xlfn.LAMBDA(_xlpm.r,_xlpm.c,_xlpm.c))))</f>
        <v/>
      </c>
    </row>
    <row r="430" spans="2:2" x14ac:dyDescent="0.2">
      <c r="B430" t="str" cm="1">
        <f t="array" ref="B430">IF(A430="","",_xlfn.CHOOSECOLS('Prematch Backend 2A'!430:430,_xlfn.MAKEARRAY(1,A430-2,_xlfn.LAMBDA(_xlpm.r,_xlpm.c,_xlpm.c))))</f>
        <v/>
      </c>
    </row>
    <row r="431" spans="2:2" x14ac:dyDescent="0.2">
      <c r="B431" t="str" cm="1">
        <f t="array" ref="B431">IF(A431="","",_xlfn.CHOOSECOLS('Prematch Backend 2A'!431:431,_xlfn.MAKEARRAY(1,A431-2,_xlfn.LAMBDA(_xlpm.r,_xlpm.c,_xlpm.c))))</f>
        <v/>
      </c>
    </row>
    <row r="432" spans="2:2" x14ac:dyDescent="0.2">
      <c r="B432" t="str" cm="1">
        <f t="array" ref="B432">IF(A432="","",_xlfn.CHOOSECOLS('Prematch Backend 2A'!432:432,_xlfn.MAKEARRAY(1,A432-2,_xlfn.LAMBDA(_xlpm.r,_xlpm.c,_xlpm.c))))</f>
        <v/>
      </c>
    </row>
    <row r="433" spans="2:2" x14ac:dyDescent="0.2">
      <c r="B433" t="str" cm="1">
        <f t="array" ref="B433">IF(A433="","",_xlfn.CHOOSECOLS('Prematch Backend 2A'!433:433,_xlfn.MAKEARRAY(1,A433-2,_xlfn.LAMBDA(_xlpm.r,_xlpm.c,_xlpm.c))))</f>
        <v/>
      </c>
    </row>
    <row r="434" spans="2:2" x14ac:dyDescent="0.2">
      <c r="B434" t="str" cm="1">
        <f t="array" ref="B434">IF(A434="","",_xlfn.CHOOSECOLS('Prematch Backend 2A'!434:434,_xlfn.MAKEARRAY(1,A434-2,_xlfn.LAMBDA(_xlpm.r,_xlpm.c,_xlpm.c))))</f>
        <v/>
      </c>
    </row>
    <row r="435" spans="2:2" x14ac:dyDescent="0.2">
      <c r="B435" t="str" cm="1">
        <f t="array" ref="B435">IF(A435="","",_xlfn.CHOOSECOLS('Prematch Backend 2A'!435:435,_xlfn.MAKEARRAY(1,A435-2,_xlfn.LAMBDA(_xlpm.r,_xlpm.c,_xlpm.c))))</f>
        <v/>
      </c>
    </row>
    <row r="436" spans="2:2" x14ac:dyDescent="0.2">
      <c r="B436" t="str" cm="1">
        <f t="array" ref="B436">IF(A436="","",_xlfn.CHOOSECOLS('Prematch Backend 2A'!436:436,_xlfn.MAKEARRAY(1,A436-2,_xlfn.LAMBDA(_xlpm.r,_xlpm.c,_xlpm.c))))</f>
        <v/>
      </c>
    </row>
    <row r="437" spans="2:2" x14ac:dyDescent="0.2">
      <c r="B437" t="str" cm="1">
        <f t="array" ref="B437">IF(A437="","",_xlfn.CHOOSECOLS('Prematch Backend 2A'!437:437,_xlfn.MAKEARRAY(1,A437-2,_xlfn.LAMBDA(_xlpm.r,_xlpm.c,_xlpm.c))))</f>
        <v/>
      </c>
    </row>
    <row r="438" spans="2:2" x14ac:dyDescent="0.2">
      <c r="B438" t="str" cm="1">
        <f t="array" ref="B438">IF(A438="","",_xlfn.CHOOSECOLS('Prematch Backend 2A'!438:438,_xlfn.MAKEARRAY(1,A438-2,_xlfn.LAMBDA(_xlpm.r,_xlpm.c,_xlpm.c))))</f>
        <v/>
      </c>
    </row>
    <row r="439" spans="2:2" x14ac:dyDescent="0.2">
      <c r="B439" t="str" cm="1">
        <f t="array" ref="B439">IF(A439="","",_xlfn.CHOOSECOLS('Prematch Backend 2A'!439:439,_xlfn.MAKEARRAY(1,A439-2,_xlfn.LAMBDA(_xlpm.r,_xlpm.c,_xlpm.c))))</f>
        <v/>
      </c>
    </row>
    <row r="440" spans="2:2" x14ac:dyDescent="0.2">
      <c r="B440" t="str" cm="1">
        <f t="array" ref="B440">IF(A440="","",_xlfn.CHOOSECOLS('Prematch Backend 2A'!440:440,_xlfn.MAKEARRAY(1,A440-2,_xlfn.LAMBDA(_xlpm.r,_xlpm.c,_xlpm.c))))</f>
        <v/>
      </c>
    </row>
    <row r="441" spans="2:2" x14ac:dyDescent="0.2">
      <c r="B441" t="str" cm="1">
        <f t="array" ref="B441">IF(A441="","",_xlfn.CHOOSECOLS('Prematch Backend 2A'!441:441,_xlfn.MAKEARRAY(1,A441-2,_xlfn.LAMBDA(_xlpm.r,_xlpm.c,_xlpm.c))))</f>
        <v/>
      </c>
    </row>
    <row r="442" spans="2:2" x14ac:dyDescent="0.2">
      <c r="B442" t="str" cm="1">
        <f t="array" ref="B442">IF(A442="","",_xlfn.CHOOSECOLS('Prematch Backend 2A'!442:442,_xlfn.MAKEARRAY(1,A442-2,_xlfn.LAMBDA(_xlpm.r,_xlpm.c,_xlpm.c))))</f>
        <v/>
      </c>
    </row>
    <row r="443" spans="2:2" x14ac:dyDescent="0.2">
      <c r="B443" t="str" cm="1">
        <f t="array" ref="B443">IF(A443="","",_xlfn.CHOOSECOLS('Prematch Backend 2A'!443:443,_xlfn.MAKEARRAY(1,A443-2,_xlfn.LAMBDA(_xlpm.r,_xlpm.c,_xlpm.c))))</f>
        <v/>
      </c>
    </row>
    <row r="444" spans="2:2" x14ac:dyDescent="0.2">
      <c r="B444" t="str" cm="1">
        <f t="array" ref="B444">IF(A444="","",_xlfn.CHOOSECOLS('Prematch Backend 2A'!444:444,_xlfn.MAKEARRAY(1,A444-2,_xlfn.LAMBDA(_xlpm.r,_xlpm.c,_xlpm.c))))</f>
        <v/>
      </c>
    </row>
    <row r="445" spans="2:2" x14ac:dyDescent="0.2">
      <c r="B445" t="str" cm="1">
        <f t="array" ref="B445">IF(A445="","",_xlfn.CHOOSECOLS('Prematch Backend 2A'!445:445,_xlfn.MAKEARRAY(1,A445-2,_xlfn.LAMBDA(_xlpm.r,_xlpm.c,_xlpm.c))))</f>
        <v/>
      </c>
    </row>
    <row r="446" spans="2:2" x14ac:dyDescent="0.2">
      <c r="B446" t="str" cm="1">
        <f t="array" ref="B446">IF(A446="","",_xlfn.CHOOSECOLS('Prematch Backend 2A'!446:446,_xlfn.MAKEARRAY(1,A446-2,_xlfn.LAMBDA(_xlpm.r,_xlpm.c,_xlpm.c))))</f>
        <v/>
      </c>
    </row>
    <row r="447" spans="2:2" x14ac:dyDescent="0.2">
      <c r="B447" t="str" cm="1">
        <f t="array" ref="B447">IF(A447="","",_xlfn.CHOOSECOLS('Prematch Backend 2A'!447:447,_xlfn.MAKEARRAY(1,A447-2,_xlfn.LAMBDA(_xlpm.r,_xlpm.c,_xlpm.c))))</f>
        <v/>
      </c>
    </row>
    <row r="448" spans="2:2" x14ac:dyDescent="0.2">
      <c r="B448" t="str" cm="1">
        <f t="array" ref="B448">IF(A448="","",_xlfn.CHOOSECOLS('Prematch Backend 2A'!448:448,_xlfn.MAKEARRAY(1,A448-2,_xlfn.LAMBDA(_xlpm.r,_xlpm.c,_xlpm.c))))</f>
        <v/>
      </c>
    </row>
    <row r="449" spans="2:2" x14ac:dyDescent="0.2">
      <c r="B449" t="str" cm="1">
        <f t="array" ref="B449">IF(A449="","",_xlfn.CHOOSECOLS('Prematch Backend 2A'!449:449,_xlfn.MAKEARRAY(1,A449-2,_xlfn.LAMBDA(_xlpm.r,_xlpm.c,_xlpm.c))))</f>
        <v/>
      </c>
    </row>
    <row r="450" spans="2:2" x14ac:dyDescent="0.2">
      <c r="B450" t="str" cm="1">
        <f t="array" ref="B450">IF(A450="","",_xlfn.CHOOSECOLS('Prematch Backend 2A'!450:450,_xlfn.MAKEARRAY(1,A450-2,_xlfn.LAMBDA(_xlpm.r,_xlpm.c,_xlpm.c))))</f>
        <v/>
      </c>
    </row>
    <row r="451" spans="2:2" x14ac:dyDescent="0.2">
      <c r="B451" t="str" cm="1">
        <f t="array" ref="B451">IF(A451="","",_xlfn.CHOOSECOLS('Prematch Backend 2A'!451:451,_xlfn.MAKEARRAY(1,A451-2,_xlfn.LAMBDA(_xlpm.r,_xlpm.c,_xlpm.c))))</f>
        <v/>
      </c>
    </row>
    <row r="452" spans="2:2" x14ac:dyDescent="0.2">
      <c r="B452" t="str" cm="1">
        <f t="array" ref="B452">IF(A452="","",_xlfn.CHOOSECOLS('Prematch Backend 2A'!452:452,_xlfn.MAKEARRAY(1,A452-2,_xlfn.LAMBDA(_xlpm.r,_xlpm.c,_xlpm.c))))</f>
        <v/>
      </c>
    </row>
    <row r="453" spans="2:2" x14ac:dyDescent="0.2">
      <c r="B453" t="str" cm="1">
        <f t="array" ref="B453">IF(A453="","",_xlfn.CHOOSECOLS('Prematch Backend 2A'!453:453,_xlfn.MAKEARRAY(1,A453-2,_xlfn.LAMBDA(_xlpm.r,_xlpm.c,_xlpm.c))))</f>
        <v/>
      </c>
    </row>
    <row r="454" spans="2:2" x14ac:dyDescent="0.2">
      <c r="B454" t="str" cm="1">
        <f t="array" ref="B454">IF(A454="","",_xlfn.CHOOSECOLS('Prematch Backend 2A'!454:454,_xlfn.MAKEARRAY(1,A454-2,_xlfn.LAMBDA(_xlpm.r,_xlpm.c,_xlpm.c))))</f>
        <v/>
      </c>
    </row>
    <row r="455" spans="2:2" x14ac:dyDescent="0.2">
      <c r="B455" t="str" cm="1">
        <f t="array" ref="B455">IF(A455="","",_xlfn.CHOOSECOLS('Prematch Backend 2A'!455:455,_xlfn.MAKEARRAY(1,A455-2,_xlfn.LAMBDA(_xlpm.r,_xlpm.c,_xlpm.c))))</f>
        <v/>
      </c>
    </row>
    <row r="456" spans="2:2" x14ac:dyDescent="0.2">
      <c r="B456" t="str" cm="1">
        <f t="array" ref="B456">IF(A456="","",_xlfn.CHOOSECOLS('Prematch Backend 2A'!456:456,_xlfn.MAKEARRAY(1,A456-2,_xlfn.LAMBDA(_xlpm.r,_xlpm.c,_xlpm.c))))</f>
        <v/>
      </c>
    </row>
    <row r="457" spans="2:2" x14ac:dyDescent="0.2">
      <c r="B457" t="str" cm="1">
        <f t="array" ref="B457">IF(A457="","",_xlfn.CHOOSECOLS('Prematch Backend 2A'!457:457,_xlfn.MAKEARRAY(1,A457-2,_xlfn.LAMBDA(_xlpm.r,_xlpm.c,_xlpm.c))))</f>
        <v/>
      </c>
    </row>
    <row r="458" spans="2:2" x14ac:dyDescent="0.2">
      <c r="B458" t="str" cm="1">
        <f t="array" ref="B458">IF(A458="","",_xlfn.CHOOSECOLS('Prematch Backend 2A'!458:458,_xlfn.MAKEARRAY(1,A458-2,_xlfn.LAMBDA(_xlpm.r,_xlpm.c,_xlpm.c))))</f>
        <v/>
      </c>
    </row>
    <row r="459" spans="2:2" x14ac:dyDescent="0.2">
      <c r="B459" t="str" cm="1">
        <f t="array" ref="B459">IF(A459="","",_xlfn.CHOOSECOLS('Prematch Backend 2A'!459:459,_xlfn.MAKEARRAY(1,A459-2,_xlfn.LAMBDA(_xlpm.r,_xlpm.c,_xlpm.c))))</f>
        <v/>
      </c>
    </row>
    <row r="460" spans="2:2" x14ac:dyDescent="0.2">
      <c r="B460" t="str" cm="1">
        <f t="array" ref="B460">IF(A460="","",_xlfn.CHOOSECOLS('Prematch Backend 2A'!460:460,_xlfn.MAKEARRAY(1,A460-2,_xlfn.LAMBDA(_xlpm.r,_xlpm.c,_xlpm.c))))</f>
        <v/>
      </c>
    </row>
    <row r="461" spans="2:2" x14ac:dyDescent="0.2">
      <c r="B461" t="str" cm="1">
        <f t="array" ref="B461">IF(A461="","",_xlfn.CHOOSECOLS('Prematch Backend 2A'!461:461,_xlfn.MAKEARRAY(1,A461-2,_xlfn.LAMBDA(_xlpm.r,_xlpm.c,_xlpm.c))))</f>
        <v/>
      </c>
    </row>
    <row r="462" spans="2:2" x14ac:dyDescent="0.2">
      <c r="B462" t="str" cm="1">
        <f t="array" ref="B462">IF(A462="","",_xlfn.CHOOSECOLS('Prematch Backend 2A'!462:462,_xlfn.MAKEARRAY(1,A462-2,_xlfn.LAMBDA(_xlpm.r,_xlpm.c,_xlpm.c))))</f>
        <v/>
      </c>
    </row>
    <row r="463" spans="2:2" x14ac:dyDescent="0.2">
      <c r="B463" t="str" cm="1">
        <f t="array" ref="B463">IF(A463="","",_xlfn.CHOOSECOLS('Prematch Backend 2A'!463:463,_xlfn.MAKEARRAY(1,A463-2,_xlfn.LAMBDA(_xlpm.r,_xlpm.c,_xlpm.c))))</f>
        <v/>
      </c>
    </row>
    <row r="464" spans="2:2" x14ac:dyDescent="0.2">
      <c r="B464" t="str" cm="1">
        <f t="array" ref="B464">IF(A464="","",_xlfn.CHOOSECOLS('Prematch Backend 2A'!464:464,_xlfn.MAKEARRAY(1,A464-2,_xlfn.LAMBDA(_xlpm.r,_xlpm.c,_xlpm.c))))</f>
        <v/>
      </c>
    </row>
    <row r="465" spans="2:2" x14ac:dyDescent="0.2">
      <c r="B465" t="str" cm="1">
        <f t="array" ref="B465">IF(A465="","",_xlfn.CHOOSECOLS('Prematch Backend 2A'!465:465,_xlfn.MAKEARRAY(1,A465-2,_xlfn.LAMBDA(_xlpm.r,_xlpm.c,_xlpm.c))))</f>
        <v/>
      </c>
    </row>
    <row r="466" spans="2:2" x14ac:dyDescent="0.2">
      <c r="B466" t="str" cm="1">
        <f t="array" ref="B466">IF(A466="","",_xlfn.CHOOSECOLS('Prematch Backend 2A'!466:466,_xlfn.MAKEARRAY(1,A466-2,_xlfn.LAMBDA(_xlpm.r,_xlpm.c,_xlpm.c))))</f>
        <v/>
      </c>
    </row>
    <row r="467" spans="2:2" x14ac:dyDescent="0.2">
      <c r="B467" t="str" cm="1">
        <f t="array" ref="B467">IF(A467="","",_xlfn.CHOOSECOLS('Prematch Backend 2A'!467:467,_xlfn.MAKEARRAY(1,A467-2,_xlfn.LAMBDA(_xlpm.r,_xlpm.c,_xlpm.c))))</f>
        <v/>
      </c>
    </row>
    <row r="468" spans="2:2" x14ac:dyDescent="0.2">
      <c r="B468" t="str" cm="1">
        <f t="array" ref="B468">IF(A468="","",_xlfn.CHOOSECOLS('Prematch Backend 2A'!468:468,_xlfn.MAKEARRAY(1,A468-2,_xlfn.LAMBDA(_xlpm.r,_xlpm.c,_xlpm.c))))</f>
        <v/>
      </c>
    </row>
    <row r="469" spans="2:2" x14ac:dyDescent="0.2">
      <c r="B469" t="str" cm="1">
        <f t="array" ref="B469">IF(A469="","",_xlfn.CHOOSECOLS('Prematch Backend 2A'!469:469,_xlfn.MAKEARRAY(1,A469-2,_xlfn.LAMBDA(_xlpm.r,_xlpm.c,_xlpm.c))))</f>
        <v/>
      </c>
    </row>
    <row r="470" spans="2:2" x14ac:dyDescent="0.2">
      <c r="B470" t="str" cm="1">
        <f t="array" ref="B470">IF(A470="","",_xlfn.CHOOSECOLS('Prematch Backend 2A'!470:470,_xlfn.MAKEARRAY(1,A470-2,_xlfn.LAMBDA(_xlpm.r,_xlpm.c,_xlpm.c))))</f>
        <v/>
      </c>
    </row>
    <row r="471" spans="2:2" x14ac:dyDescent="0.2">
      <c r="B471" t="str" cm="1">
        <f t="array" ref="B471">IF(A471="","",_xlfn.CHOOSECOLS('Prematch Backend 2A'!471:471,_xlfn.MAKEARRAY(1,A471-2,_xlfn.LAMBDA(_xlpm.r,_xlpm.c,_xlpm.c))))</f>
        <v/>
      </c>
    </row>
    <row r="472" spans="2:2" x14ac:dyDescent="0.2">
      <c r="B472" t="str" cm="1">
        <f t="array" ref="B472">IF(A472="","",_xlfn.CHOOSECOLS('Prematch Backend 2A'!472:472,_xlfn.MAKEARRAY(1,A472-2,_xlfn.LAMBDA(_xlpm.r,_xlpm.c,_xlpm.c))))</f>
        <v/>
      </c>
    </row>
    <row r="473" spans="2:2" x14ac:dyDescent="0.2">
      <c r="B473" t="str" cm="1">
        <f t="array" ref="B473">IF(A473="","",_xlfn.CHOOSECOLS('Prematch Backend 2A'!473:473,_xlfn.MAKEARRAY(1,A473-2,_xlfn.LAMBDA(_xlpm.r,_xlpm.c,_xlpm.c))))</f>
        <v/>
      </c>
    </row>
    <row r="474" spans="2:2" x14ac:dyDescent="0.2">
      <c r="B474" t="str" cm="1">
        <f t="array" ref="B474">IF(A474="","",_xlfn.CHOOSECOLS('Prematch Backend 2A'!474:474,_xlfn.MAKEARRAY(1,A474-2,_xlfn.LAMBDA(_xlpm.r,_xlpm.c,_xlpm.c))))</f>
        <v/>
      </c>
    </row>
    <row r="475" spans="2:2" x14ac:dyDescent="0.2">
      <c r="B475" t="str" cm="1">
        <f t="array" ref="B475">IF(A475="","",_xlfn.CHOOSECOLS('Prematch Backend 2A'!475:475,_xlfn.MAKEARRAY(1,A475-2,_xlfn.LAMBDA(_xlpm.r,_xlpm.c,_xlpm.c))))</f>
        <v/>
      </c>
    </row>
    <row r="476" spans="2:2" x14ac:dyDescent="0.2">
      <c r="B476" t="str" cm="1">
        <f t="array" ref="B476">IF(A476="","",_xlfn.CHOOSECOLS('Prematch Backend 2A'!476:476,_xlfn.MAKEARRAY(1,A476-2,_xlfn.LAMBDA(_xlpm.r,_xlpm.c,_xlpm.c))))</f>
        <v/>
      </c>
    </row>
    <row r="477" spans="2:2" x14ac:dyDescent="0.2">
      <c r="B477" t="str" cm="1">
        <f t="array" ref="B477">IF(A477="","",_xlfn.CHOOSECOLS('Prematch Backend 2A'!477:477,_xlfn.MAKEARRAY(1,A477-2,_xlfn.LAMBDA(_xlpm.r,_xlpm.c,_xlpm.c))))</f>
        <v/>
      </c>
    </row>
    <row r="478" spans="2:2" x14ac:dyDescent="0.2">
      <c r="B478" t="str" cm="1">
        <f t="array" ref="B478">IF(A478="","",_xlfn.CHOOSECOLS('Prematch Backend 2A'!478:478,_xlfn.MAKEARRAY(1,A478-2,_xlfn.LAMBDA(_xlpm.r,_xlpm.c,_xlpm.c))))</f>
        <v/>
      </c>
    </row>
    <row r="479" spans="2:2" x14ac:dyDescent="0.2">
      <c r="B479" t="str" cm="1">
        <f t="array" ref="B479">IF(A479="","",_xlfn.CHOOSECOLS('Prematch Backend 2A'!479:479,_xlfn.MAKEARRAY(1,A479-2,_xlfn.LAMBDA(_xlpm.r,_xlpm.c,_xlpm.c))))</f>
        <v/>
      </c>
    </row>
    <row r="480" spans="2:2" x14ac:dyDescent="0.2">
      <c r="B480" t="str" cm="1">
        <f t="array" ref="B480">IF(A480="","",_xlfn.CHOOSECOLS('Prematch Backend 2A'!480:480,_xlfn.MAKEARRAY(1,A480-2,_xlfn.LAMBDA(_xlpm.r,_xlpm.c,_xlpm.c))))</f>
        <v/>
      </c>
    </row>
    <row r="481" spans="2:2" x14ac:dyDescent="0.2">
      <c r="B481" t="str" cm="1">
        <f t="array" ref="B481">IF(A481="","",_xlfn.CHOOSECOLS('Prematch Backend 2A'!481:481,_xlfn.MAKEARRAY(1,A481-2,_xlfn.LAMBDA(_xlpm.r,_xlpm.c,_xlpm.c))))</f>
        <v/>
      </c>
    </row>
    <row r="482" spans="2:2" x14ac:dyDescent="0.2">
      <c r="B482" t="str" cm="1">
        <f t="array" ref="B482">IF(A482="","",_xlfn.CHOOSECOLS('Prematch Backend 2A'!482:482,_xlfn.MAKEARRAY(1,A482-2,_xlfn.LAMBDA(_xlpm.r,_xlpm.c,_xlpm.c))))</f>
        <v/>
      </c>
    </row>
    <row r="483" spans="2:2" x14ac:dyDescent="0.2">
      <c r="B483" t="str" cm="1">
        <f t="array" ref="B483">IF(A483="","",_xlfn.CHOOSECOLS('Prematch Backend 2A'!483:483,_xlfn.MAKEARRAY(1,A483-2,_xlfn.LAMBDA(_xlpm.r,_xlpm.c,_xlpm.c))))</f>
        <v/>
      </c>
    </row>
    <row r="484" spans="2:2" x14ac:dyDescent="0.2">
      <c r="B484" t="str" cm="1">
        <f t="array" ref="B484">IF(A484="","",_xlfn.CHOOSECOLS('Prematch Backend 2A'!484:484,_xlfn.MAKEARRAY(1,A484-2,_xlfn.LAMBDA(_xlpm.r,_xlpm.c,_xlpm.c))))</f>
        <v/>
      </c>
    </row>
    <row r="485" spans="2:2" x14ac:dyDescent="0.2">
      <c r="B485" t="str" cm="1">
        <f t="array" ref="B485">IF(A485="","",_xlfn.CHOOSECOLS('Prematch Backend 2A'!485:485,_xlfn.MAKEARRAY(1,A485-2,_xlfn.LAMBDA(_xlpm.r,_xlpm.c,_xlpm.c))))</f>
        <v/>
      </c>
    </row>
    <row r="486" spans="2:2" x14ac:dyDescent="0.2">
      <c r="B486" t="str" cm="1">
        <f t="array" ref="B486">IF(A486="","",_xlfn.CHOOSECOLS('Prematch Backend 2A'!486:486,_xlfn.MAKEARRAY(1,A486-2,_xlfn.LAMBDA(_xlpm.r,_xlpm.c,_xlpm.c))))</f>
        <v/>
      </c>
    </row>
    <row r="487" spans="2:2" x14ac:dyDescent="0.2">
      <c r="B487" t="str" cm="1">
        <f t="array" ref="B487">IF(A487="","",_xlfn.CHOOSECOLS('Prematch Backend 2A'!487:487,_xlfn.MAKEARRAY(1,A487-2,_xlfn.LAMBDA(_xlpm.r,_xlpm.c,_xlpm.c))))</f>
        <v/>
      </c>
    </row>
    <row r="488" spans="2:2" x14ac:dyDescent="0.2">
      <c r="B488" t="str" cm="1">
        <f t="array" ref="B488">IF(A488="","",_xlfn.CHOOSECOLS('Prematch Backend 2A'!488:488,_xlfn.MAKEARRAY(1,A488-2,_xlfn.LAMBDA(_xlpm.r,_xlpm.c,_xlpm.c))))</f>
        <v/>
      </c>
    </row>
    <row r="489" spans="2:2" x14ac:dyDescent="0.2">
      <c r="B489" t="str" cm="1">
        <f t="array" ref="B489">IF(A489="","",_xlfn.CHOOSECOLS('Prematch Backend 2A'!489:489,_xlfn.MAKEARRAY(1,A489-2,_xlfn.LAMBDA(_xlpm.r,_xlpm.c,_xlpm.c))))</f>
        <v/>
      </c>
    </row>
    <row r="490" spans="2:2" x14ac:dyDescent="0.2">
      <c r="B490" t="str" cm="1">
        <f t="array" ref="B490">IF(A490="","",_xlfn.CHOOSECOLS('Prematch Backend 2A'!490:490,_xlfn.MAKEARRAY(1,A490-2,_xlfn.LAMBDA(_xlpm.r,_xlpm.c,_xlpm.c))))</f>
        <v/>
      </c>
    </row>
    <row r="491" spans="2:2" x14ac:dyDescent="0.2">
      <c r="B491" t="str" cm="1">
        <f t="array" ref="B491">IF(A491="","",_xlfn.CHOOSECOLS('Prematch Backend 2A'!491:491,_xlfn.MAKEARRAY(1,A491-2,_xlfn.LAMBDA(_xlpm.r,_xlpm.c,_xlpm.c))))</f>
        <v/>
      </c>
    </row>
    <row r="492" spans="2:2" x14ac:dyDescent="0.2">
      <c r="B492" t="str" cm="1">
        <f t="array" ref="B492">IF(A492="","",_xlfn.CHOOSECOLS('Prematch Backend 2A'!492:492,_xlfn.MAKEARRAY(1,A492-2,_xlfn.LAMBDA(_xlpm.r,_xlpm.c,_xlpm.c))))</f>
        <v/>
      </c>
    </row>
    <row r="493" spans="2:2" x14ac:dyDescent="0.2">
      <c r="B493" t="str" cm="1">
        <f t="array" ref="B493">IF(A493="","",_xlfn.CHOOSECOLS('Prematch Backend 2A'!493:493,_xlfn.MAKEARRAY(1,A493-2,_xlfn.LAMBDA(_xlpm.r,_xlpm.c,_xlpm.c))))</f>
        <v/>
      </c>
    </row>
    <row r="494" spans="2:2" x14ac:dyDescent="0.2">
      <c r="B494" t="str" cm="1">
        <f t="array" ref="B494">IF(A494="","",_xlfn.CHOOSECOLS('Prematch Backend 2A'!494:494,_xlfn.MAKEARRAY(1,A494-2,_xlfn.LAMBDA(_xlpm.r,_xlpm.c,_xlpm.c))))</f>
        <v/>
      </c>
    </row>
    <row r="495" spans="2:2" x14ac:dyDescent="0.2">
      <c r="B495" t="str" cm="1">
        <f t="array" ref="B495">IF(A495="","",_xlfn.CHOOSECOLS('Prematch Backend 2A'!495:495,_xlfn.MAKEARRAY(1,A495-2,_xlfn.LAMBDA(_xlpm.r,_xlpm.c,_xlpm.c))))</f>
        <v/>
      </c>
    </row>
    <row r="496" spans="2:2" x14ac:dyDescent="0.2">
      <c r="B496" t="str" cm="1">
        <f t="array" ref="B496">IF(A496="","",_xlfn.CHOOSECOLS('Prematch Backend 2A'!496:496,_xlfn.MAKEARRAY(1,A496-2,_xlfn.LAMBDA(_xlpm.r,_xlpm.c,_xlpm.c))))</f>
        <v/>
      </c>
    </row>
    <row r="497" spans="2:2" x14ac:dyDescent="0.2">
      <c r="B497" t="str" cm="1">
        <f t="array" ref="B497">IF(A497="","",_xlfn.CHOOSECOLS('Prematch Backend 2A'!497:497,_xlfn.MAKEARRAY(1,A497-2,_xlfn.LAMBDA(_xlpm.r,_xlpm.c,_xlpm.c))))</f>
        <v/>
      </c>
    </row>
    <row r="498" spans="2:2" x14ac:dyDescent="0.2">
      <c r="B498" t="str" cm="1">
        <f t="array" ref="B498">IF(A498="","",_xlfn.CHOOSECOLS('Prematch Backend 2A'!498:498,_xlfn.MAKEARRAY(1,A498-2,_xlfn.LAMBDA(_xlpm.r,_xlpm.c,_xlpm.c))))</f>
        <v/>
      </c>
    </row>
    <row r="499" spans="2:2" x14ac:dyDescent="0.2">
      <c r="B499" t="str" cm="1">
        <f t="array" ref="B499">IF(A499="","",_xlfn.CHOOSECOLS('Prematch Backend 2A'!499:499,_xlfn.MAKEARRAY(1,A499-2,_xlfn.LAMBDA(_xlpm.r,_xlpm.c,_xlpm.c))))</f>
        <v/>
      </c>
    </row>
    <row r="500" spans="2:2" x14ac:dyDescent="0.2">
      <c r="B500" t="str" cm="1">
        <f t="array" ref="B500">IF(A500="","",_xlfn.CHOOSECOLS('Prematch Backend 2A'!500:500,_xlfn.MAKEARRAY(1,A500-2,_xlfn.LAMBDA(_xlpm.r,_xlpm.c,_xlpm.c))))</f>
        <v/>
      </c>
    </row>
    <row r="501" spans="2:2" x14ac:dyDescent="0.2">
      <c r="B501" t="str" cm="1">
        <f t="array" ref="B501">IF(A501="","",_xlfn.CHOOSECOLS('Prematch Backend 2A'!501:501,_xlfn.MAKEARRAY(1,A501-2,_xlfn.LAMBDA(_xlpm.r,_xlpm.c,_xlpm.c))))</f>
        <v/>
      </c>
    </row>
    <row r="502" spans="2:2" x14ac:dyDescent="0.2">
      <c r="B502" t="str" cm="1">
        <f t="array" ref="B502">IF(A502="","",_xlfn.CHOOSECOLS('Prematch Backend 2A'!502:502,_xlfn.MAKEARRAY(1,A502-2,_xlfn.LAMBDA(_xlpm.r,_xlpm.c,_xlpm.c))))</f>
        <v/>
      </c>
    </row>
    <row r="503" spans="2:2" x14ac:dyDescent="0.2">
      <c r="B503" t="str" cm="1">
        <f t="array" ref="B503">IF(A503="","",_xlfn.CHOOSECOLS('Prematch Backend 2A'!503:503,_xlfn.MAKEARRAY(1,A503-2,_xlfn.LAMBDA(_xlpm.r,_xlpm.c,_xlpm.c))))</f>
        <v/>
      </c>
    </row>
    <row r="504" spans="2:2" x14ac:dyDescent="0.2">
      <c r="B504" t="str" cm="1">
        <f t="array" ref="B504">IF(A504="","",_xlfn.CHOOSECOLS('Prematch Backend 2A'!504:504,_xlfn.MAKEARRAY(1,A504-2,_xlfn.LAMBDA(_xlpm.r,_xlpm.c,_xlpm.c))))</f>
        <v/>
      </c>
    </row>
    <row r="505" spans="2:2" x14ac:dyDescent="0.2">
      <c r="B505" t="str" cm="1">
        <f t="array" ref="B505">IF(A505="","",_xlfn.CHOOSECOLS('Prematch Backend 2A'!505:505,_xlfn.MAKEARRAY(1,A505-2,_xlfn.LAMBDA(_xlpm.r,_xlpm.c,_xlpm.c))))</f>
        <v/>
      </c>
    </row>
    <row r="506" spans="2:2" x14ac:dyDescent="0.2">
      <c r="B506" t="str" cm="1">
        <f t="array" ref="B506">IF(A506="","",_xlfn.CHOOSECOLS('Prematch Backend 2A'!506:506,_xlfn.MAKEARRAY(1,A506-2,_xlfn.LAMBDA(_xlpm.r,_xlpm.c,_xlpm.c))))</f>
        <v/>
      </c>
    </row>
    <row r="507" spans="2:2" x14ac:dyDescent="0.2">
      <c r="B507" t="str" cm="1">
        <f t="array" ref="B507">IF(A507="","",_xlfn.CHOOSECOLS('Prematch Backend 2A'!507:507,_xlfn.MAKEARRAY(1,A507-2,_xlfn.LAMBDA(_xlpm.r,_xlpm.c,_xlpm.c))))</f>
        <v/>
      </c>
    </row>
    <row r="508" spans="2:2" x14ac:dyDescent="0.2">
      <c r="B508" t="str" cm="1">
        <f t="array" ref="B508">IF(A508="","",_xlfn.CHOOSECOLS('Prematch Backend 2A'!508:508,_xlfn.MAKEARRAY(1,A508-2,_xlfn.LAMBDA(_xlpm.r,_xlpm.c,_xlpm.c))))</f>
        <v/>
      </c>
    </row>
    <row r="509" spans="2:2" x14ac:dyDescent="0.2">
      <c r="B509" t="str" cm="1">
        <f t="array" ref="B509">IF(A509="","",_xlfn.CHOOSECOLS('Prematch Backend 2A'!509:509,_xlfn.MAKEARRAY(1,A509-2,_xlfn.LAMBDA(_xlpm.r,_xlpm.c,_xlpm.c))))</f>
        <v/>
      </c>
    </row>
    <row r="510" spans="2:2" x14ac:dyDescent="0.2">
      <c r="B510" t="str" cm="1">
        <f t="array" ref="B510">IF(A510="","",_xlfn.CHOOSECOLS('Prematch Backend 2A'!510:510,_xlfn.MAKEARRAY(1,A510-2,_xlfn.LAMBDA(_xlpm.r,_xlpm.c,_xlpm.c))))</f>
        <v/>
      </c>
    </row>
    <row r="511" spans="2:2" x14ac:dyDescent="0.2">
      <c r="B511" t="str" cm="1">
        <f t="array" ref="B511">IF(A511="","",_xlfn.CHOOSECOLS('Prematch Backend 2A'!511:511,_xlfn.MAKEARRAY(1,A511-2,_xlfn.LAMBDA(_xlpm.r,_xlpm.c,_xlpm.c))))</f>
        <v/>
      </c>
    </row>
    <row r="512" spans="2:2" x14ac:dyDescent="0.2">
      <c r="B512" t="str" cm="1">
        <f t="array" ref="B512">IF(A512="","",_xlfn.CHOOSECOLS('Prematch Backend 2A'!512:512,_xlfn.MAKEARRAY(1,A512-2,_xlfn.LAMBDA(_xlpm.r,_xlpm.c,_xlpm.c))))</f>
        <v/>
      </c>
    </row>
    <row r="513" spans="2:2" x14ac:dyDescent="0.2">
      <c r="B513" t="str" cm="1">
        <f t="array" ref="B513">IF(A513="","",_xlfn.CHOOSECOLS('Prematch Backend 2A'!513:513,_xlfn.MAKEARRAY(1,A513-2,_xlfn.LAMBDA(_xlpm.r,_xlpm.c,_xlpm.c))))</f>
        <v/>
      </c>
    </row>
    <row r="514" spans="2:2" x14ac:dyDescent="0.2">
      <c r="B514" t="str" cm="1">
        <f t="array" ref="B514">IF(A514="","",_xlfn.CHOOSECOLS('Prematch Backend 2A'!514:514,_xlfn.MAKEARRAY(1,A514-2,_xlfn.LAMBDA(_xlpm.r,_xlpm.c,_xlpm.c))))</f>
        <v/>
      </c>
    </row>
    <row r="515" spans="2:2" x14ac:dyDescent="0.2">
      <c r="B515" t="str" cm="1">
        <f t="array" ref="B515">IF(A515="","",_xlfn.CHOOSECOLS('Prematch Backend 2A'!515:515,_xlfn.MAKEARRAY(1,A515-2,_xlfn.LAMBDA(_xlpm.r,_xlpm.c,_xlpm.c))))</f>
        <v/>
      </c>
    </row>
    <row r="516" spans="2:2" x14ac:dyDescent="0.2">
      <c r="B516" t="str" cm="1">
        <f t="array" ref="B516">IF(A516="","",_xlfn.CHOOSECOLS('Prematch Backend 2A'!516:516,_xlfn.MAKEARRAY(1,A516-2,_xlfn.LAMBDA(_xlpm.r,_xlpm.c,_xlpm.c))))</f>
        <v/>
      </c>
    </row>
    <row r="517" spans="2:2" x14ac:dyDescent="0.2">
      <c r="B517" t="str" cm="1">
        <f t="array" ref="B517">IF(A517="","",_xlfn.CHOOSECOLS('Prematch Backend 2A'!517:517,_xlfn.MAKEARRAY(1,A517-2,_xlfn.LAMBDA(_xlpm.r,_xlpm.c,_xlpm.c))))</f>
        <v/>
      </c>
    </row>
    <row r="518" spans="2:2" x14ac:dyDescent="0.2">
      <c r="B518" t="str" cm="1">
        <f t="array" ref="B518">IF(A518="","",_xlfn.CHOOSECOLS('Prematch Backend 2A'!518:518,_xlfn.MAKEARRAY(1,A518-2,_xlfn.LAMBDA(_xlpm.r,_xlpm.c,_xlpm.c))))</f>
        <v/>
      </c>
    </row>
    <row r="519" spans="2:2" x14ac:dyDescent="0.2">
      <c r="B519" t="str" cm="1">
        <f t="array" ref="B519">IF(A519="","",_xlfn.CHOOSECOLS('Prematch Backend 2A'!519:519,_xlfn.MAKEARRAY(1,A519-2,_xlfn.LAMBDA(_xlpm.r,_xlpm.c,_xlpm.c))))</f>
        <v/>
      </c>
    </row>
    <row r="520" spans="2:2" x14ac:dyDescent="0.2">
      <c r="B520" t="str" cm="1">
        <f t="array" ref="B520">IF(A520="","",_xlfn.CHOOSECOLS('Prematch Backend 2A'!520:520,_xlfn.MAKEARRAY(1,A520-2,_xlfn.LAMBDA(_xlpm.r,_xlpm.c,_xlpm.c))))</f>
        <v/>
      </c>
    </row>
    <row r="521" spans="2:2" x14ac:dyDescent="0.2">
      <c r="B521" t="str" cm="1">
        <f t="array" ref="B521">IF(A521="","",_xlfn.CHOOSECOLS('Prematch Backend 2A'!521:521,_xlfn.MAKEARRAY(1,A521-2,_xlfn.LAMBDA(_xlpm.r,_xlpm.c,_xlpm.c))))</f>
        <v/>
      </c>
    </row>
    <row r="522" spans="2:2" x14ac:dyDescent="0.2">
      <c r="B522" t="str" cm="1">
        <f t="array" ref="B522">IF(A522="","",_xlfn.CHOOSECOLS('Prematch Backend 2A'!522:522,_xlfn.MAKEARRAY(1,A522-2,_xlfn.LAMBDA(_xlpm.r,_xlpm.c,_xlpm.c))))</f>
        <v/>
      </c>
    </row>
    <row r="523" spans="2:2" x14ac:dyDescent="0.2">
      <c r="B523" t="str" cm="1">
        <f t="array" ref="B523">IF(A523="","",_xlfn.CHOOSECOLS('Prematch Backend 2A'!523:523,_xlfn.MAKEARRAY(1,A523-2,_xlfn.LAMBDA(_xlpm.r,_xlpm.c,_xlpm.c))))</f>
        <v/>
      </c>
    </row>
    <row r="524" spans="2:2" x14ac:dyDescent="0.2">
      <c r="B524" t="str" cm="1">
        <f t="array" ref="B524">IF(A524="","",_xlfn.CHOOSECOLS('Prematch Backend 2A'!524:524,_xlfn.MAKEARRAY(1,A524-2,_xlfn.LAMBDA(_xlpm.r,_xlpm.c,_xlpm.c))))</f>
        <v/>
      </c>
    </row>
    <row r="525" spans="2:2" x14ac:dyDescent="0.2">
      <c r="B525" t="str" cm="1">
        <f t="array" ref="B525">IF(A525="","",_xlfn.CHOOSECOLS('Prematch Backend 2A'!525:525,_xlfn.MAKEARRAY(1,A525-2,_xlfn.LAMBDA(_xlpm.r,_xlpm.c,_xlpm.c))))</f>
        <v/>
      </c>
    </row>
    <row r="526" spans="2:2" x14ac:dyDescent="0.2">
      <c r="B526" t="str" cm="1">
        <f t="array" ref="B526">IF(A526="","",_xlfn.CHOOSECOLS('Prematch Backend 2A'!526:526,_xlfn.MAKEARRAY(1,A526-2,_xlfn.LAMBDA(_xlpm.r,_xlpm.c,_xlpm.c))))</f>
        <v/>
      </c>
    </row>
    <row r="527" spans="2:2" x14ac:dyDescent="0.2">
      <c r="B527" t="str" cm="1">
        <f t="array" ref="B527">IF(A527="","",_xlfn.CHOOSECOLS('Prematch Backend 2A'!527:527,_xlfn.MAKEARRAY(1,A527-2,_xlfn.LAMBDA(_xlpm.r,_xlpm.c,_xlpm.c))))</f>
        <v/>
      </c>
    </row>
    <row r="528" spans="2:2" x14ac:dyDescent="0.2">
      <c r="B528" t="str" cm="1">
        <f t="array" ref="B528">IF(A528="","",_xlfn.CHOOSECOLS('Prematch Backend 2A'!528:528,_xlfn.MAKEARRAY(1,A528-2,_xlfn.LAMBDA(_xlpm.r,_xlpm.c,_xlpm.c))))</f>
        <v/>
      </c>
    </row>
    <row r="529" spans="2:2" x14ac:dyDescent="0.2">
      <c r="B529" t="str" cm="1">
        <f t="array" ref="B529">IF(A529="","",_xlfn.CHOOSECOLS('Prematch Backend 2A'!529:529,_xlfn.MAKEARRAY(1,A529-2,_xlfn.LAMBDA(_xlpm.r,_xlpm.c,_xlpm.c))))</f>
        <v/>
      </c>
    </row>
    <row r="530" spans="2:2" x14ac:dyDescent="0.2">
      <c r="B530" t="str" cm="1">
        <f t="array" ref="B530">IF(A530="","",_xlfn.CHOOSECOLS('Prematch Backend 2A'!530:530,_xlfn.MAKEARRAY(1,A530-2,_xlfn.LAMBDA(_xlpm.r,_xlpm.c,_xlpm.c))))</f>
        <v/>
      </c>
    </row>
    <row r="531" spans="2:2" x14ac:dyDescent="0.2">
      <c r="B531" t="str" cm="1">
        <f t="array" ref="B531">IF(A531="","",_xlfn.CHOOSECOLS('Prematch Backend 2A'!531:531,_xlfn.MAKEARRAY(1,A531-2,_xlfn.LAMBDA(_xlpm.r,_xlpm.c,_xlpm.c))))</f>
        <v/>
      </c>
    </row>
    <row r="532" spans="2:2" x14ac:dyDescent="0.2">
      <c r="B532" t="str" cm="1">
        <f t="array" ref="B532">IF(A532="","",_xlfn.CHOOSECOLS('Prematch Backend 2A'!532:532,_xlfn.MAKEARRAY(1,A532-2,_xlfn.LAMBDA(_xlpm.r,_xlpm.c,_xlpm.c))))</f>
        <v/>
      </c>
    </row>
    <row r="533" spans="2:2" x14ac:dyDescent="0.2">
      <c r="B533" t="str" cm="1">
        <f t="array" ref="B533">IF(A533="","",_xlfn.CHOOSECOLS('Prematch Backend 2A'!533:533,_xlfn.MAKEARRAY(1,A533-2,_xlfn.LAMBDA(_xlpm.r,_xlpm.c,_xlpm.c))))</f>
        <v/>
      </c>
    </row>
    <row r="534" spans="2:2" x14ac:dyDescent="0.2">
      <c r="B534" t="str" cm="1">
        <f t="array" ref="B534">IF(A534="","",_xlfn.CHOOSECOLS('Prematch Backend 2A'!534:534,_xlfn.MAKEARRAY(1,A534-2,_xlfn.LAMBDA(_xlpm.r,_xlpm.c,_xlpm.c))))</f>
        <v/>
      </c>
    </row>
    <row r="535" spans="2:2" x14ac:dyDescent="0.2">
      <c r="B535" t="str" cm="1">
        <f t="array" ref="B535">IF(A535="","",_xlfn.CHOOSECOLS('Prematch Backend 2A'!535:535,_xlfn.MAKEARRAY(1,A535-2,_xlfn.LAMBDA(_xlpm.r,_xlpm.c,_xlpm.c))))</f>
        <v/>
      </c>
    </row>
    <row r="536" spans="2:2" x14ac:dyDescent="0.2">
      <c r="B536" t="str" cm="1">
        <f t="array" ref="B536">IF(A536="","",_xlfn.CHOOSECOLS('Prematch Backend 2A'!536:536,_xlfn.MAKEARRAY(1,A536-2,_xlfn.LAMBDA(_xlpm.r,_xlpm.c,_xlpm.c))))</f>
        <v/>
      </c>
    </row>
    <row r="537" spans="2:2" x14ac:dyDescent="0.2">
      <c r="B537" t="str" cm="1">
        <f t="array" ref="B537">IF(A537="","",_xlfn.CHOOSECOLS('Prematch Backend 2A'!537:537,_xlfn.MAKEARRAY(1,A537-2,_xlfn.LAMBDA(_xlpm.r,_xlpm.c,_xlpm.c))))</f>
        <v/>
      </c>
    </row>
    <row r="538" spans="2:2" x14ac:dyDescent="0.2">
      <c r="B538" t="str" cm="1">
        <f t="array" ref="B538">IF(A538="","",_xlfn.CHOOSECOLS('Prematch Backend 2A'!538:538,_xlfn.MAKEARRAY(1,A538-2,_xlfn.LAMBDA(_xlpm.r,_xlpm.c,_xlpm.c))))</f>
        <v/>
      </c>
    </row>
    <row r="539" spans="2:2" x14ac:dyDescent="0.2">
      <c r="B539" t="str" cm="1">
        <f t="array" ref="B539">IF(A539="","",_xlfn.CHOOSECOLS('Prematch Backend 2A'!539:539,_xlfn.MAKEARRAY(1,A539-2,_xlfn.LAMBDA(_xlpm.r,_xlpm.c,_xlpm.c))))</f>
        <v/>
      </c>
    </row>
    <row r="540" spans="2:2" x14ac:dyDescent="0.2">
      <c r="B540" t="str" cm="1">
        <f t="array" ref="B540">IF(A540="","",_xlfn.CHOOSECOLS('Prematch Backend 2A'!540:540,_xlfn.MAKEARRAY(1,A540-2,_xlfn.LAMBDA(_xlpm.r,_xlpm.c,_xlpm.c))))</f>
        <v/>
      </c>
    </row>
    <row r="541" spans="2:2" x14ac:dyDescent="0.2">
      <c r="B541" t="str" cm="1">
        <f t="array" ref="B541">IF(A541="","",_xlfn.CHOOSECOLS('Prematch Backend 2A'!541:541,_xlfn.MAKEARRAY(1,A541-2,_xlfn.LAMBDA(_xlpm.r,_xlpm.c,_xlpm.c))))</f>
        <v/>
      </c>
    </row>
    <row r="542" spans="2:2" x14ac:dyDescent="0.2">
      <c r="B542" t="str" cm="1">
        <f t="array" ref="B542">IF(A542="","",_xlfn.CHOOSECOLS('Prematch Backend 2A'!542:542,_xlfn.MAKEARRAY(1,A542-2,_xlfn.LAMBDA(_xlpm.r,_xlpm.c,_xlpm.c))))</f>
        <v/>
      </c>
    </row>
    <row r="543" spans="2:2" x14ac:dyDescent="0.2">
      <c r="B543" t="str" cm="1">
        <f t="array" ref="B543">IF(A543="","",_xlfn.CHOOSECOLS('Prematch Backend 2A'!543:543,_xlfn.MAKEARRAY(1,A543-2,_xlfn.LAMBDA(_xlpm.r,_xlpm.c,_xlpm.c))))</f>
        <v/>
      </c>
    </row>
    <row r="544" spans="2:2" x14ac:dyDescent="0.2">
      <c r="B544" t="str" cm="1">
        <f t="array" ref="B544">IF(A544="","",_xlfn.CHOOSECOLS('Prematch Backend 2A'!544:544,_xlfn.MAKEARRAY(1,A544-2,_xlfn.LAMBDA(_xlpm.r,_xlpm.c,_xlpm.c))))</f>
        <v/>
      </c>
    </row>
    <row r="545" spans="2:2" x14ac:dyDescent="0.2">
      <c r="B545" t="str" cm="1">
        <f t="array" ref="B545">IF(A545="","",_xlfn.CHOOSECOLS('Prematch Backend 2A'!545:545,_xlfn.MAKEARRAY(1,A545-2,_xlfn.LAMBDA(_xlpm.r,_xlpm.c,_xlpm.c))))</f>
        <v/>
      </c>
    </row>
    <row r="546" spans="2:2" x14ac:dyDescent="0.2">
      <c r="B546" t="str" cm="1">
        <f t="array" ref="B546">IF(A546="","",_xlfn.CHOOSECOLS('Prematch Backend 2A'!546:546,_xlfn.MAKEARRAY(1,A546-2,_xlfn.LAMBDA(_xlpm.r,_xlpm.c,_xlpm.c))))</f>
        <v/>
      </c>
    </row>
    <row r="547" spans="2:2" x14ac:dyDescent="0.2">
      <c r="B547" t="str" cm="1">
        <f t="array" ref="B547">IF(A547="","",_xlfn.CHOOSECOLS('Prematch Backend 2A'!547:547,_xlfn.MAKEARRAY(1,A547-2,_xlfn.LAMBDA(_xlpm.r,_xlpm.c,_xlpm.c))))</f>
        <v/>
      </c>
    </row>
    <row r="548" spans="2:2" x14ac:dyDescent="0.2">
      <c r="B548" t="str" cm="1">
        <f t="array" ref="B548">IF(A548="","",_xlfn.CHOOSECOLS('Prematch Backend 2A'!548:548,_xlfn.MAKEARRAY(1,A548-2,_xlfn.LAMBDA(_xlpm.r,_xlpm.c,_xlpm.c))))</f>
        <v/>
      </c>
    </row>
    <row r="549" spans="2:2" x14ac:dyDescent="0.2">
      <c r="B549" t="str" cm="1">
        <f t="array" ref="B549">IF(A549="","",_xlfn.CHOOSECOLS('Prematch Backend 2A'!549:549,_xlfn.MAKEARRAY(1,A549-2,_xlfn.LAMBDA(_xlpm.r,_xlpm.c,_xlpm.c))))</f>
        <v/>
      </c>
    </row>
    <row r="550" spans="2:2" x14ac:dyDescent="0.2">
      <c r="B550" t="str" cm="1">
        <f t="array" ref="B550">IF(A550="","",_xlfn.CHOOSECOLS('Prematch Backend 2A'!550:550,_xlfn.MAKEARRAY(1,A550-2,_xlfn.LAMBDA(_xlpm.r,_xlpm.c,_xlpm.c))))</f>
        <v/>
      </c>
    </row>
    <row r="551" spans="2:2" x14ac:dyDescent="0.2">
      <c r="B551" t="str" cm="1">
        <f t="array" ref="B551">IF(A551="","",_xlfn.CHOOSECOLS('Prematch Backend 2A'!551:551,_xlfn.MAKEARRAY(1,A551-2,_xlfn.LAMBDA(_xlpm.r,_xlpm.c,_xlpm.c))))</f>
        <v/>
      </c>
    </row>
    <row r="552" spans="2:2" x14ac:dyDescent="0.2">
      <c r="B552" t="str" cm="1">
        <f t="array" ref="B552">IF(A552="","",_xlfn.CHOOSECOLS('Prematch Backend 2A'!552:552,_xlfn.MAKEARRAY(1,A552-2,_xlfn.LAMBDA(_xlpm.r,_xlpm.c,_xlpm.c))))</f>
        <v/>
      </c>
    </row>
    <row r="553" spans="2:2" x14ac:dyDescent="0.2">
      <c r="B553" t="str" cm="1">
        <f t="array" ref="B553">IF(A553="","",_xlfn.CHOOSECOLS('Prematch Backend 2A'!553:553,_xlfn.MAKEARRAY(1,A553-2,_xlfn.LAMBDA(_xlpm.r,_xlpm.c,_xlpm.c))))</f>
        <v/>
      </c>
    </row>
    <row r="554" spans="2:2" x14ac:dyDescent="0.2">
      <c r="B554" t="str" cm="1">
        <f t="array" ref="B554">IF(A554="","",_xlfn.CHOOSECOLS('Prematch Backend 2A'!554:554,_xlfn.MAKEARRAY(1,A554-2,_xlfn.LAMBDA(_xlpm.r,_xlpm.c,_xlpm.c))))</f>
        <v/>
      </c>
    </row>
    <row r="555" spans="2:2" x14ac:dyDescent="0.2">
      <c r="B555" t="str" cm="1">
        <f t="array" ref="B555">IF(A555="","",_xlfn.CHOOSECOLS('Prematch Backend 2A'!555:555,_xlfn.MAKEARRAY(1,A555-2,_xlfn.LAMBDA(_xlpm.r,_xlpm.c,_xlpm.c))))</f>
        <v/>
      </c>
    </row>
    <row r="556" spans="2:2" x14ac:dyDescent="0.2">
      <c r="B556" t="str" cm="1">
        <f t="array" ref="B556">IF(A556="","",_xlfn.CHOOSECOLS('Prematch Backend 2A'!556:556,_xlfn.MAKEARRAY(1,A556-2,_xlfn.LAMBDA(_xlpm.r,_xlpm.c,_xlpm.c))))</f>
        <v/>
      </c>
    </row>
    <row r="557" spans="2:2" x14ac:dyDescent="0.2">
      <c r="B557" t="str" cm="1">
        <f t="array" ref="B557">IF(A557="","",_xlfn.CHOOSECOLS('Prematch Backend 2A'!557:557,_xlfn.MAKEARRAY(1,A557-2,_xlfn.LAMBDA(_xlpm.r,_xlpm.c,_xlpm.c))))</f>
        <v/>
      </c>
    </row>
    <row r="558" spans="2:2" x14ac:dyDescent="0.2">
      <c r="B558" t="str" cm="1">
        <f t="array" ref="B558">IF(A558="","",_xlfn.CHOOSECOLS('Prematch Backend 2A'!558:558,_xlfn.MAKEARRAY(1,A558-2,_xlfn.LAMBDA(_xlpm.r,_xlpm.c,_xlpm.c))))</f>
        <v/>
      </c>
    </row>
    <row r="559" spans="2:2" x14ac:dyDescent="0.2">
      <c r="B559" t="str" cm="1">
        <f t="array" ref="B559">IF(A559="","",_xlfn.CHOOSECOLS('Prematch Backend 2A'!559:559,_xlfn.MAKEARRAY(1,A559-2,_xlfn.LAMBDA(_xlpm.r,_xlpm.c,_xlpm.c))))</f>
        <v/>
      </c>
    </row>
    <row r="560" spans="2:2" x14ac:dyDescent="0.2">
      <c r="B560" t="str" cm="1">
        <f t="array" ref="B560">IF(A560="","",_xlfn.CHOOSECOLS('Prematch Backend 2A'!560:560,_xlfn.MAKEARRAY(1,A560-2,_xlfn.LAMBDA(_xlpm.r,_xlpm.c,_xlpm.c))))</f>
        <v/>
      </c>
    </row>
    <row r="561" spans="2:2" x14ac:dyDescent="0.2">
      <c r="B561" t="str" cm="1">
        <f t="array" ref="B561">IF(A561="","",_xlfn.CHOOSECOLS('Prematch Backend 2A'!561:561,_xlfn.MAKEARRAY(1,A561-2,_xlfn.LAMBDA(_xlpm.r,_xlpm.c,_xlpm.c))))</f>
        <v/>
      </c>
    </row>
    <row r="562" spans="2:2" x14ac:dyDescent="0.2">
      <c r="B562" t="str" cm="1">
        <f t="array" ref="B562">IF(A562="","",_xlfn.CHOOSECOLS('Prematch Backend 2A'!562:562,_xlfn.MAKEARRAY(1,A562-2,_xlfn.LAMBDA(_xlpm.r,_xlpm.c,_xlpm.c))))</f>
        <v/>
      </c>
    </row>
    <row r="563" spans="2:2" x14ac:dyDescent="0.2">
      <c r="B563" t="str" cm="1">
        <f t="array" ref="B563">IF(A563="","",_xlfn.CHOOSECOLS('Prematch Backend 2A'!563:563,_xlfn.MAKEARRAY(1,A563-2,_xlfn.LAMBDA(_xlpm.r,_xlpm.c,_xlpm.c))))</f>
        <v/>
      </c>
    </row>
    <row r="564" spans="2:2" x14ac:dyDescent="0.2">
      <c r="B564" t="str" cm="1">
        <f t="array" ref="B564">IF(A564="","",_xlfn.CHOOSECOLS('Prematch Backend 2A'!564:564,_xlfn.MAKEARRAY(1,A564-2,_xlfn.LAMBDA(_xlpm.r,_xlpm.c,_xlpm.c))))</f>
        <v/>
      </c>
    </row>
    <row r="565" spans="2:2" x14ac:dyDescent="0.2">
      <c r="B565" t="str" cm="1">
        <f t="array" ref="B565">IF(A565="","",_xlfn.CHOOSECOLS('Prematch Backend 2A'!565:565,_xlfn.MAKEARRAY(1,A565-2,_xlfn.LAMBDA(_xlpm.r,_xlpm.c,_xlpm.c))))</f>
        <v/>
      </c>
    </row>
    <row r="566" spans="2:2" x14ac:dyDescent="0.2">
      <c r="B566" t="str" cm="1">
        <f t="array" ref="B566">IF(A566="","",_xlfn.CHOOSECOLS('Prematch Backend 2A'!566:566,_xlfn.MAKEARRAY(1,A566-2,_xlfn.LAMBDA(_xlpm.r,_xlpm.c,_xlpm.c))))</f>
        <v/>
      </c>
    </row>
    <row r="567" spans="2:2" x14ac:dyDescent="0.2">
      <c r="B567" t="str" cm="1">
        <f t="array" ref="B567">IF(A567="","",_xlfn.CHOOSECOLS('Prematch Backend 2A'!567:567,_xlfn.MAKEARRAY(1,A567-2,_xlfn.LAMBDA(_xlpm.r,_xlpm.c,_xlpm.c))))</f>
        <v/>
      </c>
    </row>
    <row r="568" spans="2:2" x14ac:dyDescent="0.2">
      <c r="B568" t="str" cm="1">
        <f t="array" ref="B568">IF(A568="","",_xlfn.CHOOSECOLS('Prematch Backend 2A'!568:568,_xlfn.MAKEARRAY(1,A568-2,_xlfn.LAMBDA(_xlpm.r,_xlpm.c,_xlpm.c))))</f>
        <v/>
      </c>
    </row>
    <row r="569" spans="2:2" x14ac:dyDescent="0.2">
      <c r="B569" t="str" cm="1">
        <f t="array" ref="B569">IF(A569="","",_xlfn.CHOOSECOLS('Prematch Backend 2A'!569:569,_xlfn.MAKEARRAY(1,A569-2,_xlfn.LAMBDA(_xlpm.r,_xlpm.c,_xlpm.c))))</f>
        <v/>
      </c>
    </row>
    <row r="570" spans="2:2" x14ac:dyDescent="0.2">
      <c r="B570" t="str" cm="1">
        <f t="array" ref="B570">IF(A570="","",_xlfn.CHOOSECOLS('Prematch Backend 2A'!570:570,_xlfn.MAKEARRAY(1,A570-2,_xlfn.LAMBDA(_xlpm.r,_xlpm.c,_xlpm.c))))</f>
        <v/>
      </c>
    </row>
    <row r="571" spans="2:2" x14ac:dyDescent="0.2">
      <c r="B571" t="str" cm="1">
        <f t="array" ref="B571">IF(A571="","",_xlfn.CHOOSECOLS('Prematch Backend 2A'!571:571,_xlfn.MAKEARRAY(1,A571-2,_xlfn.LAMBDA(_xlpm.r,_xlpm.c,_xlpm.c))))</f>
        <v/>
      </c>
    </row>
    <row r="572" spans="2:2" x14ac:dyDescent="0.2">
      <c r="B572" t="str" cm="1">
        <f t="array" ref="B572">IF(A572="","",_xlfn.CHOOSECOLS('Prematch Backend 2A'!572:572,_xlfn.MAKEARRAY(1,A572-2,_xlfn.LAMBDA(_xlpm.r,_xlpm.c,_xlpm.c))))</f>
        <v/>
      </c>
    </row>
    <row r="573" spans="2:2" x14ac:dyDescent="0.2">
      <c r="B573" t="str" cm="1">
        <f t="array" ref="B573">IF(A573="","",_xlfn.CHOOSECOLS('Prematch Backend 2A'!573:573,_xlfn.MAKEARRAY(1,A573-2,_xlfn.LAMBDA(_xlpm.r,_xlpm.c,_xlpm.c))))</f>
        <v/>
      </c>
    </row>
    <row r="574" spans="2:2" x14ac:dyDescent="0.2">
      <c r="B574" t="str" cm="1">
        <f t="array" ref="B574">IF(A574="","",_xlfn.CHOOSECOLS('Prematch Backend 2A'!574:574,_xlfn.MAKEARRAY(1,A574-2,_xlfn.LAMBDA(_xlpm.r,_xlpm.c,_xlpm.c))))</f>
        <v/>
      </c>
    </row>
    <row r="575" spans="2:2" x14ac:dyDescent="0.2">
      <c r="B575" t="str" cm="1">
        <f t="array" ref="B575">IF(A575="","",_xlfn.CHOOSECOLS('Prematch Backend 2A'!575:575,_xlfn.MAKEARRAY(1,A575-2,_xlfn.LAMBDA(_xlpm.r,_xlpm.c,_xlpm.c))))</f>
        <v/>
      </c>
    </row>
    <row r="576" spans="2:2" x14ac:dyDescent="0.2">
      <c r="B576" t="str" cm="1">
        <f t="array" ref="B576">IF(A576="","",_xlfn.CHOOSECOLS('Prematch Backend 2A'!576:576,_xlfn.MAKEARRAY(1,A576-2,_xlfn.LAMBDA(_xlpm.r,_xlpm.c,_xlpm.c))))</f>
        <v/>
      </c>
    </row>
    <row r="577" spans="2:2" x14ac:dyDescent="0.2">
      <c r="B577" t="str" cm="1">
        <f t="array" ref="B577">IF(A577="","",_xlfn.CHOOSECOLS('Prematch Backend 2A'!577:577,_xlfn.MAKEARRAY(1,A577-2,_xlfn.LAMBDA(_xlpm.r,_xlpm.c,_xlpm.c))))</f>
        <v/>
      </c>
    </row>
    <row r="578" spans="2:2" x14ac:dyDescent="0.2">
      <c r="B578" t="str" cm="1">
        <f t="array" ref="B578">IF(A578="","",_xlfn.CHOOSECOLS('Prematch Backend 2A'!578:578,_xlfn.MAKEARRAY(1,A578-2,_xlfn.LAMBDA(_xlpm.r,_xlpm.c,_xlpm.c))))</f>
        <v/>
      </c>
    </row>
    <row r="579" spans="2:2" x14ac:dyDescent="0.2">
      <c r="B579" t="str" cm="1">
        <f t="array" ref="B579">IF(A579="","",_xlfn.CHOOSECOLS('Prematch Backend 2A'!579:579,_xlfn.MAKEARRAY(1,A579-2,_xlfn.LAMBDA(_xlpm.r,_xlpm.c,_xlpm.c))))</f>
        <v/>
      </c>
    </row>
    <row r="580" spans="2:2" x14ac:dyDescent="0.2">
      <c r="B580" t="str" cm="1">
        <f t="array" ref="B580">IF(A580="","",_xlfn.CHOOSECOLS('Prematch Backend 2A'!580:580,_xlfn.MAKEARRAY(1,A580-2,_xlfn.LAMBDA(_xlpm.r,_xlpm.c,_xlpm.c))))</f>
        <v/>
      </c>
    </row>
    <row r="581" spans="2:2" x14ac:dyDescent="0.2">
      <c r="B581" t="str" cm="1">
        <f t="array" ref="B581">IF(A581="","",_xlfn.CHOOSECOLS('Prematch Backend 2A'!581:581,_xlfn.MAKEARRAY(1,A581-2,_xlfn.LAMBDA(_xlpm.r,_xlpm.c,_xlpm.c))))</f>
        <v/>
      </c>
    </row>
    <row r="582" spans="2:2" x14ac:dyDescent="0.2">
      <c r="B582" t="str" cm="1">
        <f t="array" ref="B582">IF(A582="","",_xlfn.CHOOSECOLS('Prematch Backend 2A'!582:582,_xlfn.MAKEARRAY(1,A582-2,_xlfn.LAMBDA(_xlpm.r,_xlpm.c,_xlpm.c))))</f>
        <v/>
      </c>
    </row>
    <row r="583" spans="2:2" x14ac:dyDescent="0.2">
      <c r="B583" t="str" cm="1">
        <f t="array" ref="B583">IF(A583="","",_xlfn.CHOOSECOLS('Prematch Backend 2A'!583:583,_xlfn.MAKEARRAY(1,A583-2,_xlfn.LAMBDA(_xlpm.r,_xlpm.c,_xlpm.c))))</f>
        <v/>
      </c>
    </row>
    <row r="584" spans="2:2" x14ac:dyDescent="0.2">
      <c r="B584" t="str" cm="1">
        <f t="array" ref="B584">IF(A584="","",_xlfn.CHOOSECOLS('Prematch Backend 2A'!584:584,_xlfn.MAKEARRAY(1,A584-2,_xlfn.LAMBDA(_xlpm.r,_xlpm.c,_xlpm.c))))</f>
        <v/>
      </c>
    </row>
    <row r="585" spans="2:2" x14ac:dyDescent="0.2">
      <c r="B585" t="str" cm="1">
        <f t="array" ref="B585">IF(A585="","",_xlfn.CHOOSECOLS('Prematch Backend 2A'!585:585,_xlfn.MAKEARRAY(1,A585-2,_xlfn.LAMBDA(_xlpm.r,_xlpm.c,_xlpm.c))))</f>
        <v/>
      </c>
    </row>
    <row r="586" spans="2:2" x14ac:dyDescent="0.2">
      <c r="B586" t="str" cm="1">
        <f t="array" ref="B586">IF(A586="","",_xlfn.CHOOSECOLS('Prematch Backend 2A'!586:586,_xlfn.MAKEARRAY(1,A586-2,_xlfn.LAMBDA(_xlpm.r,_xlpm.c,_xlpm.c))))</f>
        <v/>
      </c>
    </row>
    <row r="587" spans="2:2" x14ac:dyDescent="0.2">
      <c r="B587" t="str" cm="1">
        <f t="array" ref="B587">IF(A587="","",_xlfn.CHOOSECOLS('Prematch Backend 2A'!587:587,_xlfn.MAKEARRAY(1,A587-2,_xlfn.LAMBDA(_xlpm.r,_xlpm.c,_xlpm.c))))</f>
        <v/>
      </c>
    </row>
    <row r="588" spans="2:2" x14ac:dyDescent="0.2">
      <c r="B588" t="str" cm="1">
        <f t="array" ref="B588">IF(A588="","",_xlfn.CHOOSECOLS('Prematch Backend 2A'!588:588,_xlfn.MAKEARRAY(1,A588-2,_xlfn.LAMBDA(_xlpm.r,_xlpm.c,_xlpm.c))))</f>
        <v/>
      </c>
    </row>
    <row r="589" spans="2:2" x14ac:dyDescent="0.2">
      <c r="B589" t="str" cm="1">
        <f t="array" ref="B589">IF(A589="","",_xlfn.CHOOSECOLS('Prematch Backend 2A'!589:589,_xlfn.MAKEARRAY(1,A589-2,_xlfn.LAMBDA(_xlpm.r,_xlpm.c,_xlpm.c))))</f>
        <v/>
      </c>
    </row>
    <row r="590" spans="2:2" x14ac:dyDescent="0.2">
      <c r="B590" t="str" cm="1">
        <f t="array" ref="B590">IF(A590="","",_xlfn.CHOOSECOLS('Prematch Backend 2A'!590:590,_xlfn.MAKEARRAY(1,A590-2,_xlfn.LAMBDA(_xlpm.r,_xlpm.c,_xlpm.c))))</f>
        <v/>
      </c>
    </row>
    <row r="591" spans="2:2" x14ac:dyDescent="0.2">
      <c r="B591" t="str" cm="1">
        <f t="array" ref="B591">IF(A591="","",_xlfn.CHOOSECOLS('Prematch Backend 2A'!591:591,_xlfn.MAKEARRAY(1,A591-2,_xlfn.LAMBDA(_xlpm.r,_xlpm.c,_xlpm.c))))</f>
        <v/>
      </c>
    </row>
    <row r="592" spans="2:2" x14ac:dyDescent="0.2">
      <c r="B592" t="str" cm="1">
        <f t="array" ref="B592">IF(A592="","",_xlfn.CHOOSECOLS('Prematch Backend 2A'!592:592,_xlfn.MAKEARRAY(1,A592-2,_xlfn.LAMBDA(_xlpm.r,_xlpm.c,_xlpm.c))))</f>
        <v/>
      </c>
    </row>
    <row r="593" spans="2:2" x14ac:dyDescent="0.2">
      <c r="B593" t="str" cm="1">
        <f t="array" ref="B593">IF(A593="","",_xlfn.CHOOSECOLS('Prematch Backend 2A'!593:593,_xlfn.MAKEARRAY(1,A593-2,_xlfn.LAMBDA(_xlpm.r,_xlpm.c,_xlpm.c))))</f>
        <v/>
      </c>
    </row>
    <row r="594" spans="2:2" x14ac:dyDescent="0.2">
      <c r="B594" t="str" cm="1">
        <f t="array" ref="B594">IF(A594="","",_xlfn.CHOOSECOLS('Prematch Backend 2A'!594:594,_xlfn.MAKEARRAY(1,A594-2,_xlfn.LAMBDA(_xlpm.r,_xlpm.c,_xlpm.c))))</f>
        <v/>
      </c>
    </row>
    <row r="595" spans="2:2" x14ac:dyDescent="0.2">
      <c r="B595" t="str" cm="1">
        <f t="array" ref="B595">IF(A595="","",_xlfn.CHOOSECOLS('Prematch Backend 2A'!595:595,_xlfn.MAKEARRAY(1,A595-2,_xlfn.LAMBDA(_xlpm.r,_xlpm.c,_xlpm.c))))</f>
        <v/>
      </c>
    </row>
    <row r="596" spans="2:2" x14ac:dyDescent="0.2">
      <c r="B596" t="str" cm="1">
        <f t="array" ref="B596">IF(A596="","",_xlfn.CHOOSECOLS('Prematch Backend 2A'!596:596,_xlfn.MAKEARRAY(1,A596-2,_xlfn.LAMBDA(_xlpm.r,_xlpm.c,_xlpm.c))))</f>
        <v/>
      </c>
    </row>
    <row r="597" spans="2:2" x14ac:dyDescent="0.2">
      <c r="B597" t="str" cm="1">
        <f t="array" ref="B597">IF(A597="","",_xlfn.CHOOSECOLS('Prematch Backend 2A'!597:597,_xlfn.MAKEARRAY(1,A597-2,_xlfn.LAMBDA(_xlpm.r,_xlpm.c,_xlpm.c))))</f>
        <v/>
      </c>
    </row>
    <row r="598" spans="2:2" x14ac:dyDescent="0.2">
      <c r="B598" t="str" cm="1">
        <f t="array" ref="B598">IF(A598="","",_xlfn.CHOOSECOLS('Prematch Backend 2A'!598:598,_xlfn.MAKEARRAY(1,A598-2,_xlfn.LAMBDA(_xlpm.r,_xlpm.c,_xlpm.c))))</f>
        <v/>
      </c>
    </row>
    <row r="599" spans="2:2" x14ac:dyDescent="0.2">
      <c r="B599" t="str" cm="1">
        <f t="array" ref="B599">IF(A599="","",_xlfn.CHOOSECOLS('Prematch Backend 2A'!599:599,_xlfn.MAKEARRAY(1,A599-2,_xlfn.LAMBDA(_xlpm.r,_xlpm.c,_xlpm.c))))</f>
        <v/>
      </c>
    </row>
    <row r="600" spans="2:2" x14ac:dyDescent="0.2">
      <c r="B600" t="str" cm="1">
        <f t="array" ref="B600">IF(A600="","",_xlfn.CHOOSECOLS('Prematch Backend 2A'!600:600,_xlfn.MAKEARRAY(1,A600-2,_xlfn.LAMBDA(_xlpm.r,_xlpm.c,_xlpm.c))))</f>
        <v/>
      </c>
    </row>
    <row r="601" spans="2:2" x14ac:dyDescent="0.2">
      <c r="B601" t="str" cm="1">
        <f t="array" ref="B601">IF(A601="","",_xlfn.CHOOSECOLS('Prematch Backend 2A'!601:601,_xlfn.MAKEARRAY(1,A601-2,_xlfn.LAMBDA(_xlpm.r,_xlpm.c,_xlpm.c))))</f>
        <v/>
      </c>
    </row>
    <row r="602" spans="2:2" x14ac:dyDescent="0.2">
      <c r="B602" t="str" cm="1">
        <f t="array" ref="B602">IF(A602="","",_xlfn.CHOOSECOLS('Prematch Backend 2A'!602:602,_xlfn.MAKEARRAY(1,A602-2,_xlfn.LAMBDA(_xlpm.r,_xlpm.c,_xlpm.c))))</f>
        <v/>
      </c>
    </row>
    <row r="603" spans="2:2" x14ac:dyDescent="0.2">
      <c r="B603" t="str" cm="1">
        <f t="array" ref="B603">IF(A603="","",_xlfn.CHOOSECOLS('Prematch Backend 2A'!603:603,_xlfn.MAKEARRAY(1,A603-2,_xlfn.LAMBDA(_xlpm.r,_xlpm.c,_xlpm.c))))</f>
        <v/>
      </c>
    </row>
    <row r="604" spans="2:2" x14ac:dyDescent="0.2">
      <c r="B604" t="str" cm="1">
        <f t="array" ref="B604">IF(A604="","",_xlfn.CHOOSECOLS('Prematch Backend 2A'!604:604,_xlfn.MAKEARRAY(1,A604-2,_xlfn.LAMBDA(_xlpm.r,_xlpm.c,_xlpm.c))))</f>
        <v/>
      </c>
    </row>
    <row r="605" spans="2:2" x14ac:dyDescent="0.2">
      <c r="B605" t="str" cm="1">
        <f t="array" ref="B605">IF(A605="","",_xlfn.CHOOSECOLS('Prematch Backend 2A'!605:605,_xlfn.MAKEARRAY(1,A605-2,_xlfn.LAMBDA(_xlpm.r,_xlpm.c,_xlpm.c))))</f>
        <v/>
      </c>
    </row>
    <row r="606" spans="2:2" x14ac:dyDescent="0.2">
      <c r="B606" t="str" cm="1">
        <f t="array" ref="B606">IF(A606="","",_xlfn.CHOOSECOLS('Prematch Backend 2A'!606:606,_xlfn.MAKEARRAY(1,A606-2,_xlfn.LAMBDA(_xlpm.r,_xlpm.c,_xlpm.c))))</f>
        <v/>
      </c>
    </row>
    <row r="607" spans="2:2" x14ac:dyDescent="0.2">
      <c r="B607" t="str" cm="1">
        <f t="array" ref="B607">IF(A607="","",_xlfn.CHOOSECOLS('Prematch Backend 2A'!607:607,_xlfn.MAKEARRAY(1,A607-2,_xlfn.LAMBDA(_xlpm.r,_xlpm.c,_xlpm.c))))</f>
        <v/>
      </c>
    </row>
    <row r="608" spans="2:2" x14ac:dyDescent="0.2">
      <c r="B608" t="str" cm="1">
        <f t="array" ref="B608">IF(A608="","",_xlfn.CHOOSECOLS('Prematch Backend 2A'!608:608,_xlfn.MAKEARRAY(1,A608-2,_xlfn.LAMBDA(_xlpm.r,_xlpm.c,_xlpm.c))))</f>
        <v/>
      </c>
    </row>
    <row r="609" spans="2:2" x14ac:dyDescent="0.2">
      <c r="B609" t="str" cm="1">
        <f t="array" ref="B609">IF(A609="","",_xlfn.CHOOSECOLS('Prematch Backend 2A'!609:609,_xlfn.MAKEARRAY(1,A609-2,_xlfn.LAMBDA(_xlpm.r,_xlpm.c,_xlpm.c))))</f>
        <v/>
      </c>
    </row>
    <row r="610" spans="2:2" x14ac:dyDescent="0.2">
      <c r="B610" t="str" cm="1">
        <f t="array" ref="B610">IF(A610="","",_xlfn.CHOOSECOLS('Prematch Backend 2A'!610:610,_xlfn.MAKEARRAY(1,A610-2,_xlfn.LAMBDA(_xlpm.r,_xlpm.c,_xlpm.c))))</f>
        <v/>
      </c>
    </row>
    <row r="611" spans="2:2" x14ac:dyDescent="0.2">
      <c r="B611" t="str" cm="1">
        <f t="array" ref="B611">IF(A611="","",_xlfn.CHOOSECOLS('Prematch Backend 2A'!611:611,_xlfn.MAKEARRAY(1,A611-2,_xlfn.LAMBDA(_xlpm.r,_xlpm.c,_xlpm.c))))</f>
        <v/>
      </c>
    </row>
    <row r="612" spans="2:2" x14ac:dyDescent="0.2">
      <c r="B612" t="str" cm="1">
        <f t="array" ref="B612">IF(A612="","",_xlfn.CHOOSECOLS('Prematch Backend 2A'!612:612,_xlfn.MAKEARRAY(1,A612-2,_xlfn.LAMBDA(_xlpm.r,_xlpm.c,_xlpm.c))))</f>
        <v/>
      </c>
    </row>
    <row r="613" spans="2:2" x14ac:dyDescent="0.2">
      <c r="B613" t="str" cm="1">
        <f t="array" ref="B613">IF(A613="","",_xlfn.CHOOSECOLS('Prematch Backend 2A'!613:613,_xlfn.MAKEARRAY(1,A613-2,_xlfn.LAMBDA(_xlpm.r,_xlpm.c,_xlpm.c))))</f>
        <v/>
      </c>
    </row>
    <row r="614" spans="2:2" x14ac:dyDescent="0.2">
      <c r="B614" t="str" cm="1">
        <f t="array" ref="B614">IF(A614="","",_xlfn.CHOOSECOLS('Prematch Backend 2A'!614:614,_xlfn.MAKEARRAY(1,A614-2,_xlfn.LAMBDA(_xlpm.r,_xlpm.c,_xlpm.c))))</f>
        <v/>
      </c>
    </row>
    <row r="615" spans="2:2" x14ac:dyDescent="0.2">
      <c r="B615" t="str" cm="1">
        <f t="array" ref="B615">IF(A615="","",_xlfn.CHOOSECOLS('Prematch Backend 2A'!615:615,_xlfn.MAKEARRAY(1,A615-2,_xlfn.LAMBDA(_xlpm.r,_xlpm.c,_xlpm.c))))</f>
        <v/>
      </c>
    </row>
    <row r="616" spans="2:2" x14ac:dyDescent="0.2">
      <c r="B616" t="str" cm="1">
        <f t="array" ref="B616">IF(A616="","",_xlfn.CHOOSECOLS('Prematch Backend 2A'!616:616,_xlfn.MAKEARRAY(1,A616-2,_xlfn.LAMBDA(_xlpm.r,_xlpm.c,_xlpm.c))))</f>
        <v/>
      </c>
    </row>
    <row r="617" spans="2:2" x14ac:dyDescent="0.2">
      <c r="B617" t="str" cm="1">
        <f t="array" ref="B617">IF(A617="","",_xlfn.CHOOSECOLS('Prematch Backend 2A'!617:617,_xlfn.MAKEARRAY(1,A617-2,_xlfn.LAMBDA(_xlpm.r,_xlpm.c,_xlpm.c))))</f>
        <v/>
      </c>
    </row>
    <row r="618" spans="2:2" x14ac:dyDescent="0.2">
      <c r="B618" t="str" cm="1">
        <f t="array" ref="B618">IF(A618="","",_xlfn.CHOOSECOLS('Prematch Backend 2A'!618:618,_xlfn.MAKEARRAY(1,A618-2,_xlfn.LAMBDA(_xlpm.r,_xlpm.c,_xlpm.c))))</f>
        <v/>
      </c>
    </row>
    <row r="619" spans="2:2" x14ac:dyDescent="0.2">
      <c r="B619" t="str" cm="1">
        <f t="array" ref="B619">IF(A619="","",_xlfn.CHOOSECOLS('Prematch Backend 2A'!619:619,_xlfn.MAKEARRAY(1,A619-2,_xlfn.LAMBDA(_xlpm.r,_xlpm.c,_xlpm.c))))</f>
        <v/>
      </c>
    </row>
    <row r="620" spans="2:2" x14ac:dyDescent="0.2">
      <c r="B620" t="str" cm="1">
        <f t="array" ref="B620">IF(A620="","",_xlfn.CHOOSECOLS('Prematch Backend 2A'!620:620,_xlfn.MAKEARRAY(1,A620-2,_xlfn.LAMBDA(_xlpm.r,_xlpm.c,_xlpm.c))))</f>
        <v/>
      </c>
    </row>
    <row r="621" spans="2:2" x14ac:dyDescent="0.2">
      <c r="B621" t="str" cm="1">
        <f t="array" ref="B621">IF(A621="","",_xlfn.CHOOSECOLS('Prematch Backend 2A'!621:621,_xlfn.MAKEARRAY(1,A621-2,_xlfn.LAMBDA(_xlpm.r,_xlpm.c,_xlpm.c))))</f>
        <v/>
      </c>
    </row>
    <row r="622" spans="2:2" x14ac:dyDescent="0.2">
      <c r="B622" t="str" cm="1">
        <f t="array" ref="B622">IF(A622="","",_xlfn.CHOOSECOLS('Prematch Backend 2A'!622:622,_xlfn.MAKEARRAY(1,A622-2,_xlfn.LAMBDA(_xlpm.r,_xlpm.c,_xlpm.c))))</f>
        <v/>
      </c>
    </row>
    <row r="623" spans="2:2" x14ac:dyDescent="0.2">
      <c r="B623" t="str" cm="1">
        <f t="array" ref="B623">IF(A623="","",_xlfn.CHOOSECOLS('Prematch Backend 2A'!623:623,_xlfn.MAKEARRAY(1,A623-2,_xlfn.LAMBDA(_xlpm.r,_xlpm.c,_xlpm.c))))</f>
        <v/>
      </c>
    </row>
    <row r="624" spans="2:2" x14ac:dyDescent="0.2">
      <c r="B624" t="str" cm="1">
        <f t="array" ref="B624">IF(A624="","",_xlfn.CHOOSECOLS('Prematch Backend 2A'!624:624,_xlfn.MAKEARRAY(1,A624-2,_xlfn.LAMBDA(_xlpm.r,_xlpm.c,_xlpm.c))))</f>
        <v/>
      </c>
    </row>
    <row r="625" spans="2:2" x14ac:dyDescent="0.2">
      <c r="B625" t="str" cm="1">
        <f t="array" ref="B625">IF(A625="","",_xlfn.CHOOSECOLS('Prematch Backend 2A'!625:625,_xlfn.MAKEARRAY(1,A625-2,_xlfn.LAMBDA(_xlpm.r,_xlpm.c,_xlpm.c))))</f>
        <v/>
      </c>
    </row>
    <row r="626" spans="2:2" x14ac:dyDescent="0.2">
      <c r="B626" t="str" cm="1">
        <f t="array" ref="B626">IF(A626="","",_xlfn.CHOOSECOLS('Prematch Backend 2A'!626:626,_xlfn.MAKEARRAY(1,A626-2,_xlfn.LAMBDA(_xlpm.r,_xlpm.c,_xlpm.c))))</f>
        <v/>
      </c>
    </row>
    <row r="627" spans="2:2" x14ac:dyDescent="0.2">
      <c r="B627" t="str" cm="1">
        <f t="array" ref="B627">IF(A627="","",_xlfn.CHOOSECOLS('Prematch Backend 2A'!627:627,_xlfn.MAKEARRAY(1,A627-2,_xlfn.LAMBDA(_xlpm.r,_xlpm.c,_xlpm.c))))</f>
        <v/>
      </c>
    </row>
    <row r="628" spans="2:2" x14ac:dyDescent="0.2">
      <c r="B628" t="str" cm="1">
        <f t="array" ref="B628">IF(A628="","",_xlfn.CHOOSECOLS('Prematch Backend 2A'!628:628,_xlfn.MAKEARRAY(1,A628-2,_xlfn.LAMBDA(_xlpm.r,_xlpm.c,_xlpm.c))))</f>
        <v/>
      </c>
    </row>
    <row r="629" spans="2:2" x14ac:dyDescent="0.2">
      <c r="B629" t="str" cm="1">
        <f t="array" ref="B629">IF(A629="","",_xlfn.CHOOSECOLS('Prematch Backend 2A'!629:629,_xlfn.MAKEARRAY(1,A629-2,_xlfn.LAMBDA(_xlpm.r,_xlpm.c,_xlpm.c))))</f>
        <v/>
      </c>
    </row>
    <row r="630" spans="2:2" x14ac:dyDescent="0.2">
      <c r="B630" t="str" cm="1">
        <f t="array" ref="B630">IF(A630="","",_xlfn.CHOOSECOLS('Prematch Backend 2A'!630:630,_xlfn.MAKEARRAY(1,A630-2,_xlfn.LAMBDA(_xlpm.r,_xlpm.c,_xlpm.c))))</f>
        <v/>
      </c>
    </row>
    <row r="631" spans="2:2" x14ac:dyDescent="0.2">
      <c r="B631" t="str" cm="1">
        <f t="array" ref="B631">IF(A631="","",_xlfn.CHOOSECOLS('Prematch Backend 2A'!631:631,_xlfn.MAKEARRAY(1,A631-2,_xlfn.LAMBDA(_xlpm.r,_xlpm.c,_xlpm.c))))</f>
        <v/>
      </c>
    </row>
    <row r="632" spans="2:2" x14ac:dyDescent="0.2">
      <c r="B632" t="str" cm="1">
        <f t="array" ref="B632">IF(A632="","",_xlfn.CHOOSECOLS('Prematch Backend 2A'!632:632,_xlfn.MAKEARRAY(1,A632-2,_xlfn.LAMBDA(_xlpm.r,_xlpm.c,_xlpm.c))))</f>
        <v/>
      </c>
    </row>
    <row r="633" spans="2:2" x14ac:dyDescent="0.2">
      <c r="B633" t="str" cm="1">
        <f t="array" ref="B633">IF(A633="","",_xlfn.CHOOSECOLS('Prematch Backend 2A'!633:633,_xlfn.MAKEARRAY(1,A633-2,_xlfn.LAMBDA(_xlpm.r,_xlpm.c,_xlpm.c))))</f>
        <v/>
      </c>
    </row>
    <row r="634" spans="2:2" x14ac:dyDescent="0.2">
      <c r="B634" t="str" cm="1">
        <f t="array" ref="B634">IF(A634="","",_xlfn.CHOOSECOLS('Prematch Backend 2A'!634:634,_xlfn.MAKEARRAY(1,A634-2,_xlfn.LAMBDA(_xlpm.r,_xlpm.c,_xlpm.c))))</f>
        <v/>
      </c>
    </row>
    <row r="635" spans="2:2" x14ac:dyDescent="0.2">
      <c r="B635" t="str" cm="1">
        <f t="array" ref="B635">IF(A635="","",_xlfn.CHOOSECOLS('Prematch Backend 2A'!635:635,_xlfn.MAKEARRAY(1,A635-2,_xlfn.LAMBDA(_xlpm.r,_xlpm.c,_xlpm.c))))</f>
        <v/>
      </c>
    </row>
    <row r="636" spans="2:2" x14ac:dyDescent="0.2">
      <c r="B636" t="str" cm="1">
        <f t="array" ref="B636">IF(A636="","",_xlfn.CHOOSECOLS('Prematch Backend 2A'!636:636,_xlfn.MAKEARRAY(1,A636-2,_xlfn.LAMBDA(_xlpm.r,_xlpm.c,_xlpm.c))))</f>
        <v/>
      </c>
    </row>
    <row r="637" spans="2:2" x14ac:dyDescent="0.2">
      <c r="B637" t="str" cm="1">
        <f t="array" ref="B637">IF(A637="","",_xlfn.CHOOSECOLS('Prematch Backend 2A'!637:637,_xlfn.MAKEARRAY(1,A637-2,_xlfn.LAMBDA(_xlpm.r,_xlpm.c,_xlpm.c))))</f>
        <v/>
      </c>
    </row>
    <row r="638" spans="2:2" x14ac:dyDescent="0.2">
      <c r="B638" t="str" cm="1">
        <f t="array" ref="B638">IF(A638="","",_xlfn.CHOOSECOLS('Prematch Backend 2A'!638:638,_xlfn.MAKEARRAY(1,A638-2,_xlfn.LAMBDA(_xlpm.r,_xlpm.c,_xlpm.c))))</f>
        <v/>
      </c>
    </row>
    <row r="639" spans="2:2" x14ac:dyDescent="0.2">
      <c r="B639" t="str" cm="1">
        <f t="array" ref="B639">IF(A639="","",_xlfn.CHOOSECOLS('Prematch Backend 2A'!639:639,_xlfn.MAKEARRAY(1,A639-2,_xlfn.LAMBDA(_xlpm.r,_xlpm.c,_xlpm.c))))</f>
        <v/>
      </c>
    </row>
    <row r="640" spans="2:2" x14ac:dyDescent="0.2">
      <c r="B640" t="str" cm="1">
        <f t="array" ref="B640">IF(A640="","",_xlfn.CHOOSECOLS('Prematch Backend 2A'!640:640,_xlfn.MAKEARRAY(1,A640-2,_xlfn.LAMBDA(_xlpm.r,_xlpm.c,_xlpm.c))))</f>
        <v/>
      </c>
    </row>
    <row r="641" spans="2:2" x14ac:dyDescent="0.2">
      <c r="B641" t="str" cm="1">
        <f t="array" ref="B641">IF(A641="","",_xlfn.CHOOSECOLS('Prematch Backend 2A'!641:641,_xlfn.MAKEARRAY(1,A641-2,_xlfn.LAMBDA(_xlpm.r,_xlpm.c,_xlpm.c))))</f>
        <v/>
      </c>
    </row>
    <row r="642" spans="2:2" x14ac:dyDescent="0.2">
      <c r="B642" t="str" cm="1">
        <f t="array" ref="B642">IF(A642="","",_xlfn.CHOOSECOLS('Prematch Backend 2A'!642:642,_xlfn.MAKEARRAY(1,A642-2,_xlfn.LAMBDA(_xlpm.r,_xlpm.c,_xlpm.c))))</f>
        <v/>
      </c>
    </row>
    <row r="643" spans="2:2" x14ac:dyDescent="0.2">
      <c r="B643" t="str" cm="1">
        <f t="array" ref="B643">IF(A643="","",_xlfn.CHOOSECOLS('Prematch Backend 2A'!643:643,_xlfn.MAKEARRAY(1,A643-2,_xlfn.LAMBDA(_xlpm.r,_xlpm.c,_xlpm.c))))</f>
        <v/>
      </c>
    </row>
    <row r="644" spans="2:2" x14ac:dyDescent="0.2">
      <c r="B644" t="str" cm="1">
        <f t="array" ref="B644">IF(A644="","",_xlfn.CHOOSECOLS('Prematch Backend 2A'!644:644,_xlfn.MAKEARRAY(1,A644-2,_xlfn.LAMBDA(_xlpm.r,_xlpm.c,_xlpm.c))))</f>
        <v/>
      </c>
    </row>
    <row r="645" spans="2:2" x14ac:dyDescent="0.2">
      <c r="B645" t="str" cm="1">
        <f t="array" ref="B645">IF(A645="","",_xlfn.CHOOSECOLS('Prematch Backend 2A'!645:645,_xlfn.MAKEARRAY(1,A645-2,_xlfn.LAMBDA(_xlpm.r,_xlpm.c,_xlpm.c))))</f>
        <v/>
      </c>
    </row>
    <row r="646" spans="2:2" x14ac:dyDescent="0.2">
      <c r="B646" t="str" cm="1">
        <f t="array" ref="B646">IF(A646="","",_xlfn.CHOOSECOLS('Prematch Backend 2A'!646:646,_xlfn.MAKEARRAY(1,A646-2,_xlfn.LAMBDA(_xlpm.r,_xlpm.c,_xlpm.c))))</f>
        <v/>
      </c>
    </row>
    <row r="647" spans="2:2" x14ac:dyDescent="0.2">
      <c r="B647" t="str" cm="1">
        <f t="array" ref="B647">IF(A647="","",_xlfn.CHOOSECOLS('Prematch Backend 2A'!647:647,_xlfn.MAKEARRAY(1,A647-2,_xlfn.LAMBDA(_xlpm.r,_xlpm.c,_xlpm.c))))</f>
        <v/>
      </c>
    </row>
    <row r="648" spans="2:2" x14ac:dyDescent="0.2">
      <c r="B648" t="str" cm="1">
        <f t="array" ref="B648">IF(A648="","",_xlfn.CHOOSECOLS('Prematch Backend 2A'!648:648,_xlfn.MAKEARRAY(1,A648-2,_xlfn.LAMBDA(_xlpm.r,_xlpm.c,_xlpm.c))))</f>
        <v/>
      </c>
    </row>
    <row r="649" spans="2:2" x14ac:dyDescent="0.2">
      <c r="B649" t="str" cm="1">
        <f t="array" ref="B649">IF(A649="","",_xlfn.CHOOSECOLS('Prematch Backend 2A'!649:649,_xlfn.MAKEARRAY(1,A649-2,_xlfn.LAMBDA(_xlpm.r,_xlpm.c,_xlpm.c))))</f>
        <v/>
      </c>
    </row>
    <row r="650" spans="2:2" x14ac:dyDescent="0.2">
      <c r="B650" t="str" cm="1">
        <f t="array" ref="B650">IF(A650="","",_xlfn.CHOOSECOLS('Prematch Backend 2A'!650:650,_xlfn.MAKEARRAY(1,A650-2,_xlfn.LAMBDA(_xlpm.r,_xlpm.c,_xlpm.c))))</f>
        <v/>
      </c>
    </row>
    <row r="651" spans="2:2" x14ac:dyDescent="0.2">
      <c r="B651" t="str" cm="1">
        <f t="array" ref="B651">IF(A651="","",_xlfn.CHOOSECOLS('Prematch Backend 2A'!651:651,_xlfn.MAKEARRAY(1,A651-2,_xlfn.LAMBDA(_xlpm.r,_xlpm.c,_xlpm.c))))</f>
        <v/>
      </c>
    </row>
    <row r="652" spans="2:2" x14ac:dyDescent="0.2">
      <c r="B652" t="str" cm="1">
        <f t="array" ref="B652">IF(A652="","",_xlfn.CHOOSECOLS('Prematch Backend 2A'!652:652,_xlfn.MAKEARRAY(1,A652-2,_xlfn.LAMBDA(_xlpm.r,_xlpm.c,_xlpm.c))))</f>
        <v/>
      </c>
    </row>
    <row r="653" spans="2:2" x14ac:dyDescent="0.2">
      <c r="B653" t="str" cm="1">
        <f t="array" ref="B653">IF(A653="","",_xlfn.CHOOSECOLS('Prematch Backend 2A'!653:653,_xlfn.MAKEARRAY(1,A653-2,_xlfn.LAMBDA(_xlpm.r,_xlpm.c,_xlpm.c))))</f>
        <v/>
      </c>
    </row>
    <row r="654" spans="2:2" x14ac:dyDescent="0.2">
      <c r="B654" t="str" cm="1">
        <f t="array" ref="B654">IF(A654="","",_xlfn.CHOOSECOLS('Prematch Backend 2A'!654:654,_xlfn.MAKEARRAY(1,A654-2,_xlfn.LAMBDA(_xlpm.r,_xlpm.c,_xlpm.c))))</f>
        <v/>
      </c>
    </row>
    <row r="655" spans="2:2" x14ac:dyDescent="0.2">
      <c r="B655" t="str" cm="1">
        <f t="array" ref="B655">IF(A655="","",_xlfn.CHOOSECOLS('Prematch Backend 2A'!655:655,_xlfn.MAKEARRAY(1,A655-2,_xlfn.LAMBDA(_xlpm.r,_xlpm.c,_xlpm.c))))</f>
        <v/>
      </c>
    </row>
    <row r="656" spans="2:2" x14ac:dyDescent="0.2">
      <c r="B656" t="str" cm="1">
        <f t="array" ref="B656">IF(A656="","",_xlfn.CHOOSECOLS('Prematch Backend 2A'!656:656,_xlfn.MAKEARRAY(1,A656-2,_xlfn.LAMBDA(_xlpm.r,_xlpm.c,_xlpm.c))))</f>
        <v/>
      </c>
    </row>
    <row r="657" spans="2:2" x14ac:dyDescent="0.2">
      <c r="B657" t="str" cm="1">
        <f t="array" ref="B657">IF(A657="","",_xlfn.CHOOSECOLS('Prematch Backend 2A'!657:657,_xlfn.MAKEARRAY(1,A657-2,_xlfn.LAMBDA(_xlpm.r,_xlpm.c,_xlpm.c))))</f>
        <v/>
      </c>
    </row>
    <row r="658" spans="2:2" x14ac:dyDescent="0.2">
      <c r="B658" t="str" cm="1">
        <f t="array" ref="B658">IF(A658="","",_xlfn.CHOOSECOLS('Prematch Backend 2A'!658:658,_xlfn.MAKEARRAY(1,A658-2,_xlfn.LAMBDA(_xlpm.r,_xlpm.c,_xlpm.c))))</f>
        <v/>
      </c>
    </row>
    <row r="659" spans="2:2" x14ac:dyDescent="0.2">
      <c r="B659" t="str" cm="1">
        <f t="array" ref="B659">IF(A659="","",_xlfn.CHOOSECOLS('Prematch Backend 2A'!659:659,_xlfn.MAKEARRAY(1,A659-2,_xlfn.LAMBDA(_xlpm.r,_xlpm.c,_xlpm.c))))</f>
        <v/>
      </c>
    </row>
    <row r="660" spans="2:2" x14ac:dyDescent="0.2">
      <c r="B660" t="str" cm="1">
        <f t="array" ref="B660">IF(A660="","",_xlfn.CHOOSECOLS('Prematch Backend 2A'!660:660,_xlfn.MAKEARRAY(1,A660-2,_xlfn.LAMBDA(_xlpm.r,_xlpm.c,_xlpm.c))))</f>
        <v/>
      </c>
    </row>
    <row r="661" spans="2:2" x14ac:dyDescent="0.2">
      <c r="B661" t="str" cm="1">
        <f t="array" ref="B661">IF(A661="","",_xlfn.CHOOSECOLS('Prematch Backend 2A'!661:661,_xlfn.MAKEARRAY(1,A661-2,_xlfn.LAMBDA(_xlpm.r,_xlpm.c,_xlpm.c))))</f>
        <v/>
      </c>
    </row>
    <row r="662" spans="2:2" x14ac:dyDescent="0.2">
      <c r="B662" t="str" cm="1">
        <f t="array" ref="B662">IF(A662="","",_xlfn.CHOOSECOLS('Prematch Backend 2A'!662:662,_xlfn.MAKEARRAY(1,A662-2,_xlfn.LAMBDA(_xlpm.r,_xlpm.c,_xlpm.c))))</f>
        <v/>
      </c>
    </row>
    <row r="663" spans="2:2" x14ac:dyDescent="0.2">
      <c r="B663" t="str" cm="1">
        <f t="array" ref="B663">IF(A663="","",_xlfn.CHOOSECOLS('Prematch Backend 2A'!663:663,_xlfn.MAKEARRAY(1,A663-2,_xlfn.LAMBDA(_xlpm.r,_xlpm.c,_xlpm.c))))</f>
        <v/>
      </c>
    </row>
    <row r="664" spans="2:2" x14ac:dyDescent="0.2">
      <c r="B664" t="str" cm="1">
        <f t="array" ref="B664">IF(A664="","",_xlfn.CHOOSECOLS('Prematch Backend 2A'!664:664,_xlfn.MAKEARRAY(1,A664-2,_xlfn.LAMBDA(_xlpm.r,_xlpm.c,_xlpm.c))))</f>
        <v/>
      </c>
    </row>
    <row r="665" spans="2:2" x14ac:dyDescent="0.2">
      <c r="B665" t="str" cm="1">
        <f t="array" ref="B665">IF(A665="","",_xlfn.CHOOSECOLS('Prematch Backend 2A'!665:665,_xlfn.MAKEARRAY(1,A665-2,_xlfn.LAMBDA(_xlpm.r,_xlpm.c,_xlpm.c))))</f>
        <v/>
      </c>
    </row>
    <row r="666" spans="2:2" x14ac:dyDescent="0.2">
      <c r="B666" t="str" cm="1">
        <f t="array" ref="B666">IF(A666="","",_xlfn.CHOOSECOLS('Prematch Backend 2A'!666:666,_xlfn.MAKEARRAY(1,A666-2,_xlfn.LAMBDA(_xlpm.r,_xlpm.c,_xlpm.c))))</f>
        <v/>
      </c>
    </row>
    <row r="667" spans="2:2" x14ac:dyDescent="0.2">
      <c r="B667" t="str" cm="1">
        <f t="array" ref="B667">IF(A667="","",_xlfn.CHOOSECOLS('Prematch Backend 2A'!667:667,_xlfn.MAKEARRAY(1,A667-2,_xlfn.LAMBDA(_xlpm.r,_xlpm.c,_xlpm.c))))</f>
        <v/>
      </c>
    </row>
    <row r="668" spans="2:2" x14ac:dyDescent="0.2">
      <c r="B668" t="str" cm="1">
        <f t="array" ref="B668">IF(A668="","",_xlfn.CHOOSECOLS('Prematch Backend 2A'!668:668,_xlfn.MAKEARRAY(1,A668-2,_xlfn.LAMBDA(_xlpm.r,_xlpm.c,_xlpm.c))))</f>
        <v/>
      </c>
    </row>
    <row r="669" spans="2:2" x14ac:dyDescent="0.2">
      <c r="B669" t="str" cm="1">
        <f t="array" ref="B669">IF(A669="","",_xlfn.CHOOSECOLS('Prematch Backend 2A'!669:669,_xlfn.MAKEARRAY(1,A669-2,_xlfn.LAMBDA(_xlpm.r,_xlpm.c,_xlpm.c))))</f>
        <v/>
      </c>
    </row>
    <row r="670" spans="2:2" x14ac:dyDescent="0.2">
      <c r="B670" t="str" cm="1">
        <f t="array" ref="B670">IF(A670="","",_xlfn.CHOOSECOLS('Prematch Backend 2A'!670:670,_xlfn.MAKEARRAY(1,A670-2,_xlfn.LAMBDA(_xlpm.r,_xlpm.c,_xlpm.c))))</f>
        <v/>
      </c>
    </row>
    <row r="671" spans="2:2" x14ac:dyDescent="0.2">
      <c r="B671" t="str" cm="1">
        <f t="array" ref="B671">IF(A671="","",_xlfn.CHOOSECOLS('Prematch Backend 2A'!671:671,_xlfn.MAKEARRAY(1,A671-2,_xlfn.LAMBDA(_xlpm.r,_xlpm.c,_xlpm.c))))</f>
        <v/>
      </c>
    </row>
    <row r="672" spans="2:2" x14ac:dyDescent="0.2">
      <c r="B672" t="str" cm="1">
        <f t="array" ref="B672">IF(A672="","",_xlfn.CHOOSECOLS('Prematch Backend 2A'!672:672,_xlfn.MAKEARRAY(1,A672-2,_xlfn.LAMBDA(_xlpm.r,_xlpm.c,_xlpm.c))))</f>
        <v/>
      </c>
    </row>
    <row r="673" spans="2:2" x14ac:dyDescent="0.2">
      <c r="B673" t="str" cm="1">
        <f t="array" ref="B673">IF(A673="","",_xlfn.CHOOSECOLS('Prematch Backend 2A'!673:673,_xlfn.MAKEARRAY(1,A673-2,_xlfn.LAMBDA(_xlpm.r,_xlpm.c,_xlpm.c))))</f>
        <v/>
      </c>
    </row>
    <row r="674" spans="2:2" x14ac:dyDescent="0.2">
      <c r="B674" t="str" cm="1">
        <f t="array" ref="B674">IF(A674="","",_xlfn.CHOOSECOLS('Prematch Backend 2A'!674:674,_xlfn.MAKEARRAY(1,A674-2,_xlfn.LAMBDA(_xlpm.r,_xlpm.c,_xlpm.c))))</f>
        <v/>
      </c>
    </row>
    <row r="675" spans="2:2" x14ac:dyDescent="0.2">
      <c r="B675" t="str" cm="1">
        <f t="array" ref="B675">IF(A675="","",_xlfn.CHOOSECOLS('Prematch Backend 2A'!675:675,_xlfn.MAKEARRAY(1,A675-2,_xlfn.LAMBDA(_xlpm.r,_xlpm.c,_xlpm.c))))</f>
        <v/>
      </c>
    </row>
    <row r="676" spans="2:2" x14ac:dyDescent="0.2">
      <c r="B676" t="str" cm="1">
        <f t="array" ref="B676">IF(A676="","",_xlfn.CHOOSECOLS('Prematch Backend 2A'!676:676,_xlfn.MAKEARRAY(1,A676-2,_xlfn.LAMBDA(_xlpm.r,_xlpm.c,_xlpm.c))))</f>
        <v/>
      </c>
    </row>
    <row r="677" spans="2:2" x14ac:dyDescent="0.2">
      <c r="B677" t="str" cm="1">
        <f t="array" ref="B677">IF(A677="","",_xlfn.CHOOSECOLS('Prematch Backend 2A'!677:677,_xlfn.MAKEARRAY(1,A677-2,_xlfn.LAMBDA(_xlpm.r,_xlpm.c,_xlpm.c))))</f>
        <v/>
      </c>
    </row>
    <row r="678" spans="2:2" x14ac:dyDescent="0.2">
      <c r="B678" t="str" cm="1">
        <f t="array" ref="B678">IF(A678="","",_xlfn.CHOOSECOLS('Prematch Backend 2A'!678:678,_xlfn.MAKEARRAY(1,A678-2,_xlfn.LAMBDA(_xlpm.r,_xlpm.c,_xlpm.c))))</f>
        <v/>
      </c>
    </row>
    <row r="679" spans="2:2" x14ac:dyDescent="0.2">
      <c r="B679" t="str" cm="1">
        <f t="array" ref="B679">IF(A679="","",_xlfn.CHOOSECOLS('Prematch Backend 2A'!679:679,_xlfn.MAKEARRAY(1,A679-2,_xlfn.LAMBDA(_xlpm.r,_xlpm.c,_xlpm.c))))</f>
        <v/>
      </c>
    </row>
    <row r="680" spans="2:2" x14ac:dyDescent="0.2">
      <c r="B680" t="str" cm="1">
        <f t="array" ref="B680">IF(A680="","",_xlfn.CHOOSECOLS('Prematch Backend 2A'!680:680,_xlfn.MAKEARRAY(1,A680-2,_xlfn.LAMBDA(_xlpm.r,_xlpm.c,_xlpm.c))))</f>
        <v/>
      </c>
    </row>
    <row r="681" spans="2:2" x14ac:dyDescent="0.2">
      <c r="B681" t="str" cm="1">
        <f t="array" ref="B681">IF(A681="","",_xlfn.CHOOSECOLS('Prematch Backend 2A'!681:681,_xlfn.MAKEARRAY(1,A681-2,_xlfn.LAMBDA(_xlpm.r,_xlpm.c,_xlpm.c))))</f>
        <v/>
      </c>
    </row>
    <row r="682" spans="2:2" x14ac:dyDescent="0.2">
      <c r="B682" t="str" cm="1">
        <f t="array" ref="B682">IF(A682="","",_xlfn.CHOOSECOLS('Prematch Backend 2A'!682:682,_xlfn.MAKEARRAY(1,A682-2,_xlfn.LAMBDA(_xlpm.r,_xlpm.c,_xlpm.c))))</f>
        <v/>
      </c>
    </row>
    <row r="683" spans="2:2" x14ac:dyDescent="0.2">
      <c r="B683" t="str" cm="1">
        <f t="array" ref="B683">IF(A683="","",_xlfn.CHOOSECOLS('Prematch Backend 2A'!683:683,_xlfn.MAKEARRAY(1,A683-2,_xlfn.LAMBDA(_xlpm.r,_xlpm.c,_xlpm.c))))</f>
        <v/>
      </c>
    </row>
    <row r="684" spans="2:2" x14ac:dyDescent="0.2">
      <c r="B684" t="str" cm="1">
        <f t="array" ref="B684">IF(A684="","",_xlfn.CHOOSECOLS('Prematch Backend 2A'!684:684,_xlfn.MAKEARRAY(1,A684-2,_xlfn.LAMBDA(_xlpm.r,_xlpm.c,_xlpm.c))))</f>
        <v/>
      </c>
    </row>
    <row r="685" spans="2:2" x14ac:dyDescent="0.2">
      <c r="B685" t="str" cm="1">
        <f t="array" ref="B685">IF(A685="","",_xlfn.CHOOSECOLS('Prematch Backend 2A'!685:685,_xlfn.MAKEARRAY(1,A685-2,_xlfn.LAMBDA(_xlpm.r,_xlpm.c,_xlpm.c))))</f>
        <v/>
      </c>
    </row>
    <row r="686" spans="2:2" x14ac:dyDescent="0.2">
      <c r="B686" t="str" cm="1">
        <f t="array" ref="B686">IF(A686="","",_xlfn.CHOOSECOLS('Prematch Backend 2A'!686:686,_xlfn.MAKEARRAY(1,A686-2,_xlfn.LAMBDA(_xlpm.r,_xlpm.c,_xlpm.c))))</f>
        <v/>
      </c>
    </row>
    <row r="687" spans="2:2" x14ac:dyDescent="0.2">
      <c r="B687" t="str" cm="1">
        <f t="array" ref="B687">IF(A687="","",_xlfn.CHOOSECOLS('Prematch Backend 2A'!687:687,_xlfn.MAKEARRAY(1,A687-2,_xlfn.LAMBDA(_xlpm.r,_xlpm.c,_xlpm.c))))</f>
        <v/>
      </c>
    </row>
    <row r="688" spans="2:2" x14ac:dyDescent="0.2">
      <c r="B688" t="str" cm="1">
        <f t="array" ref="B688">IF(A688="","",_xlfn.CHOOSECOLS('Prematch Backend 2A'!688:688,_xlfn.MAKEARRAY(1,A688-2,_xlfn.LAMBDA(_xlpm.r,_xlpm.c,_xlpm.c))))</f>
        <v/>
      </c>
    </row>
    <row r="689" spans="2:2" x14ac:dyDescent="0.2">
      <c r="B689" t="str" cm="1">
        <f t="array" ref="B689">IF(A689="","",_xlfn.CHOOSECOLS('Prematch Backend 2A'!689:689,_xlfn.MAKEARRAY(1,A689-2,_xlfn.LAMBDA(_xlpm.r,_xlpm.c,_xlpm.c))))</f>
        <v/>
      </c>
    </row>
    <row r="690" spans="2:2" x14ac:dyDescent="0.2">
      <c r="B690" t="str" cm="1">
        <f t="array" ref="B690">IF(A690="","",_xlfn.CHOOSECOLS('Prematch Backend 2A'!690:690,_xlfn.MAKEARRAY(1,A690-2,_xlfn.LAMBDA(_xlpm.r,_xlpm.c,_xlpm.c))))</f>
        <v/>
      </c>
    </row>
    <row r="691" spans="2:2" x14ac:dyDescent="0.2">
      <c r="B691" t="str" cm="1">
        <f t="array" ref="B691">IF(A691="","",_xlfn.CHOOSECOLS('Prematch Backend 2A'!691:691,_xlfn.MAKEARRAY(1,A691-2,_xlfn.LAMBDA(_xlpm.r,_xlpm.c,_xlpm.c))))</f>
        <v/>
      </c>
    </row>
    <row r="692" spans="2:2" x14ac:dyDescent="0.2">
      <c r="B692" t="str" cm="1">
        <f t="array" ref="B692">IF(A692="","",_xlfn.CHOOSECOLS('Prematch Backend 2A'!692:692,_xlfn.MAKEARRAY(1,A692-2,_xlfn.LAMBDA(_xlpm.r,_xlpm.c,_xlpm.c))))</f>
        <v/>
      </c>
    </row>
    <row r="693" spans="2:2" x14ac:dyDescent="0.2">
      <c r="B693" t="str" cm="1">
        <f t="array" ref="B693">IF(A693="","",_xlfn.CHOOSECOLS('Prematch Backend 2A'!693:693,_xlfn.MAKEARRAY(1,A693-2,_xlfn.LAMBDA(_xlpm.r,_xlpm.c,_xlpm.c))))</f>
        <v/>
      </c>
    </row>
    <row r="694" spans="2:2" x14ac:dyDescent="0.2">
      <c r="B694" t="str" cm="1">
        <f t="array" ref="B694">IF(A694="","",_xlfn.CHOOSECOLS('Prematch Backend 2A'!694:694,_xlfn.MAKEARRAY(1,A694-2,_xlfn.LAMBDA(_xlpm.r,_xlpm.c,_xlpm.c))))</f>
        <v/>
      </c>
    </row>
    <row r="695" spans="2:2" x14ac:dyDescent="0.2">
      <c r="B695" t="str" cm="1">
        <f t="array" ref="B695">IF(A695="","",_xlfn.CHOOSECOLS('Prematch Backend 2A'!695:695,_xlfn.MAKEARRAY(1,A695-2,_xlfn.LAMBDA(_xlpm.r,_xlpm.c,_xlpm.c))))</f>
        <v/>
      </c>
    </row>
    <row r="696" spans="2:2" x14ac:dyDescent="0.2">
      <c r="B696" t="str" cm="1">
        <f t="array" ref="B696">IF(A696="","",_xlfn.CHOOSECOLS('Prematch Backend 2A'!696:696,_xlfn.MAKEARRAY(1,A696-2,_xlfn.LAMBDA(_xlpm.r,_xlpm.c,_xlpm.c))))</f>
        <v/>
      </c>
    </row>
    <row r="697" spans="2:2" x14ac:dyDescent="0.2">
      <c r="B697" t="str" cm="1">
        <f t="array" ref="B697">IF(A697="","",_xlfn.CHOOSECOLS('Prematch Backend 2A'!697:697,_xlfn.MAKEARRAY(1,A697-2,_xlfn.LAMBDA(_xlpm.r,_xlpm.c,_xlpm.c))))</f>
        <v/>
      </c>
    </row>
    <row r="698" spans="2:2" x14ac:dyDescent="0.2">
      <c r="B698" t="str" cm="1">
        <f t="array" ref="B698">IF(A698="","",_xlfn.CHOOSECOLS('Prematch Backend 2A'!698:698,_xlfn.MAKEARRAY(1,A698-2,_xlfn.LAMBDA(_xlpm.r,_xlpm.c,_xlpm.c))))</f>
        <v/>
      </c>
    </row>
    <row r="699" spans="2:2" x14ac:dyDescent="0.2">
      <c r="B699" t="str" cm="1">
        <f t="array" ref="B699">IF(A699="","",_xlfn.CHOOSECOLS('Prematch Backend 2A'!699:699,_xlfn.MAKEARRAY(1,A699-2,_xlfn.LAMBDA(_xlpm.r,_xlpm.c,_xlpm.c))))</f>
        <v/>
      </c>
    </row>
    <row r="700" spans="2:2" x14ac:dyDescent="0.2">
      <c r="B700" t="str" cm="1">
        <f t="array" ref="B700">IF(A700="","",_xlfn.CHOOSECOLS('Prematch Backend 2A'!700:700,_xlfn.MAKEARRAY(1,A700-2,_xlfn.LAMBDA(_xlpm.r,_xlpm.c,_xlpm.c))))</f>
        <v/>
      </c>
    </row>
    <row r="701" spans="2:2" x14ac:dyDescent="0.2">
      <c r="B701" t="str" cm="1">
        <f t="array" ref="B701">IF(A701="","",_xlfn.CHOOSECOLS('Prematch Backend 2A'!701:701,_xlfn.MAKEARRAY(1,A701-2,_xlfn.LAMBDA(_xlpm.r,_xlpm.c,_xlpm.c))))</f>
        <v/>
      </c>
    </row>
    <row r="702" spans="2:2" x14ac:dyDescent="0.2">
      <c r="B702" t="str" cm="1">
        <f t="array" ref="B702">IF(A702="","",_xlfn.CHOOSECOLS('Prematch Backend 2A'!702:702,_xlfn.MAKEARRAY(1,A702-2,_xlfn.LAMBDA(_xlpm.r,_xlpm.c,_xlpm.c))))</f>
        <v/>
      </c>
    </row>
    <row r="703" spans="2:2" x14ac:dyDescent="0.2">
      <c r="B703" t="str" cm="1">
        <f t="array" ref="B703">IF(A703="","",_xlfn.CHOOSECOLS('Prematch Backend 2A'!703:703,_xlfn.MAKEARRAY(1,A703-2,_xlfn.LAMBDA(_xlpm.r,_xlpm.c,_xlpm.c))))</f>
        <v/>
      </c>
    </row>
    <row r="704" spans="2:2" x14ac:dyDescent="0.2">
      <c r="B704" t="str" cm="1">
        <f t="array" ref="B704">IF(A704="","",_xlfn.CHOOSECOLS('Prematch Backend 2A'!704:704,_xlfn.MAKEARRAY(1,A704-2,_xlfn.LAMBDA(_xlpm.r,_xlpm.c,_xlpm.c))))</f>
        <v/>
      </c>
    </row>
    <row r="705" spans="2:2" x14ac:dyDescent="0.2">
      <c r="B705" t="str" cm="1">
        <f t="array" ref="B705">IF(A705="","",_xlfn.CHOOSECOLS('Prematch Backend 2A'!705:705,_xlfn.MAKEARRAY(1,A705-2,_xlfn.LAMBDA(_xlpm.r,_xlpm.c,_xlpm.c))))</f>
        <v/>
      </c>
    </row>
    <row r="706" spans="2:2" x14ac:dyDescent="0.2">
      <c r="B706" t="str" cm="1">
        <f t="array" ref="B706">IF(A706="","",_xlfn.CHOOSECOLS('Prematch Backend 2A'!706:706,_xlfn.MAKEARRAY(1,A706-2,_xlfn.LAMBDA(_xlpm.r,_xlpm.c,_xlpm.c))))</f>
        <v/>
      </c>
    </row>
    <row r="707" spans="2:2" x14ac:dyDescent="0.2">
      <c r="B707" t="str" cm="1">
        <f t="array" ref="B707">IF(A707="","",_xlfn.CHOOSECOLS('Prematch Backend 2A'!707:707,_xlfn.MAKEARRAY(1,A707-2,_xlfn.LAMBDA(_xlpm.r,_xlpm.c,_xlpm.c))))</f>
        <v/>
      </c>
    </row>
    <row r="708" spans="2:2" x14ac:dyDescent="0.2">
      <c r="B708" t="str" cm="1">
        <f t="array" ref="B708">IF(A708="","",_xlfn.CHOOSECOLS('Prematch Backend 2A'!708:708,_xlfn.MAKEARRAY(1,A708-2,_xlfn.LAMBDA(_xlpm.r,_xlpm.c,_xlpm.c))))</f>
        <v/>
      </c>
    </row>
    <row r="709" spans="2:2" x14ac:dyDescent="0.2">
      <c r="B709" t="str" cm="1">
        <f t="array" ref="B709">IF(A709="","",_xlfn.CHOOSECOLS('Prematch Backend 2A'!709:709,_xlfn.MAKEARRAY(1,A709-2,_xlfn.LAMBDA(_xlpm.r,_xlpm.c,_xlpm.c))))</f>
        <v/>
      </c>
    </row>
    <row r="710" spans="2:2" x14ac:dyDescent="0.2">
      <c r="B710" t="str" cm="1">
        <f t="array" ref="B710">IF(A710="","",_xlfn.CHOOSECOLS('Prematch Backend 2A'!710:710,_xlfn.MAKEARRAY(1,A710-2,_xlfn.LAMBDA(_xlpm.r,_xlpm.c,_xlpm.c))))</f>
        <v/>
      </c>
    </row>
    <row r="711" spans="2:2" x14ac:dyDescent="0.2">
      <c r="B711" t="str" cm="1">
        <f t="array" ref="B711">IF(A711="","",_xlfn.CHOOSECOLS('Prematch Backend 2A'!711:711,_xlfn.MAKEARRAY(1,A711-2,_xlfn.LAMBDA(_xlpm.r,_xlpm.c,_xlpm.c))))</f>
        <v/>
      </c>
    </row>
    <row r="712" spans="2:2" x14ac:dyDescent="0.2">
      <c r="B712" t="str" cm="1">
        <f t="array" ref="B712">IF(A712="","",_xlfn.CHOOSECOLS('Prematch Backend 2A'!712:712,_xlfn.MAKEARRAY(1,A712-2,_xlfn.LAMBDA(_xlpm.r,_xlpm.c,_xlpm.c))))</f>
        <v/>
      </c>
    </row>
    <row r="713" spans="2:2" x14ac:dyDescent="0.2">
      <c r="B713" t="str" cm="1">
        <f t="array" ref="B713">IF(A713="","",_xlfn.CHOOSECOLS('Prematch Backend 2A'!713:713,_xlfn.MAKEARRAY(1,A713-2,_xlfn.LAMBDA(_xlpm.r,_xlpm.c,_xlpm.c))))</f>
        <v/>
      </c>
    </row>
    <row r="714" spans="2:2" x14ac:dyDescent="0.2">
      <c r="B714" t="str" cm="1">
        <f t="array" ref="B714">IF(A714="","",_xlfn.CHOOSECOLS('Prematch Backend 2A'!714:714,_xlfn.MAKEARRAY(1,A714-2,_xlfn.LAMBDA(_xlpm.r,_xlpm.c,_xlpm.c))))</f>
        <v/>
      </c>
    </row>
    <row r="715" spans="2:2" x14ac:dyDescent="0.2">
      <c r="B715" t="str" cm="1">
        <f t="array" ref="B715">IF(A715="","",_xlfn.CHOOSECOLS('Prematch Backend 2A'!715:715,_xlfn.MAKEARRAY(1,A715-2,_xlfn.LAMBDA(_xlpm.r,_xlpm.c,_xlpm.c))))</f>
        <v/>
      </c>
    </row>
    <row r="716" spans="2:2" x14ac:dyDescent="0.2">
      <c r="B716" t="str" cm="1">
        <f t="array" ref="B716">IF(A716="","",_xlfn.CHOOSECOLS('Prematch Backend 2A'!716:716,_xlfn.MAKEARRAY(1,A716-2,_xlfn.LAMBDA(_xlpm.r,_xlpm.c,_xlpm.c))))</f>
        <v/>
      </c>
    </row>
    <row r="717" spans="2:2" x14ac:dyDescent="0.2">
      <c r="B717" t="str" cm="1">
        <f t="array" ref="B717">IF(A717="","",_xlfn.CHOOSECOLS('Prematch Backend 2A'!717:717,_xlfn.MAKEARRAY(1,A717-2,_xlfn.LAMBDA(_xlpm.r,_xlpm.c,_xlpm.c))))</f>
        <v/>
      </c>
    </row>
    <row r="718" spans="2:2" x14ac:dyDescent="0.2">
      <c r="B718" t="str" cm="1">
        <f t="array" ref="B718">IF(A718="","",_xlfn.CHOOSECOLS('Prematch Backend 2A'!718:718,_xlfn.MAKEARRAY(1,A718-2,_xlfn.LAMBDA(_xlpm.r,_xlpm.c,_xlpm.c))))</f>
        <v/>
      </c>
    </row>
    <row r="719" spans="2:2" x14ac:dyDescent="0.2">
      <c r="B719" t="str" cm="1">
        <f t="array" ref="B719">IF(A719="","",_xlfn.CHOOSECOLS('Prematch Backend 2A'!719:719,_xlfn.MAKEARRAY(1,A719-2,_xlfn.LAMBDA(_xlpm.r,_xlpm.c,_xlpm.c))))</f>
        <v/>
      </c>
    </row>
    <row r="720" spans="2:2" x14ac:dyDescent="0.2">
      <c r="B720" t="str" cm="1">
        <f t="array" ref="B720">IF(A720="","",_xlfn.CHOOSECOLS('Prematch Backend 2A'!720:720,_xlfn.MAKEARRAY(1,A720-2,_xlfn.LAMBDA(_xlpm.r,_xlpm.c,_xlpm.c))))</f>
        <v/>
      </c>
    </row>
    <row r="721" spans="2:2" x14ac:dyDescent="0.2">
      <c r="B721" t="str" cm="1">
        <f t="array" ref="B721">IF(A721="","",_xlfn.CHOOSECOLS('Prematch Backend 2A'!721:721,_xlfn.MAKEARRAY(1,A721-2,_xlfn.LAMBDA(_xlpm.r,_xlpm.c,_xlpm.c))))</f>
        <v/>
      </c>
    </row>
    <row r="722" spans="2:2" x14ac:dyDescent="0.2">
      <c r="B722" t="str" cm="1">
        <f t="array" ref="B722">IF(A722="","",_xlfn.CHOOSECOLS('Prematch Backend 2A'!722:722,_xlfn.MAKEARRAY(1,A722-2,_xlfn.LAMBDA(_xlpm.r,_xlpm.c,_xlpm.c))))</f>
        <v/>
      </c>
    </row>
    <row r="723" spans="2:2" x14ac:dyDescent="0.2">
      <c r="B723" t="str" cm="1">
        <f t="array" ref="B723">IF(A723="","",_xlfn.CHOOSECOLS('Prematch Backend 2A'!723:723,_xlfn.MAKEARRAY(1,A723-2,_xlfn.LAMBDA(_xlpm.r,_xlpm.c,_xlpm.c))))</f>
        <v/>
      </c>
    </row>
    <row r="724" spans="2:2" x14ac:dyDescent="0.2">
      <c r="B724" t="str" cm="1">
        <f t="array" ref="B724">IF(A724="","",_xlfn.CHOOSECOLS('Prematch Backend 2A'!724:724,_xlfn.MAKEARRAY(1,A724-2,_xlfn.LAMBDA(_xlpm.r,_xlpm.c,_xlpm.c))))</f>
        <v/>
      </c>
    </row>
    <row r="725" spans="2:2" x14ac:dyDescent="0.2">
      <c r="B725" t="str" cm="1">
        <f t="array" ref="B725">IF(A725="","",_xlfn.CHOOSECOLS('Prematch Backend 2A'!725:725,_xlfn.MAKEARRAY(1,A725-2,_xlfn.LAMBDA(_xlpm.r,_xlpm.c,_xlpm.c))))</f>
        <v/>
      </c>
    </row>
    <row r="726" spans="2:2" x14ac:dyDescent="0.2">
      <c r="B726" t="str" cm="1">
        <f t="array" ref="B726">IF(A726="","",_xlfn.CHOOSECOLS('Prematch Backend 2A'!726:726,_xlfn.MAKEARRAY(1,A726-2,_xlfn.LAMBDA(_xlpm.r,_xlpm.c,_xlpm.c))))</f>
        <v/>
      </c>
    </row>
    <row r="727" spans="2:2" x14ac:dyDescent="0.2">
      <c r="B727" t="str" cm="1">
        <f t="array" ref="B727">IF(A727="","",_xlfn.CHOOSECOLS('Prematch Backend 2A'!727:727,_xlfn.MAKEARRAY(1,A727-2,_xlfn.LAMBDA(_xlpm.r,_xlpm.c,_xlpm.c))))</f>
        <v/>
      </c>
    </row>
    <row r="728" spans="2:2" x14ac:dyDescent="0.2">
      <c r="B728" t="str" cm="1">
        <f t="array" ref="B728">IF(A728="","",_xlfn.CHOOSECOLS('Prematch Backend 2A'!728:728,_xlfn.MAKEARRAY(1,A728-2,_xlfn.LAMBDA(_xlpm.r,_xlpm.c,_xlpm.c))))</f>
        <v/>
      </c>
    </row>
    <row r="729" spans="2:2" x14ac:dyDescent="0.2">
      <c r="B729" t="str" cm="1">
        <f t="array" ref="B729">IF(A729="","",_xlfn.CHOOSECOLS('Prematch Backend 2A'!729:729,_xlfn.MAKEARRAY(1,A729-2,_xlfn.LAMBDA(_xlpm.r,_xlpm.c,_xlpm.c))))</f>
        <v/>
      </c>
    </row>
    <row r="730" spans="2:2" x14ac:dyDescent="0.2">
      <c r="B730" t="str" cm="1">
        <f t="array" ref="B730">IF(A730="","",_xlfn.CHOOSECOLS('Prematch Backend 2A'!730:730,_xlfn.MAKEARRAY(1,A730-2,_xlfn.LAMBDA(_xlpm.r,_xlpm.c,_xlpm.c))))</f>
        <v/>
      </c>
    </row>
    <row r="731" spans="2:2" x14ac:dyDescent="0.2">
      <c r="B731" t="str" cm="1">
        <f t="array" ref="B731">IF(A731="","",_xlfn.CHOOSECOLS('Prematch Backend 2A'!731:731,_xlfn.MAKEARRAY(1,A731-2,_xlfn.LAMBDA(_xlpm.r,_xlpm.c,_xlpm.c))))</f>
        <v/>
      </c>
    </row>
    <row r="732" spans="2:2" x14ac:dyDescent="0.2">
      <c r="B732" t="str" cm="1">
        <f t="array" ref="B732">IF(A732="","",_xlfn.CHOOSECOLS('Prematch Backend 2A'!732:732,_xlfn.MAKEARRAY(1,A732-2,_xlfn.LAMBDA(_xlpm.r,_xlpm.c,_xlpm.c))))</f>
        <v/>
      </c>
    </row>
    <row r="733" spans="2:2" x14ac:dyDescent="0.2">
      <c r="B733" t="str" cm="1">
        <f t="array" ref="B733">IF(A733="","",_xlfn.CHOOSECOLS('Prematch Backend 2A'!733:733,_xlfn.MAKEARRAY(1,A733-2,_xlfn.LAMBDA(_xlpm.r,_xlpm.c,_xlpm.c))))</f>
        <v/>
      </c>
    </row>
    <row r="734" spans="2:2" x14ac:dyDescent="0.2">
      <c r="B734" t="str" cm="1">
        <f t="array" ref="B734">IF(A734="","",_xlfn.CHOOSECOLS('Prematch Backend 2A'!734:734,_xlfn.MAKEARRAY(1,A734-2,_xlfn.LAMBDA(_xlpm.r,_xlpm.c,_xlpm.c))))</f>
        <v/>
      </c>
    </row>
    <row r="735" spans="2:2" x14ac:dyDescent="0.2">
      <c r="B735" t="str" cm="1">
        <f t="array" ref="B735">IF(A735="","",_xlfn.CHOOSECOLS('Prematch Backend 2A'!735:735,_xlfn.MAKEARRAY(1,A735-2,_xlfn.LAMBDA(_xlpm.r,_xlpm.c,_xlpm.c))))</f>
        <v/>
      </c>
    </row>
    <row r="736" spans="2:2" x14ac:dyDescent="0.2">
      <c r="B736" t="str" cm="1">
        <f t="array" ref="B736">IF(A736="","",_xlfn.CHOOSECOLS('Prematch Backend 2A'!736:736,_xlfn.MAKEARRAY(1,A736-2,_xlfn.LAMBDA(_xlpm.r,_xlpm.c,_xlpm.c))))</f>
        <v/>
      </c>
    </row>
    <row r="737" spans="2:2" x14ac:dyDescent="0.2">
      <c r="B737" t="str" cm="1">
        <f t="array" ref="B737">IF(A737="","",_xlfn.CHOOSECOLS('Prematch Backend 2A'!737:737,_xlfn.MAKEARRAY(1,A737-2,_xlfn.LAMBDA(_xlpm.r,_xlpm.c,_xlpm.c))))</f>
        <v/>
      </c>
    </row>
    <row r="738" spans="2:2" x14ac:dyDescent="0.2">
      <c r="B738" t="str" cm="1">
        <f t="array" ref="B738">IF(A738="","",_xlfn.CHOOSECOLS('Prematch Backend 2A'!738:738,_xlfn.MAKEARRAY(1,A738-2,_xlfn.LAMBDA(_xlpm.r,_xlpm.c,_xlpm.c))))</f>
        <v/>
      </c>
    </row>
    <row r="739" spans="2:2" x14ac:dyDescent="0.2">
      <c r="B739" t="str" cm="1">
        <f t="array" ref="B739">IF(A739="","",_xlfn.CHOOSECOLS('Prematch Backend 2A'!739:739,_xlfn.MAKEARRAY(1,A739-2,_xlfn.LAMBDA(_xlpm.r,_xlpm.c,_xlpm.c))))</f>
        <v/>
      </c>
    </row>
    <row r="740" spans="2:2" x14ac:dyDescent="0.2">
      <c r="B740" t="str" cm="1">
        <f t="array" ref="B740">IF(A740="","",_xlfn.CHOOSECOLS('Prematch Backend 2A'!740:740,_xlfn.MAKEARRAY(1,A740-2,_xlfn.LAMBDA(_xlpm.r,_xlpm.c,_xlpm.c))))</f>
        <v/>
      </c>
    </row>
    <row r="741" spans="2:2" x14ac:dyDescent="0.2">
      <c r="B741" t="str" cm="1">
        <f t="array" ref="B741">IF(A741="","",_xlfn.CHOOSECOLS('Prematch Backend 2A'!741:741,_xlfn.MAKEARRAY(1,A741-2,_xlfn.LAMBDA(_xlpm.r,_xlpm.c,_xlpm.c))))</f>
        <v/>
      </c>
    </row>
    <row r="742" spans="2:2" x14ac:dyDescent="0.2">
      <c r="B742" t="str" cm="1">
        <f t="array" ref="B742">IF(A742="","",_xlfn.CHOOSECOLS('Prematch Backend 2A'!742:742,_xlfn.MAKEARRAY(1,A742-2,_xlfn.LAMBDA(_xlpm.r,_xlpm.c,_xlpm.c))))</f>
        <v/>
      </c>
    </row>
    <row r="743" spans="2:2" x14ac:dyDescent="0.2">
      <c r="B743" t="str" cm="1">
        <f t="array" ref="B743">IF(A743="","",_xlfn.CHOOSECOLS('Prematch Backend 2A'!743:743,_xlfn.MAKEARRAY(1,A743-2,_xlfn.LAMBDA(_xlpm.r,_xlpm.c,_xlpm.c))))</f>
        <v/>
      </c>
    </row>
    <row r="744" spans="2:2" x14ac:dyDescent="0.2">
      <c r="B744" t="str" cm="1">
        <f t="array" ref="B744">IF(A744="","",_xlfn.CHOOSECOLS('Prematch Backend 2A'!744:744,_xlfn.MAKEARRAY(1,A744-2,_xlfn.LAMBDA(_xlpm.r,_xlpm.c,_xlpm.c))))</f>
        <v/>
      </c>
    </row>
    <row r="745" spans="2:2" x14ac:dyDescent="0.2">
      <c r="B745" t="str" cm="1">
        <f t="array" ref="B745">IF(A745="","",_xlfn.CHOOSECOLS('Prematch Backend 2A'!745:745,_xlfn.MAKEARRAY(1,A745-2,_xlfn.LAMBDA(_xlpm.r,_xlpm.c,_xlpm.c))))</f>
        <v/>
      </c>
    </row>
    <row r="746" spans="2:2" x14ac:dyDescent="0.2">
      <c r="B746" t="str" cm="1">
        <f t="array" ref="B746">IF(A746="","",_xlfn.CHOOSECOLS('Prematch Backend 2A'!746:746,_xlfn.MAKEARRAY(1,A746-2,_xlfn.LAMBDA(_xlpm.r,_xlpm.c,_xlpm.c))))</f>
        <v/>
      </c>
    </row>
    <row r="747" spans="2:2" x14ac:dyDescent="0.2">
      <c r="B747" t="str" cm="1">
        <f t="array" ref="B747">IF(A747="","",_xlfn.CHOOSECOLS('Prematch Backend 2A'!747:747,_xlfn.MAKEARRAY(1,A747-2,_xlfn.LAMBDA(_xlpm.r,_xlpm.c,_xlpm.c))))</f>
        <v/>
      </c>
    </row>
    <row r="748" spans="2:2" x14ac:dyDescent="0.2">
      <c r="B748" t="str" cm="1">
        <f t="array" ref="B748">IF(A748="","",_xlfn.CHOOSECOLS('Prematch Backend 2A'!748:748,_xlfn.MAKEARRAY(1,A748-2,_xlfn.LAMBDA(_xlpm.r,_xlpm.c,_xlpm.c))))</f>
        <v/>
      </c>
    </row>
    <row r="749" spans="2:2" x14ac:dyDescent="0.2">
      <c r="B749" t="str" cm="1">
        <f t="array" ref="B749">IF(A749="","",_xlfn.CHOOSECOLS('Prematch Backend 2A'!749:749,_xlfn.MAKEARRAY(1,A749-2,_xlfn.LAMBDA(_xlpm.r,_xlpm.c,_xlpm.c))))</f>
        <v/>
      </c>
    </row>
    <row r="750" spans="2:2" x14ac:dyDescent="0.2">
      <c r="B750" t="str" cm="1">
        <f t="array" ref="B750">IF(A750="","",_xlfn.CHOOSECOLS('Prematch Backend 2A'!750:750,_xlfn.MAKEARRAY(1,A750-2,_xlfn.LAMBDA(_xlpm.r,_xlpm.c,_xlpm.c))))</f>
        <v/>
      </c>
    </row>
    <row r="751" spans="2:2" x14ac:dyDescent="0.2">
      <c r="B751" t="str" cm="1">
        <f t="array" ref="B751">IF(A751="","",_xlfn.CHOOSECOLS('Prematch Backend 2A'!751:751,_xlfn.MAKEARRAY(1,A751-2,_xlfn.LAMBDA(_xlpm.r,_xlpm.c,_xlpm.c))))</f>
        <v/>
      </c>
    </row>
    <row r="752" spans="2:2" x14ac:dyDescent="0.2">
      <c r="B752" t="str" cm="1">
        <f t="array" ref="B752">IF(A752="","",_xlfn.CHOOSECOLS('Prematch Backend 2A'!752:752,_xlfn.MAKEARRAY(1,A752-2,_xlfn.LAMBDA(_xlpm.r,_xlpm.c,_xlpm.c))))</f>
        <v/>
      </c>
    </row>
    <row r="753" spans="2:2" x14ac:dyDescent="0.2">
      <c r="B753" t="str" cm="1">
        <f t="array" ref="B753">IF(A753="","",_xlfn.CHOOSECOLS('Prematch Backend 2A'!753:753,_xlfn.MAKEARRAY(1,A753-2,_xlfn.LAMBDA(_xlpm.r,_xlpm.c,_xlpm.c))))</f>
        <v/>
      </c>
    </row>
    <row r="754" spans="2:2" x14ac:dyDescent="0.2">
      <c r="B754" t="str" cm="1">
        <f t="array" ref="B754">IF(A754="","",_xlfn.CHOOSECOLS('Prematch Backend 2A'!754:754,_xlfn.MAKEARRAY(1,A754-2,_xlfn.LAMBDA(_xlpm.r,_xlpm.c,_xlpm.c))))</f>
        <v/>
      </c>
    </row>
    <row r="755" spans="2:2" x14ac:dyDescent="0.2">
      <c r="B755" t="str" cm="1">
        <f t="array" ref="B755">IF(A755="","",_xlfn.CHOOSECOLS('Prematch Backend 2A'!755:755,_xlfn.MAKEARRAY(1,A755-2,_xlfn.LAMBDA(_xlpm.r,_xlpm.c,_xlpm.c))))</f>
        <v/>
      </c>
    </row>
    <row r="756" spans="2:2" x14ac:dyDescent="0.2">
      <c r="B756" t="str" cm="1">
        <f t="array" ref="B756">IF(A756="","",_xlfn.CHOOSECOLS('Prematch Backend 2A'!756:756,_xlfn.MAKEARRAY(1,A756-2,_xlfn.LAMBDA(_xlpm.r,_xlpm.c,_xlpm.c))))</f>
        <v/>
      </c>
    </row>
    <row r="757" spans="2:2" x14ac:dyDescent="0.2">
      <c r="B757" t="str" cm="1">
        <f t="array" ref="B757">IF(A757="","",_xlfn.CHOOSECOLS('Prematch Backend 2A'!757:757,_xlfn.MAKEARRAY(1,A757-2,_xlfn.LAMBDA(_xlpm.r,_xlpm.c,_xlpm.c))))</f>
        <v/>
      </c>
    </row>
    <row r="758" spans="2:2" x14ac:dyDescent="0.2">
      <c r="B758" t="str" cm="1">
        <f t="array" ref="B758">IF(A758="","",_xlfn.CHOOSECOLS('Prematch Backend 2A'!758:758,_xlfn.MAKEARRAY(1,A758-2,_xlfn.LAMBDA(_xlpm.r,_xlpm.c,_xlpm.c))))</f>
        <v/>
      </c>
    </row>
    <row r="759" spans="2:2" x14ac:dyDescent="0.2">
      <c r="B759" t="str" cm="1">
        <f t="array" ref="B759">IF(A759="","",_xlfn.CHOOSECOLS('Prematch Backend 2A'!759:759,_xlfn.MAKEARRAY(1,A759-2,_xlfn.LAMBDA(_xlpm.r,_xlpm.c,_xlpm.c))))</f>
        <v/>
      </c>
    </row>
    <row r="760" spans="2:2" x14ac:dyDescent="0.2">
      <c r="B760" t="str" cm="1">
        <f t="array" ref="B760">IF(A760="","",_xlfn.CHOOSECOLS('Prematch Backend 2A'!760:760,_xlfn.MAKEARRAY(1,A760-2,_xlfn.LAMBDA(_xlpm.r,_xlpm.c,_xlpm.c))))</f>
        <v/>
      </c>
    </row>
    <row r="761" spans="2:2" x14ac:dyDescent="0.2">
      <c r="B761" t="str" cm="1">
        <f t="array" ref="B761">IF(A761="","",_xlfn.CHOOSECOLS('Prematch Backend 2A'!761:761,_xlfn.MAKEARRAY(1,A761-2,_xlfn.LAMBDA(_xlpm.r,_xlpm.c,_xlpm.c))))</f>
        <v/>
      </c>
    </row>
    <row r="762" spans="2:2" x14ac:dyDescent="0.2">
      <c r="B762" t="str" cm="1">
        <f t="array" ref="B762">IF(A762="","",_xlfn.CHOOSECOLS('Prematch Backend 2A'!762:762,_xlfn.MAKEARRAY(1,A762-2,_xlfn.LAMBDA(_xlpm.r,_xlpm.c,_xlpm.c))))</f>
        <v/>
      </c>
    </row>
    <row r="763" spans="2:2" x14ac:dyDescent="0.2">
      <c r="B763" t="str" cm="1">
        <f t="array" ref="B763">IF(A763="","",_xlfn.CHOOSECOLS('Prematch Backend 2A'!763:763,_xlfn.MAKEARRAY(1,A763-2,_xlfn.LAMBDA(_xlpm.r,_xlpm.c,_xlpm.c))))</f>
        <v/>
      </c>
    </row>
    <row r="764" spans="2:2" x14ac:dyDescent="0.2">
      <c r="B764" t="str" cm="1">
        <f t="array" ref="B764">IF(A764="","",_xlfn.CHOOSECOLS('Prematch Backend 2A'!764:764,_xlfn.MAKEARRAY(1,A764-2,_xlfn.LAMBDA(_xlpm.r,_xlpm.c,_xlpm.c))))</f>
        <v/>
      </c>
    </row>
    <row r="765" spans="2:2" x14ac:dyDescent="0.2">
      <c r="B765" t="str" cm="1">
        <f t="array" ref="B765">IF(A765="","",_xlfn.CHOOSECOLS('Prematch Backend 2A'!765:765,_xlfn.MAKEARRAY(1,A765-2,_xlfn.LAMBDA(_xlpm.r,_xlpm.c,_xlpm.c))))</f>
        <v/>
      </c>
    </row>
    <row r="766" spans="2:2" x14ac:dyDescent="0.2">
      <c r="B766" t="str" cm="1">
        <f t="array" ref="B766">IF(A766="","",_xlfn.CHOOSECOLS('Prematch Backend 2A'!766:766,_xlfn.MAKEARRAY(1,A766-2,_xlfn.LAMBDA(_xlpm.r,_xlpm.c,_xlpm.c))))</f>
        <v/>
      </c>
    </row>
    <row r="767" spans="2:2" x14ac:dyDescent="0.2">
      <c r="B767" t="str" cm="1">
        <f t="array" ref="B767">IF(A767="","",_xlfn.CHOOSECOLS('Prematch Backend 2A'!767:767,_xlfn.MAKEARRAY(1,A767-2,_xlfn.LAMBDA(_xlpm.r,_xlpm.c,_xlpm.c))))</f>
        <v/>
      </c>
    </row>
    <row r="768" spans="2:2" x14ac:dyDescent="0.2">
      <c r="B768" t="str" cm="1">
        <f t="array" ref="B768">IF(A768="","",_xlfn.CHOOSECOLS('Prematch Backend 2A'!768:768,_xlfn.MAKEARRAY(1,A768-2,_xlfn.LAMBDA(_xlpm.r,_xlpm.c,_xlpm.c))))</f>
        <v/>
      </c>
    </row>
    <row r="769" spans="2:2" x14ac:dyDescent="0.2">
      <c r="B769" t="str" cm="1">
        <f t="array" ref="B769">IF(A769="","",_xlfn.CHOOSECOLS('Prematch Backend 2A'!769:769,_xlfn.MAKEARRAY(1,A769-2,_xlfn.LAMBDA(_xlpm.r,_xlpm.c,_xlpm.c))))</f>
        <v/>
      </c>
    </row>
    <row r="770" spans="2:2" x14ac:dyDescent="0.2">
      <c r="B770" t="str" cm="1">
        <f t="array" ref="B770">IF(A770="","",_xlfn.CHOOSECOLS('Prematch Backend 2A'!770:770,_xlfn.MAKEARRAY(1,A770-2,_xlfn.LAMBDA(_xlpm.r,_xlpm.c,_xlpm.c))))</f>
        <v/>
      </c>
    </row>
    <row r="771" spans="2:2" x14ac:dyDescent="0.2">
      <c r="B771" t="str" cm="1">
        <f t="array" ref="B771">IF(A771="","",_xlfn.CHOOSECOLS('Prematch Backend 2A'!771:771,_xlfn.MAKEARRAY(1,A771-2,_xlfn.LAMBDA(_xlpm.r,_xlpm.c,_xlpm.c))))</f>
        <v/>
      </c>
    </row>
    <row r="772" spans="2:2" x14ac:dyDescent="0.2">
      <c r="B772" t="str" cm="1">
        <f t="array" ref="B772">IF(A772="","",_xlfn.CHOOSECOLS('Prematch Backend 2A'!772:772,_xlfn.MAKEARRAY(1,A772-2,_xlfn.LAMBDA(_xlpm.r,_xlpm.c,_xlpm.c))))</f>
        <v/>
      </c>
    </row>
    <row r="773" spans="2:2" x14ac:dyDescent="0.2">
      <c r="B773" t="str" cm="1">
        <f t="array" ref="B773">IF(A773="","",_xlfn.CHOOSECOLS('Prematch Backend 2A'!773:773,_xlfn.MAKEARRAY(1,A773-2,_xlfn.LAMBDA(_xlpm.r,_xlpm.c,_xlpm.c))))</f>
        <v/>
      </c>
    </row>
    <row r="774" spans="2:2" x14ac:dyDescent="0.2">
      <c r="B774" t="str" cm="1">
        <f t="array" ref="B774">IF(A774="","",_xlfn.CHOOSECOLS('Prematch Backend 2A'!774:774,_xlfn.MAKEARRAY(1,A774-2,_xlfn.LAMBDA(_xlpm.r,_xlpm.c,_xlpm.c))))</f>
        <v/>
      </c>
    </row>
    <row r="775" spans="2:2" x14ac:dyDescent="0.2">
      <c r="B775" t="str" cm="1">
        <f t="array" ref="B775">IF(A775="","",_xlfn.CHOOSECOLS('Prematch Backend 2A'!775:775,_xlfn.MAKEARRAY(1,A775-2,_xlfn.LAMBDA(_xlpm.r,_xlpm.c,_xlpm.c))))</f>
        <v/>
      </c>
    </row>
    <row r="776" spans="2:2" x14ac:dyDescent="0.2">
      <c r="B776" t="str" cm="1">
        <f t="array" ref="B776">IF(A776="","",_xlfn.CHOOSECOLS('Prematch Backend 2A'!776:776,_xlfn.MAKEARRAY(1,A776-2,_xlfn.LAMBDA(_xlpm.r,_xlpm.c,_xlpm.c))))</f>
        <v/>
      </c>
    </row>
    <row r="777" spans="2:2" x14ac:dyDescent="0.2">
      <c r="B777" t="str" cm="1">
        <f t="array" ref="B777">IF(A777="","",_xlfn.CHOOSECOLS('Prematch Backend 2A'!777:777,_xlfn.MAKEARRAY(1,A777-2,_xlfn.LAMBDA(_xlpm.r,_xlpm.c,_xlpm.c))))</f>
        <v/>
      </c>
    </row>
    <row r="778" spans="2:2" x14ac:dyDescent="0.2">
      <c r="B778" t="str" cm="1">
        <f t="array" ref="B778">IF(A778="","",_xlfn.CHOOSECOLS('Prematch Backend 2A'!778:778,_xlfn.MAKEARRAY(1,A778-2,_xlfn.LAMBDA(_xlpm.r,_xlpm.c,_xlpm.c))))</f>
        <v/>
      </c>
    </row>
    <row r="779" spans="2:2" x14ac:dyDescent="0.2">
      <c r="B779" t="str" cm="1">
        <f t="array" ref="B779">IF(A779="","",_xlfn.CHOOSECOLS('Prematch Backend 2A'!779:779,_xlfn.MAKEARRAY(1,A779-2,_xlfn.LAMBDA(_xlpm.r,_xlpm.c,_xlpm.c))))</f>
        <v/>
      </c>
    </row>
    <row r="780" spans="2:2" x14ac:dyDescent="0.2">
      <c r="B780" t="str" cm="1">
        <f t="array" ref="B780">IF(A780="","",_xlfn.CHOOSECOLS('Prematch Backend 2A'!780:780,_xlfn.MAKEARRAY(1,A780-2,_xlfn.LAMBDA(_xlpm.r,_xlpm.c,_xlpm.c))))</f>
        <v/>
      </c>
    </row>
    <row r="781" spans="2:2" x14ac:dyDescent="0.2">
      <c r="B781" t="str" cm="1">
        <f t="array" ref="B781">IF(A781="","",_xlfn.CHOOSECOLS('Prematch Backend 2A'!781:781,_xlfn.MAKEARRAY(1,A781-2,_xlfn.LAMBDA(_xlpm.r,_xlpm.c,_xlpm.c))))</f>
        <v/>
      </c>
    </row>
    <row r="782" spans="2:2" x14ac:dyDescent="0.2">
      <c r="B782" t="str" cm="1">
        <f t="array" ref="B782">IF(A782="","",_xlfn.CHOOSECOLS('Prematch Backend 2A'!782:782,_xlfn.MAKEARRAY(1,A782-2,_xlfn.LAMBDA(_xlpm.r,_xlpm.c,_xlpm.c))))</f>
        <v/>
      </c>
    </row>
    <row r="783" spans="2:2" x14ac:dyDescent="0.2">
      <c r="B783" t="str" cm="1">
        <f t="array" ref="B783">IF(A783="","",_xlfn.CHOOSECOLS('Prematch Backend 2A'!783:783,_xlfn.MAKEARRAY(1,A783-2,_xlfn.LAMBDA(_xlpm.r,_xlpm.c,_xlpm.c))))</f>
        <v/>
      </c>
    </row>
    <row r="784" spans="2:2" x14ac:dyDescent="0.2">
      <c r="B784" t="str" cm="1">
        <f t="array" ref="B784">IF(A784="","",_xlfn.CHOOSECOLS('Prematch Backend 2A'!784:784,_xlfn.MAKEARRAY(1,A784-2,_xlfn.LAMBDA(_xlpm.r,_xlpm.c,_xlpm.c))))</f>
        <v/>
      </c>
    </row>
    <row r="785" spans="2:2" x14ac:dyDescent="0.2">
      <c r="B785" t="str" cm="1">
        <f t="array" ref="B785">IF(A785="","",_xlfn.CHOOSECOLS('Prematch Backend 2A'!785:785,_xlfn.MAKEARRAY(1,A785-2,_xlfn.LAMBDA(_xlpm.r,_xlpm.c,_xlpm.c))))</f>
        <v/>
      </c>
    </row>
    <row r="786" spans="2:2" x14ac:dyDescent="0.2">
      <c r="B786" t="str" cm="1">
        <f t="array" ref="B786">IF(A786="","",_xlfn.CHOOSECOLS('Prematch Backend 2A'!786:786,_xlfn.MAKEARRAY(1,A786-2,_xlfn.LAMBDA(_xlpm.r,_xlpm.c,_xlpm.c))))</f>
        <v/>
      </c>
    </row>
    <row r="787" spans="2:2" x14ac:dyDescent="0.2">
      <c r="B787" t="str" cm="1">
        <f t="array" ref="B787">IF(A787="","",_xlfn.CHOOSECOLS('Prematch Backend 2A'!787:787,_xlfn.MAKEARRAY(1,A787-2,_xlfn.LAMBDA(_xlpm.r,_xlpm.c,_xlpm.c))))</f>
        <v/>
      </c>
    </row>
    <row r="788" spans="2:2" x14ac:dyDescent="0.2">
      <c r="B788" t="str" cm="1">
        <f t="array" ref="B788">IF(A788="","",_xlfn.CHOOSECOLS('Prematch Backend 2A'!788:788,_xlfn.MAKEARRAY(1,A788-2,_xlfn.LAMBDA(_xlpm.r,_xlpm.c,_xlpm.c))))</f>
        <v/>
      </c>
    </row>
    <row r="789" spans="2:2" x14ac:dyDescent="0.2">
      <c r="B789" t="str" cm="1">
        <f t="array" ref="B789">IF(A789="","",_xlfn.CHOOSECOLS('Prematch Backend 2A'!789:789,_xlfn.MAKEARRAY(1,A789-2,_xlfn.LAMBDA(_xlpm.r,_xlpm.c,_xlpm.c))))</f>
        <v/>
      </c>
    </row>
    <row r="790" spans="2:2" x14ac:dyDescent="0.2">
      <c r="B790" t="str" cm="1">
        <f t="array" ref="B790">IF(A790="","",_xlfn.CHOOSECOLS('Prematch Backend 2A'!790:790,_xlfn.MAKEARRAY(1,A790-2,_xlfn.LAMBDA(_xlpm.r,_xlpm.c,_xlpm.c))))</f>
        <v/>
      </c>
    </row>
    <row r="791" spans="2:2" x14ac:dyDescent="0.2">
      <c r="B791" t="str" cm="1">
        <f t="array" ref="B791">IF(A791="","",_xlfn.CHOOSECOLS('Prematch Backend 2A'!791:791,_xlfn.MAKEARRAY(1,A791-2,_xlfn.LAMBDA(_xlpm.r,_xlpm.c,_xlpm.c))))</f>
        <v/>
      </c>
    </row>
    <row r="792" spans="2:2" x14ac:dyDescent="0.2">
      <c r="B792" t="str" cm="1">
        <f t="array" ref="B792">IF(A792="","",_xlfn.CHOOSECOLS('Prematch Backend 2A'!792:792,_xlfn.MAKEARRAY(1,A792-2,_xlfn.LAMBDA(_xlpm.r,_xlpm.c,_xlpm.c))))</f>
        <v/>
      </c>
    </row>
    <row r="793" spans="2:2" x14ac:dyDescent="0.2">
      <c r="B793" t="str" cm="1">
        <f t="array" ref="B793">IF(A793="","",_xlfn.CHOOSECOLS('Prematch Backend 2A'!793:793,_xlfn.MAKEARRAY(1,A793-2,_xlfn.LAMBDA(_xlpm.r,_xlpm.c,_xlpm.c))))</f>
        <v/>
      </c>
    </row>
    <row r="794" spans="2:2" x14ac:dyDescent="0.2">
      <c r="B794" t="str" cm="1">
        <f t="array" ref="B794">IF(A794="","",_xlfn.CHOOSECOLS('Prematch Backend 2A'!794:794,_xlfn.MAKEARRAY(1,A794-2,_xlfn.LAMBDA(_xlpm.r,_xlpm.c,_xlpm.c))))</f>
        <v/>
      </c>
    </row>
    <row r="795" spans="2:2" x14ac:dyDescent="0.2">
      <c r="B795" t="str" cm="1">
        <f t="array" ref="B795">IF(A795="","",_xlfn.CHOOSECOLS('Prematch Backend 2A'!795:795,_xlfn.MAKEARRAY(1,A795-2,_xlfn.LAMBDA(_xlpm.r,_xlpm.c,_xlpm.c))))</f>
        <v/>
      </c>
    </row>
    <row r="796" spans="2:2" x14ac:dyDescent="0.2">
      <c r="B796" t="str" cm="1">
        <f t="array" ref="B796">IF(A796="","",_xlfn.CHOOSECOLS('Prematch Backend 2A'!796:796,_xlfn.MAKEARRAY(1,A796-2,_xlfn.LAMBDA(_xlpm.r,_xlpm.c,_xlpm.c))))</f>
        <v/>
      </c>
    </row>
    <row r="797" spans="2:2" x14ac:dyDescent="0.2">
      <c r="B797" t="str" cm="1">
        <f t="array" ref="B797">IF(A797="","",_xlfn.CHOOSECOLS('Prematch Backend 2A'!797:797,_xlfn.MAKEARRAY(1,A797-2,_xlfn.LAMBDA(_xlpm.r,_xlpm.c,_xlpm.c))))</f>
        <v/>
      </c>
    </row>
    <row r="798" spans="2:2" x14ac:dyDescent="0.2">
      <c r="B798" t="str" cm="1">
        <f t="array" ref="B798">IF(A798="","",_xlfn.CHOOSECOLS('Prematch Backend 2A'!798:798,_xlfn.MAKEARRAY(1,A798-2,_xlfn.LAMBDA(_xlpm.r,_xlpm.c,_xlpm.c))))</f>
        <v/>
      </c>
    </row>
    <row r="799" spans="2:2" x14ac:dyDescent="0.2">
      <c r="B799" t="str" cm="1">
        <f t="array" ref="B799">IF(A799="","",_xlfn.CHOOSECOLS('Prematch Backend 2A'!799:799,_xlfn.MAKEARRAY(1,A799-2,_xlfn.LAMBDA(_xlpm.r,_xlpm.c,_xlpm.c))))</f>
        <v/>
      </c>
    </row>
    <row r="800" spans="2:2" x14ac:dyDescent="0.2">
      <c r="B800" t="str" cm="1">
        <f t="array" ref="B800">IF(A800="","",_xlfn.CHOOSECOLS('Prematch Backend 2A'!800:800,_xlfn.MAKEARRAY(1,A800-2,_xlfn.LAMBDA(_xlpm.r,_xlpm.c,_xlpm.c))))</f>
        <v/>
      </c>
    </row>
    <row r="801" spans="2:2" x14ac:dyDescent="0.2">
      <c r="B801" t="str" cm="1">
        <f t="array" ref="B801">IF(A801="","",_xlfn.CHOOSECOLS('Prematch Backend 2A'!801:801,_xlfn.MAKEARRAY(1,A801-2,_xlfn.LAMBDA(_xlpm.r,_xlpm.c,_xlpm.c))))</f>
        <v/>
      </c>
    </row>
    <row r="802" spans="2:2" x14ac:dyDescent="0.2">
      <c r="B802" t="str" cm="1">
        <f t="array" ref="B802">IF(A802="","",_xlfn.CHOOSECOLS('Prematch Backend 2A'!802:802,_xlfn.MAKEARRAY(1,A802-2,_xlfn.LAMBDA(_xlpm.r,_xlpm.c,_xlpm.c))))</f>
        <v/>
      </c>
    </row>
    <row r="803" spans="2:2" x14ac:dyDescent="0.2">
      <c r="B803" t="str" cm="1">
        <f t="array" ref="B803">IF(A803="","",_xlfn.CHOOSECOLS('Prematch Backend 2A'!803:803,_xlfn.MAKEARRAY(1,A803-2,_xlfn.LAMBDA(_xlpm.r,_xlpm.c,_xlpm.c))))</f>
        <v/>
      </c>
    </row>
    <row r="804" spans="2:2" x14ac:dyDescent="0.2">
      <c r="B804" t="str" cm="1">
        <f t="array" ref="B804">IF(A804="","",_xlfn.CHOOSECOLS('Prematch Backend 2A'!804:804,_xlfn.MAKEARRAY(1,A804-2,_xlfn.LAMBDA(_xlpm.r,_xlpm.c,_xlpm.c))))</f>
        <v/>
      </c>
    </row>
    <row r="805" spans="2:2" x14ac:dyDescent="0.2">
      <c r="B805" t="str" cm="1">
        <f t="array" ref="B805">IF(A805="","",_xlfn.CHOOSECOLS('Prematch Backend 2A'!805:805,_xlfn.MAKEARRAY(1,A805-2,_xlfn.LAMBDA(_xlpm.r,_xlpm.c,_xlpm.c))))</f>
        <v/>
      </c>
    </row>
    <row r="806" spans="2:2" x14ac:dyDescent="0.2">
      <c r="B806" t="str" cm="1">
        <f t="array" ref="B806">IF(A806="","",_xlfn.CHOOSECOLS('Prematch Backend 2A'!806:806,_xlfn.MAKEARRAY(1,A806-2,_xlfn.LAMBDA(_xlpm.r,_xlpm.c,_xlpm.c))))</f>
        <v/>
      </c>
    </row>
    <row r="807" spans="2:2" x14ac:dyDescent="0.2">
      <c r="B807" t="str" cm="1">
        <f t="array" ref="B807">IF(A807="","",_xlfn.CHOOSECOLS('Prematch Backend 2A'!807:807,_xlfn.MAKEARRAY(1,A807-2,_xlfn.LAMBDA(_xlpm.r,_xlpm.c,_xlpm.c))))</f>
        <v/>
      </c>
    </row>
    <row r="808" spans="2:2" x14ac:dyDescent="0.2">
      <c r="B808" t="str" cm="1">
        <f t="array" ref="B808">IF(A808="","",_xlfn.CHOOSECOLS('Prematch Backend 2A'!808:808,_xlfn.MAKEARRAY(1,A808-2,_xlfn.LAMBDA(_xlpm.r,_xlpm.c,_xlpm.c))))</f>
        <v/>
      </c>
    </row>
    <row r="809" spans="2:2" x14ac:dyDescent="0.2">
      <c r="B809" t="str" cm="1">
        <f t="array" ref="B809">IF(A809="","",_xlfn.CHOOSECOLS('Prematch Backend 2A'!809:809,_xlfn.MAKEARRAY(1,A809-2,_xlfn.LAMBDA(_xlpm.r,_xlpm.c,_xlpm.c))))</f>
        <v/>
      </c>
    </row>
    <row r="810" spans="2:2" x14ac:dyDescent="0.2">
      <c r="B810" t="str" cm="1">
        <f t="array" ref="B810">IF(A810="","",_xlfn.CHOOSECOLS('Prematch Backend 2A'!810:810,_xlfn.MAKEARRAY(1,A810-2,_xlfn.LAMBDA(_xlpm.r,_xlpm.c,_xlpm.c))))</f>
        <v/>
      </c>
    </row>
    <row r="811" spans="2:2" x14ac:dyDescent="0.2">
      <c r="B811" t="str" cm="1">
        <f t="array" ref="B811">IF(A811="","",_xlfn.CHOOSECOLS('Prematch Backend 2A'!811:811,_xlfn.MAKEARRAY(1,A811-2,_xlfn.LAMBDA(_xlpm.r,_xlpm.c,_xlpm.c))))</f>
        <v/>
      </c>
    </row>
    <row r="812" spans="2:2" x14ac:dyDescent="0.2">
      <c r="B812" t="str" cm="1">
        <f t="array" ref="B812">IF(A812="","",_xlfn.CHOOSECOLS('Prematch Backend 2A'!812:812,_xlfn.MAKEARRAY(1,A812-2,_xlfn.LAMBDA(_xlpm.r,_xlpm.c,_xlpm.c))))</f>
        <v/>
      </c>
    </row>
    <row r="813" spans="2:2" x14ac:dyDescent="0.2">
      <c r="B813" t="str" cm="1">
        <f t="array" ref="B813">IF(A813="","",_xlfn.CHOOSECOLS('Prematch Backend 2A'!813:813,_xlfn.MAKEARRAY(1,A813-2,_xlfn.LAMBDA(_xlpm.r,_xlpm.c,_xlpm.c))))</f>
        <v/>
      </c>
    </row>
    <row r="814" spans="2:2" x14ac:dyDescent="0.2">
      <c r="B814" t="str" cm="1">
        <f t="array" ref="B814">IF(A814="","",_xlfn.CHOOSECOLS('Prematch Backend 2A'!814:814,_xlfn.MAKEARRAY(1,A814-2,_xlfn.LAMBDA(_xlpm.r,_xlpm.c,_xlpm.c))))</f>
        <v/>
      </c>
    </row>
    <row r="815" spans="2:2" x14ac:dyDescent="0.2">
      <c r="B815" t="str" cm="1">
        <f t="array" ref="B815">IF(A815="","",_xlfn.CHOOSECOLS('Prematch Backend 2A'!815:815,_xlfn.MAKEARRAY(1,A815-2,_xlfn.LAMBDA(_xlpm.r,_xlpm.c,_xlpm.c))))</f>
        <v/>
      </c>
    </row>
    <row r="816" spans="2:2" x14ac:dyDescent="0.2">
      <c r="B816" t="str" cm="1">
        <f t="array" ref="B816">IF(A816="","",_xlfn.CHOOSECOLS('Prematch Backend 2A'!816:816,_xlfn.MAKEARRAY(1,A816-2,_xlfn.LAMBDA(_xlpm.r,_xlpm.c,_xlpm.c))))</f>
        <v/>
      </c>
    </row>
    <row r="817" spans="2:2" x14ac:dyDescent="0.2">
      <c r="B817" t="str" cm="1">
        <f t="array" ref="B817">IF(A817="","",_xlfn.CHOOSECOLS('Prematch Backend 2A'!817:817,_xlfn.MAKEARRAY(1,A817-2,_xlfn.LAMBDA(_xlpm.r,_xlpm.c,_xlpm.c))))</f>
        <v/>
      </c>
    </row>
    <row r="818" spans="2:2" x14ac:dyDescent="0.2">
      <c r="B818" t="str" cm="1">
        <f t="array" ref="B818">IF(A818="","",_xlfn.CHOOSECOLS('Prematch Backend 2A'!818:818,_xlfn.MAKEARRAY(1,A818-2,_xlfn.LAMBDA(_xlpm.r,_xlpm.c,_xlpm.c))))</f>
        <v/>
      </c>
    </row>
    <row r="819" spans="2:2" x14ac:dyDescent="0.2">
      <c r="B819" t="str" cm="1">
        <f t="array" ref="B819">IF(A819="","",_xlfn.CHOOSECOLS('Prematch Backend 2A'!819:819,_xlfn.MAKEARRAY(1,A819-2,_xlfn.LAMBDA(_xlpm.r,_xlpm.c,_xlpm.c))))</f>
        <v/>
      </c>
    </row>
    <row r="820" spans="2:2" x14ac:dyDescent="0.2">
      <c r="B820" t="str" cm="1">
        <f t="array" ref="B820">IF(A820="","",_xlfn.CHOOSECOLS('Prematch Backend 2A'!820:820,_xlfn.MAKEARRAY(1,A820-2,_xlfn.LAMBDA(_xlpm.r,_xlpm.c,_xlpm.c))))</f>
        <v/>
      </c>
    </row>
    <row r="821" spans="2:2" x14ac:dyDescent="0.2">
      <c r="B821" t="str" cm="1">
        <f t="array" ref="B821">IF(A821="","",_xlfn.CHOOSECOLS('Prematch Backend 2A'!821:821,_xlfn.MAKEARRAY(1,A821-2,_xlfn.LAMBDA(_xlpm.r,_xlpm.c,_xlpm.c))))</f>
        <v/>
      </c>
    </row>
    <row r="822" spans="2:2" x14ac:dyDescent="0.2">
      <c r="B822" t="str" cm="1">
        <f t="array" ref="B822">IF(A822="","",_xlfn.CHOOSECOLS('Prematch Backend 2A'!822:822,_xlfn.MAKEARRAY(1,A822-2,_xlfn.LAMBDA(_xlpm.r,_xlpm.c,_xlpm.c))))</f>
        <v/>
      </c>
    </row>
    <row r="823" spans="2:2" x14ac:dyDescent="0.2">
      <c r="B823" t="str" cm="1">
        <f t="array" ref="B823">IF(A823="","",_xlfn.CHOOSECOLS('Prematch Backend 2A'!823:823,_xlfn.MAKEARRAY(1,A823-2,_xlfn.LAMBDA(_xlpm.r,_xlpm.c,_xlpm.c))))</f>
        <v/>
      </c>
    </row>
    <row r="824" spans="2:2" x14ac:dyDescent="0.2">
      <c r="B824" t="str" cm="1">
        <f t="array" ref="B824">IF(A824="","",_xlfn.CHOOSECOLS('Prematch Backend 2A'!824:824,_xlfn.MAKEARRAY(1,A824-2,_xlfn.LAMBDA(_xlpm.r,_xlpm.c,_xlpm.c))))</f>
        <v/>
      </c>
    </row>
    <row r="825" spans="2:2" x14ac:dyDescent="0.2">
      <c r="B825" t="str" cm="1">
        <f t="array" ref="B825">IF(A825="","",_xlfn.CHOOSECOLS('Prematch Backend 2A'!825:825,_xlfn.MAKEARRAY(1,A825-2,_xlfn.LAMBDA(_xlpm.r,_xlpm.c,_xlpm.c))))</f>
        <v/>
      </c>
    </row>
    <row r="826" spans="2:2" x14ac:dyDescent="0.2">
      <c r="B826" t="str" cm="1">
        <f t="array" ref="B826">IF(A826="","",_xlfn.CHOOSECOLS('Prematch Backend 2A'!826:826,_xlfn.MAKEARRAY(1,A826-2,_xlfn.LAMBDA(_xlpm.r,_xlpm.c,_xlpm.c))))</f>
        <v/>
      </c>
    </row>
    <row r="827" spans="2:2" x14ac:dyDescent="0.2">
      <c r="B827" t="str" cm="1">
        <f t="array" ref="B827">IF(A827="","",_xlfn.CHOOSECOLS('Prematch Backend 2A'!827:827,_xlfn.MAKEARRAY(1,A827-2,_xlfn.LAMBDA(_xlpm.r,_xlpm.c,_xlpm.c))))</f>
        <v/>
      </c>
    </row>
    <row r="828" spans="2:2" x14ac:dyDescent="0.2">
      <c r="B828" t="str" cm="1">
        <f t="array" ref="B828">IF(A828="","",_xlfn.CHOOSECOLS('Prematch Backend 2A'!828:828,_xlfn.MAKEARRAY(1,A828-2,_xlfn.LAMBDA(_xlpm.r,_xlpm.c,_xlpm.c))))</f>
        <v/>
      </c>
    </row>
    <row r="829" spans="2:2" x14ac:dyDescent="0.2">
      <c r="B829" t="str" cm="1">
        <f t="array" ref="B829">IF(A829="","",_xlfn.CHOOSECOLS('Prematch Backend 2A'!829:829,_xlfn.MAKEARRAY(1,A829-2,_xlfn.LAMBDA(_xlpm.r,_xlpm.c,_xlpm.c))))</f>
        <v/>
      </c>
    </row>
    <row r="830" spans="2:2" x14ac:dyDescent="0.2">
      <c r="B830" t="str" cm="1">
        <f t="array" ref="B830">IF(A830="","",_xlfn.CHOOSECOLS('Prematch Backend 2A'!830:830,_xlfn.MAKEARRAY(1,A830-2,_xlfn.LAMBDA(_xlpm.r,_xlpm.c,_xlpm.c))))</f>
        <v/>
      </c>
    </row>
    <row r="831" spans="2:2" x14ac:dyDescent="0.2">
      <c r="B831" t="str" cm="1">
        <f t="array" ref="B831">IF(A831="","",_xlfn.CHOOSECOLS('Prematch Backend 2A'!831:831,_xlfn.MAKEARRAY(1,A831-2,_xlfn.LAMBDA(_xlpm.r,_xlpm.c,_xlpm.c))))</f>
        <v/>
      </c>
    </row>
    <row r="832" spans="2:2" x14ac:dyDescent="0.2">
      <c r="B832" t="str" cm="1">
        <f t="array" ref="B832">IF(A832="","",_xlfn.CHOOSECOLS('Prematch Backend 2A'!832:832,_xlfn.MAKEARRAY(1,A832-2,_xlfn.LAMBDA(_xlpm.r,_xlpm.c,_xlpm.c))))</f>
        <v/>
      </c>
    </row>
    <row r="833" spans="2:2" x14ac:dyDescent="0.2">
      <c r="B833" t="str" cm="1">
        <f t="array" ref="B833">IF(A833="","",_xlfn.CHOOSECOLS('Prematch Backend 2A'!833:833,_xlfn.MAKEARRAY(1,A833-2,_xlfn.LAMBDA(_xlpm.r,_xlpm.c,_xlpm.c))))</f>
        <v/>
      </c>
    </row>
    <row r="834" spans="2:2" x14ac:dyDescent="0.2">
      <c r="B834" t="str" cm="1">
        <f t="array" ref="B834">IF(A834="","",_xlfn.CHOOSECOLS('Prematch Backend 2A'!834:834,_xlfn.MAKEARRAY(1,A834-2,_xlfn.LAMBDA(_xlpm.r,_xlpm.c,_xlpm.c))))</f>
        <v/>
      </c>
    </row>
    <row r="835" spans="2:2" x14ac:dyDescent="0.2">
      <c r="B835" t="str" cm="1">
        <f t="array" ref="B835">IF(A835="","",_xlfn.CHOOSECOLS('Prematch Backend 2A'!835:835,_xlfn.MAKEARRAY(1,A835-2,_xlfn.LAMBDA(_xlpm.r,_xlpm.c,_xlpm.c))))</f>
        <v/>
      </c>
    </row>
    <row r="836" spans="2:2" x14ac:dyDescent="0.2">
      <c r="B836" t="str" cm="1">
        <f t="array" ref="B836">IF(A836="","",_xlfn.CHOOSECOLS('Prematch Backend 2A'!836:836,_xlfn.MAKEARRAY(1,A836-2,_xlfn.LAMBDA(_xlpm.r,_xlpm.c,_xlpm.c))))</f>
        <v/>
      </c>
    </row>
    <row r="837" spans="2:2" x14ac:dyDescent="0.2">
      <c r="B837" t="str" cm="1">
        <f t="array" ref="B837">IF(A837="","",_xlfn.CHOOSECOLS('Prematch Backend 2A'!837:837,_xlfn.MAKEARRAY(1,A837-2,_xlfn.LAMBDA(_xlpm.r,_xlpm.c,_xlpm.c))))</f>
        <v/>
      </c>
    </row>
    <row r="838" spans="2:2" x14ac:dyDescent="0.2">
      <c r="B838" t="str" cm="1">
        <f t="array" ref="B838">IF(A838="","",_xlfn.CHOOSECOLS('Prematch Backend 2A'!838:838,_xlfn.MAKEARRAY(1,A838-2,_xlfn.LAMBDA(_xlpm.r,_xlpm.c,_xlpm.c))))</f>
        <v/>
      </c>
    </row>
    <row r="839" spans="2:2" x14ac:dyDescent="0.2">
      <c r="B839" t="str" cm="1">
        <f t="array" ref="B839">IF(A839="","",_xlfn.CHOOSECOLS('Prematch Backend 2A'!839:839,_xlfn.MAKEARRAY(1,A839-2,_xlfn.LAMBDA(_xlpm.r,_xlpm.c,_xlpm.c))))</f>
        <v/>
      </c>
    </row>
    <row r="840" spans="2:2" x14ac:dyDescent="0.2">
      <c r="B840" t="str" cm="1">
        <f t="array" ref="B840">IF(A840="","",_xlfn.CHOOSECOLS('Prematch Backend 2A'!840:840,_xlfn.MAKEARRAY(1,A840-2,_xlfn.LAMBDA(_xlpm.r,_xlpm.c,_xlpm.c))))</f>
        <v/>
      </c>
    </row>
    <row r="841" spans="2:2" x14ac:dyDescent="0.2">
      <c r="B841" t="str" cm="1">
        <f t="array" ref="B841">IF(A841="","",_xlfn.CHOOSECOLS('Prematch Backend 2A'!841:841,_xlfn.MAKEARRAY(1,A841-2,_xlfn.LAMBDA(_xlpm.r,_xlpm.c,_xlpm.c))))</f>
        <v/>
      </c>
    </row>
    <row r="842" spans="2:2" x14ac:dyDescent="0.2">
      <c r="B842" t="str" cm="1">
        <f t="array" ref="B842">IF(A842="","",_xlfn.CHOOSECOLS('Prematch Backend 2A'!842:842,_xlfn.MAKEARRAY(1,A842-2,_xlfn.LAMBDA(_xlpm.r,_xlpm.c,_xlpm.c))))</f>
        <v/>
      </c>
    </row>
    <row r="843" spans="2:2" x14ac:dyDescent="0.2">
      <c r="B843" t="str" cm="1">
        <f t="array" ref="B843">IF(A843="","",_xlfn.CHOOSECOLS('Prematch Backend 2A'!843:843,_xlfn.MAKEARRAY(1,A843-2,_xlfn.LAMBDA(_xlpm.r,_xlpm.c,_xlpm.c))))</f>
        <v/>
      </c>
    </row>
    <row r="844" spans="2:2" x14ac:dyDescent="0.2">
      <c r="B844" t="str" cm="1">
        <f t="array" ref="B844">IF(A844="","",_xlfn.CHOOSECOLS('Prematch Backend 2A'!844:844,_xlfn.MAKEARRAY(1,A844-2,_xlfn.LAMBDA(_xlpm.r,_xlpm.c,_xlpm.c))))</f>
        <v/>
      </c>
    </row>
    <row r="845" spans="2:2" x14ac:dyDescent="0.2">
      <c r="B845" t="str" cm="1">
        <f t="array" ref="B845">IF(A845="","",_xlfn.CHOOSECOLS('Prematch Backend 2A'!845:845,_xlfn.MAKEARRAY(1,A845-2,_xlfn.LAMBDA(_xlpm.r,_xlpm.c,_xlpm.c))))</f>
        <v/>
      </c>
    </row>
    <row r="846" spans="2:2" x14ac:dyDescent="0.2">
      <c r="B846" t="str" cm="1">
        <f t="array" ref="B846">IF(A846="","",_xlfn.CHOOSECOLS('Prematch Backend 2A'!846:846,_xlfn.MAKEARRAY(1,A846-2,_xlfn.LAMBDA(_xlpm.r,_xlpm.c,_xlpm.c))))</f>
        <v/>
      </c>
    </row>
    <row r="847" spans="2:2" x14ac:dyDescent="0.2">
      <c r="B847" t="str" cm="1">
        <f t="array" ref="B847">IF(A847="","",_xlfn.CHOOSECOLS('Prematch Backend 2A'!847:847,_xlfn.MAKEARRAY(1,A847-2,_xlfn.LAMBDA(_xlpm.r,_xlpm.c,_xlpm.c))))</f>
        <v/>
      </c>
    </row>
    <row r="848" spans="2:2" x14ac:dyDescent="0.2">
      <c r="B848" t="str" cm="1">
        <f t="array" ref="B848">IF(A848="","",_xlfn.CHOOSECOLS('Prematch Backend 2A'!848:848,_xlfn.MAKEARRAY(1,A848-2,_xlfn.LAMBDA(_xlpm.r,_xlpm.c,_xlpm.c))))</f>
        <v/>
      </c>
    </row>
    <row r="849" spans="2:2" x14ac:dyDescent="0.2">
      <c r="B849" t="str" cm="1">
        <f t="array" ref="B849">IF(A849="","",_xlfn.CHOOSECOLS('Prematch Backend 2A'!849:849,_xlfn.MAKEARRAY(1,A849-2,_xlfn.LAMBDA(_xlpm.r,_xlpm.c,_xlpm.c))))</f>
        <v/>
      </c>
    </row>
    <row r="850" spans="2:2" x14ac:dyDescent="0.2">
      <c r="B850" t="str" cm="1">
        <f t="array" ref="B850">IF(A850="","",_xlfn.CHOOSECOLS('Prematch Backend 2A'!850:850,_xlfn.MAKEARRAY(1,A850-2,_xlfn.LAMBDA(_xlpm.r,_xlpm.c,_xlpm.c))))</f>
        <v/>
      </c>
    </row>
    <row r="851" spans="2:2" x14ac:dyDescent="0.2">
      <c r="B851" t="str" cm="1">
        <f t="array" ref="B851">IF(A851="","",_xlfn.CHOOSECOLS('Prematch Backend 2A'!851:851,_xlfn.MAKEARRAY(1,A851-2,_xlfn.LAMBDA(_xlpm.r,_xlpm.c,_xlpm.c))))</f>
        <v/>
      </c>
    </row>
    <row r="852" spans="2:2" x14ac:dyDescent="0.2">
      <c r="B852" t="str" cm="1">
        <f t="array" ref="B852">IF(A852="","",_xlfn.CHOOSECOLS('Prematch Backend 2A'!852:852,_xlfn.MAKEARRAY(1,A852-2,_xlfn.LAMBDA(_xlpm.r,_xlpm.c,_xlpm.c))))</f>
        <v/>
      </c>
    </row>
    <row r="853" spans="2:2" x14ac:dyDescent="0.2">
      <c r="B853" t="str" cm="1">
        <f t="array" ref="B853">IF(A853="","",_xlfn.CHOOSECOLS('Prematch Backend 2A'!853:853,_xlfn.MAKEARRAY(1,A853-2,_xlfn.LAMBDA(_xlpm.r,_xlpm.c,_xlpm.c))))</f>
        <v/>
      </c>
    </row>
    <row r="854" spans="2:2" x14ac:dyDescent="0.2">
      <c r="B854" t="str" cm="1">
        <f t="array" ref="B854">IF(A854="","",_xlfn.CHOOSECOLS('Prematch Backend 2A'!854:854,_xlfn.MAKEARRAY(1,A854-2,_xlfn.LAMBDA(_xlpm.r,_xlpm.c,_xlpm.c))))</f>
        <v/>
      </c>
    </row>
    <row r="855" spans="2:2" x14ac:dyDescent="0.2">
      <c r="B855" t="str" cm="1">
        <f t="array" ref="B855">IF(A855="","",_xlfn.CHOOSECOLS('Prematch Backend 2A'!855:855,_xlfn.MAKEARRAY(1,A855-2,_xlfn.LAMBDA(_xlpm.r,_xlpm.c,_xlpm.c))))</f>
        <v/>
      </c>
    </row>
    <row r="856" spans="2:2" x14ac:dyDescent="0.2">
      <c r="B856" t="str" cm="1">
        <f t="array" ref="B856">IF(A856="","",_xlfn.CHOOSECOLS('Prematch Backend 2A'!856:856,_xlfn.MAKEARRAY(1,A856-2,_xlfn.LAMBDA(_xlpm.r,_xlpm.c,_xlpm.c))))</f>
        <v/>
      </c>
    </row>
    <row r="857" spans="2:2" x14ac:dyDescent="0.2">
      <c r="B857" t="str" cm="1">
        <f t="array" ref="B857">IF(A857="","",_xlfn.CHOOSECOLS('Prematch Backend 2A'!857:857,_xlfn.MAKEARRAY(1,A857-2,_xlfn.LAMBDA(_xlpm.r,_xlpm.c,_xlpm.c))))</f>
        <v/>
      </c>
    </row>
    <row r="858" spans="2:2" x14ac:dyDescent="0.2">
      <c r="B858" t="str" cm="1">
        <f t="array" ref="B858">IF(A858="","",_xlfn.CHOOSECOLS('Prematch Backend 2A'!858:858,_xlfn.MAKEARRAY(1,A858-2,_xlfn.LAMBDA(_xlpm.r,_xlpm.c,_xlpm.c))))</f>
        <v/>
      </c>
    </row>
    <row r="859" spans="2:2" x14ac:dyDescent="0.2">
      <c r="B859" t="str" cm="1">
        <f t="array" ref="B859">IF(A859="","",_xlfn.CHOOSECOLS('Prematch Backend 2A'!859:859,_xlfn.MAKEARRAY(1,A859-2,_xlfn.LAMBDA(_xlpm.r,_xlpm.c,_xlpm.c))))</f>
        <v/>
      </c>
    </row>
    <row r="860" spans="2:2" x14ac:dyDescent="0.2">
      <c r="B860" t="str" cm="1">
        <f t="array" ref="B860">IF(A860="","",_xlfn.CHOOSECOLS('Prematch Backend 2A'!860:860,_xlfn.MAKEARRAY(1,A860-2,_xlfn.LAMBDA(_xlpm.r,_xlpm.c,_xlpm.c))))</f>
        <v/>
      </c>
    </row>
    <row r="861" spans="2:2" x14ac:dyDescent="0.2">
      <c r="B861" t="str" cm="1">
        <f t="array" ref="B861">IF(A861="","",_xlfn.CHOOSECOLS('Prematch Backend 2A'!861:861,_xlfn.MAKEARRAY(1,A861-2,_xlfn.LAMBDA(_xlpm.r,_xlpm.c,_xlpm.c))))</f>
        <v/>
      </c>
    </row>
    <row r="862" spans="2:2" x14ac:dyDescent="0.2">
      <c r="B862" t="str" cm="1">
        <f t="array" ref="B862">IF(A862="","",_xlfn.CHOOSECOLS('Prematch Backend 2A'!862:862,_xlfn.MAKEARRAY(1,A862-2,_xlfn.LAMBDA(_xlpm.r,_xlpm.c,_xlpm.c))))</f>
        <v/>
      </c>
    </row>
    <row r="863" spans="2:2" x14ac:dyDescent="0.2">
      <c r="B863" t="str" cm="1">
        <f t="array" ref="B863">IF(A863="","",_xlfn.CHOOSECOLS('Prematch Backend 2A'!863:863,_xlfn.MAKEARRAY(1,A863-2,_xlfn.LAMBDA(_xlpm.r,_xlpm.c,_xlpm.c))))</f>
        <v/>
      </c>
    </row>
    <row r="864" spans="2:2" x14ac:dyDescent="0.2">
      <c r="B864" t="str" cm="1">
        <f t="array" ref="B864">IF(A864="","",_xlfn.CHOOSECOLS('Prematch Backend 2A'!864:864,_xlfn.MAKEARRAY(1,A864-2,_xlfn.LAMBDA(_xlpm.r,_xlpm.c,_xlpm.c))))</f>
        <v/>
      </c>
    </row>
    <row r="865" spans="2:2" x14ac:dyDescent="0.2">
      <c r="B865" t="str" cm="1">
        <f t="array" ref="B865">IF(A865="","",_xlfn.CHOOSECOLS('Prematch Backend 2A'!865:865,_xlfn.MAKEARRAY(1,A865-2,_xlfn.LAMBDA(_xlpm.r,_xlpm.c,_xlpm.c))))</f>
        <v/>
      </c>
    </row>
    <row r="866" spans="2:2" x14ac:dyDescent="0.2">
      <c r="B866" t="str" cm="1">
        <f t="array" ref="B866">IF(A866="","",_xlfn.CHOOSECOLS('Prematch Backend 2A'!866:866,_xlfn.MAKEARRAY(1,A866-2,_xlfn.LAMBDA(_xlpm.r,_xlpm.c,_xlpm.c))))</f>
        <v/>
      </c>
    </row>
    <row r="867" spans="2:2" x14ac:dyDescent="0.2">
      <c r="B867" t="str" cm="1">
        <f t="array" ref="B867">IF(A867="","",_xlfn.CHOOSECOLS('Prematch Backend 2A'!867:867,_xlfn.MAKEARRAY(1,A867-2,_xlfn.LAMBDA(_xlpm.r,_xlpm.c,_xlpm.c))))</f>
        <v/>
      </c>
    </row>
    <row r="868" spans="2:2" x14ac:dyDescent="0.2">
      <c r="B868" t="str" cm="1">
        <f t="array" ref="B868">IF(A868="","",_xlfn.CHOOSECOLS('Prematch Backend 2A'!868:868,_xlfn.MAKEARRAY(1,A868-2,_xlfn.LAMBDA(_xlpm.r,_xlpm.c,_xlpm.c))))</f>
        <v/>
      </c>
    </row>
    <row r="869" spans="2:2" x14ac:dyDescent="0.2">
      <c r="B869" t="str" cm="1">
        <f t="array" ref="B869">IF(A869="","",_xlfn.CHOOSECOLS('Prematch Backend 2A'!869:869,_xlfn.MAKEARRAY(1,A869-2,_xlfn.LAMBDA(_xlpm.r,_xlpm.c,_xlpm.c))))</f>
        <v/>
      </c>
    </row>
    <row r="870" spans="2:2" x14ac:dyDescent="0.2">
      <c r="B870" t="str" cm="1">
        <f t="array" ref="B870">IF(A870="","",_xlfn.CHOOSECOLS('Prematch Backend 2A'!870:870,_xlfn.MAKEARRAY(1,A870-2,_xlfn.LAMBDA(_xlpm.r,_xlpm.c,_xlpm.c))))</f>
        <v/>
      </c>
    </row>
    <row r="871" spans="2:2" x14ac:dyDescent="0.2">
      <c r="B871" t="str" cm="1">
        <f t="array" ref="B871">IF(A871="","",_xlfn.CHOOSECOLS('Prematch Backend 2A'!871:871,_xlfn.MAKEARRAY(1,A871-2,_xlfn.LAMBDA(_xlpm.r,_xlpm.c,_xlpm.c))))</f>
        <v/>
      </c>
    </row>
    <row r="872" spans="2:2" x14ac:dyDescent="0.2">
      <c r="B872" t="str" cm="1">
        <f t="array" ref="B872">IF(A872="","",_xlfn.CHOOSECOLS('Prematch Backend 2A'!872:872,_xlfn.MAKEARRAY(1,A872-2,_xlfn.LAMBDA(_xlpm.r,_xlpm.c,_xlpm.c))))</f>
        <v/>
      </c>
    </row>
    <row r="873" spans="2:2" x14ac:dyDescent="0.2">
      <c r="B873" t="str" cm="1">
        <f t="array" ref="B873">IF(A873="","",_xlfn.CHOOSECOLS('Prematch Backend 2A'!873:873,_xlfn.MAKEARRAY(1,A873-2,_xlfn.LAMBDA(_xlpm.r,_xlpm.c,_xlpm.c))))</f>
        <v/>
      </c>
    </row>
    <row r="874" spans="2:2" x14ac:dyDescent="0.2">
      <c r="B874" t="str" cm="1">
        <f t="array" ref="B874">IF(A874="","",_xlfn.CHOOSECOLS('Prematch Backend 2A'!874:874,_xlfn.MAKEARRAY(1,A874-2,_xlfn.LAMBDA(_xlpm.r,_xlpm.c,_xlpm.c))))</f>
        <v/>
      </c>
    </row>
    <row r="875" spans="2:2" x14ac:dyDescent="0.2">
      <c r="B875" t="str" cm="1">
        <f t="array" ref="B875">IF(A875="","",_xlfn.CHOOSECOLS('Prematch Backend 2A'!875:875,_xlfn.MAKEARRAY(1,A875-2,_xlfn.LAMBDA(_xlpm.r,_xlpm.c,_xlpm.c))))</f>
        <v/>
      </c>
    </row>
    <row r="876" spans="2:2" x14ac:dyDescent="0.2">
      <c r="B876" t="str" cm="1">
        <f t="array" ref="B876">IF(A876="","",_xlfn.CHOOSECOLS('Prematch Backend 2A'!876:876,_xlfn.MAKEARRAY(1,A876-2,_xlfn.LAMBDA(_xlpm.r,_xlpm.c,_xlpm.c))))</f>
        <v/>
      </c>
    </row>
    <row r="877" spans="2:2" x14ac:dyDescent="0.2">
      <c r="B877" t="str" cm="1">
        <f t="array" ref="B877">IF(A877="","",_xlfn.CHOOSECOLS('Prematch Backend 2A'!877:877,_xlfn.MAKEARRAY(1,A877-2,_xlfn.LAMBDA(_xlpm.r,_xlpm.c,_xlpm.c))))</f>
        <v/>
      </c>
    </row>
    <row r="878" spans="2:2" x14ac:dyDescent="0.2">
      <c r="B878" t="str" cm="1">
        <f t="array" ref="B878">IF(A878="","",_xlfn.CHOOSECOLS('Prematch Backend 2A'!878:878,_xlfn.MAKEARRAY(1,A878-2,_xlfn.LAMBDA(_xlpm.r,_xlpm.c,_xlpm.c))))</f>
        <v/>
      </c>
    </row>
    <row r="879" spans="2:2" x14ac:dyDescent="0.2">
      <c r="B879" t="str" cm="1">
        <f t="array" ref="B879">IF(A879="","",_xlfn.CHOOSECOLS('Prematch Backend 2A'!879:879,_xlfn.MAKEARRAY(1,A879-2,_xlfn.LAMBDA(_xlpm.r,_xlpm.c,_xlpm.c))))</f>
        <v/>
      </c>
    </row>
    <row r="880" spans="2:2" x14ac:dyDescent="0.2">
      <c r="B880" t="str" cm="1">
        <f t="array" ref="B880">IF(A880="","",_xlfn.CHOOSECOLS('Prematch Backend 2A'!880:880,_xlfn.MAKEARRAY(1,A880-2,_xlfn.LAMBDA(_xlpm.r,_xlpm.c,_xlpm.c))))</f>
        <v/>
      </c>
    </row>
    <row r="881" spans="2:2" x14ac:dyDescent="0.2">
      <c r="B881" t="str" cm="1">
        <f t="array" ref="B881">IF(A881="","",_xlfn.CHOOSECOLS('Prematch Backend 2A'!881:881,_xlfn.MAKEARRAY(1,A881-2,_xlfn.LAMBDA(_xlpm.r,_xlpm.c,_xlpm.c))))</f>
        <v/>
      </c>
    </row>
    <row r="882" spans="2:2" x14ac:dyDescent="0.2">
      <c r="B882" t="str" cm="1">
        <f t="array" ref="B882">IF(A882="","",_xlfn.CHOOSECOLS('Prematch Backend 2A'!882:882,_xlfn.MAKEARRAY(1,A882-2,_xlfn.LAMBDA(_xlpm.r,_xlpm.c,_xlpm.c))))</f>
        <v/>
      </c>
    </row>
    <row r="883" spans="2:2" x14ac:dyDescent="0.2">
      <c r="B883" t="str" cm="1">
        <f t="array" ref="B883">IF(A883="","",_xlfn.CHOOSECOLS('Prematch Backend 2A'!883:883,_xlfn.MAKEARRAY(1,A883-2,_xlfn.LAMBDA(_xlpm.r,_xlpm.c,_xlpm.c))))</f>
        <v/>
      </c>
    </row>
    <row r="884" spans="2:2" x14ac:dyDescent="0.2">
      <c r="B884" t="str" cm="1">
        <f t="array" ref="B884">IF(A884="","",_xlfn.CHOOSECOLS('Prematch Backend 2A'!884:884,_xlfn.MAKEARRAY(1,A884-2,_xlfn.LAMBDA(_xlpm.r,_xlpm.c,_xlpm.c))))</f>
        <v/>
      </c>
    </row>
    <row r="885" spans="2:2" x14ac:dyDescent="0.2">
      <c r="B885" t="str" cm="1">
        <f t="array" ref="B885">IF(A885="","",_xlfn.CHOOSECOLS('Prematch Backend 2A'!885:885,_xlfn.MAKEARRAY(1,A885-2,_xlfn.LAMBDA(_xlpm.r,_xlpm.c,_xlpm.c))))</f>
        <v/>
      </c>
    </row>
    <row r="886" spans="2:2" x14ac:dyDescent="0.2">
      <c r="B886" t="str" cm="1">
        <f t="array" ref="B886">IF(A886="","",_xlfn.CHOOSECOLS('Prematch Backend 2A'!886:886,_xlfn.MAKEARRAY(1,A886-2,_xlfn.LAMBDA(_xlpm.r,_xlpm.c,_xlpm.c))))</f>
        <v/>
      </c>
    </row>
    <row r="887" spans="2:2" x14ac:dyDescent="0.2">
      <c r="B887" t="str" cm="1">
        <f t="array" ref="B887">IF(A887="","",_xlfn.CHOOSECOLS('Prematch Backend 2A'!887:887,_xlfn.MAKEARRAY(1,A887-2,_xlfn.LAMBDA(_xlpm.r,_xlpm.c,_xlpm.c))))</f>
        <v/>
      </c>
    </row>
    <row r="888" spans="2:2" x14ac:dyDescent="0.2">
      <c r="B888" t="str" cm="1">
        <f t="array" ref="B888">IF(A888="","",_xlfn.CHOOSECOLS('Prematch Backend 2A'!888:888,_xlfn.MAKEARRAY(1,A888-2,_xlfn.LAMBDA(_xlpm.r,_xlpm.c,_xlpm.c))))</f>
        <v/>
      </c>
    </row>
    <row r="889" spans="2:2" x14ac:dyDescent="0.2">
      <c r="B889" t="str" cm="1">
        <f t="array" ref="B889">IF(A889="","",_xlfn.CHOOSECOLS('Prematch Backend 2A'!889:889,_xlfn.MAKEARRAY(1,A889-2,_xlfn.LAMBDA(_xlpm.r,_xlpm.c,_xlpm.c))))</f>
        <v/>
      </c>
    </row>
    <row r="890" spans="2:2" x14ac:dyDescent="0.2">
      <c r="B890" t="str" cm="1">
        <f t="array" ref="B890">IF(A890="","",_xlfn.CHOOSECOLS('Prematch Backend 2A'!890:890,_xlfn.MAKEARRAY(1,A890-2,_xlfn.LAMBDA(_xlpm.r,_xlpm.c,_xlpm.c))))</f>
        <v/>
      </c>
    </row>
    <row r="891" spans="2:2" x14ac:dyDescent="0.2">
      <c r="B891" t="str" cm="1">
        <f t="array" ref="B891">IF(A891="","",_xlfn.CHOOSECOLS('Prematch Backend 2A'!891:891,_xlfn.MAKEARRAY(1,A891-2,_xlfn.LAMBDA(_xlpm.r,_xlpm.c,_xlpm.c))))</f>
        <v/>
      </c>
    </row>
    <row r="892" spans="2:2" x14ac:dyDescent="0.2">
      <c r="B892" t="str" cm="1">
        <f t="array" ref="B892">IF(A892="","",_xlfn.CHOOSECOLS('Prematch Backend 2A'!892:892,_xlfn.MAKEARRAY(1,A892-2,_xlfn.LAMBDA(_xlpm.r,_xlpm.c,_xlpm.c))))</f>
        <v/>
      </c>
    </row>
    <row r="893" spans="2:2" x14ac:dyDescent="0.2">
      <c r="B893" t="str" cm="1">
        <f t="array" ref="B893">IF(A893="","",_xlfn.CHOOSECOLS('Prematch Backend 2A'!893:893,_xlfn.MAKEARRAY(1,A893-2,_xlfn.LAMBDA(_xlpm.r,_xlpm.c,_xlpm.c))))</f>
        <v/>
      </c>
    </row>
    <row r="894" spans="2:2" x14ac:dyDescent="0.2">
      <c r="B894" t="str" cm="1">
        <f t="array" ref="B894">IF(A894="","",_xlfn.CHOOSECOLS('Prematch Backend 2A'!894:894,_xlfn.MAKEARRAY(1,A894-2,_xlfn.LAMBDA(_xlpm.r,_xlpm.c,_xlpm.c))))</f>
        <v/>
      </c>
    </row>
    <row r="895" spans="2:2" x14ac:dyDescent="0.2">
      <c r="B895" t="str" cm="1">
        <f t="array" ref="B895">IF(A895="","",_xlfn.CHOOSECOLS('Prematch Backend 2A'!895:895,_xlfn.MAKEARRAY(1,A895-2,_xlfn.LAMBDA(_xlpm.r,_xlpm.c,_xlpm.c))))</f>
        <v/>
      </c>
    </row>
    <row r="896" spans="2:2" x14ac:dyDescent="0.2">
      <c r="B896" t="str" cm="1">
        <f t="array" ref="B896">IF(A896="","",_xlfn.CHOOSECOLS('Prematch Backend 2A'!896:896,_xlfn.MAKEARRAY(1,A896-2,_xlfn.LAMBDA(_xlpm.r,_xlpm.c,_xlpm.c))))</f>
        <v/>
      </c>
    </row>
    <row r="897" spans="2:2" x14ac:dyDescent="0.2">
      <c r="B897" t="str" cm="1">
        <f t="array" ref="B897">IF(A897="","",_xlfn.CHOOSECOLS('Prematch Backend 2A'!897:897,_xlfn.MAKEARRAY(1,A897-2,_xlfn.LAMBDA(_xlpm.r,_xlpm.c,_xlpm.c))))</f>
        <v/>
      </c>
    </row>
    <row r="898" spans="2:2" x14ac:dyDescent="0.2">
      <c r="B898" t="str" cm="1">
        <f t="array" ref="B898">IF(A898="","",_xlfn.CHOOSECOLS('Prematch Backend 2A'!898:898,_xlfn.MAKEARRAY(1,A898-2,_xlfn.LAMBDA(_xlpm.r,_xlpm.c,_xlpm.c))))</f>
        <v/>
      </c>
    </row>
    <row r="899" spans="2:2" x14ac:dyDescent="0.2">
      <c r="B899" t="str" cm="1">
        <f t="array" ref="B899">IF(A899="","",_xlfn.CHOOSECOLS('Prematch Backend 2A'!899:899,_xlfn.MAKEARRAY(1,A899-2,_xlfn.LAMBDA(_xlpm.r,_xlpm.c,_xlpm.c))))</f>
        <v/>
      </c>
    </row>
    <row r="900" spans="2:2" x14ac:dyDescent="0.2">
      <c r="B900" t="str" cm="1">
        <f t="array" ref="B900">IF(A900="","",_xlfn.CHOOSECOLS('Prematch Backend 2A'!900:900,_xlfn.MAKEARRAY(1,A900-2,_xlfn.LAMBDA(_xlpm.r,_xlpm.c,_xlpm.c))))</f>
        <v/>
      </c>
    </row>
    <row r="901" spans="2:2" x14ac:dyDescent="0.2">
      <c r="B901" t="str" cm="1">
        <f t="array" ref="B901">IF(A901="","",_xlfn.CHOOSECOLS('Prematch Backend 2A'!901:901,_xlfn.MAKEARRAY(1,A901-2,_xlfn.LAMBDA(_xlpm.r,_xlpm.c,_xlpm.c))))</f>
        <v/>
      </c>
    </row>
    <row r="902" spans="2:2" x14ac:dyDescent="0.2">
      <c r="B902" t="str" cm="1">
        <f t="array" ref="B902">IF(A902="","",_xlfn.CHOOSECOLS('Prematch Backend 2A'!902:902,_xlfn.MAKEARRAY(1,A902-2,_xlfn.LAMBDA(_xlpm.r,_xlpm.c,_xlpm.c))))</f>
        <v/>
      </c>
    </row>
    <row r="903" spans="2:2" x14ac:dyDescent="0.2">
      <c r="B903" t="str" cm="1">
        <f t="array" ref="B903">IF(A903="","",_xlfn.CHOOSECOLS('Prematch Backend 2A'!903:903,_xlfn.MAKEARRAY(1,A903-2,_xlfn.LAMBDA(_xlpm.r,_xlpm.c,_xlpm.c))))</f>
        <v/>
      </c>
    </row>
    <row r="904" spans="2:2" x14ac:dyDescent="0.2">
      <c r="B904" t="str" cm="1">
        <f t="array" ref="B904">IF(A904="","",_xlfn.CHOOSECOLS('Prematch Backend 2A'!904:904,_xlfn.MAKEARRAY(1,A904-2,_xlfn.LAMBDA(_xlpm.r,_xlpm.c,_xlpm.c))))</f>
        <v/>
      </c>
    </row>
    <row r="905" spans="2:2" x14ac:dyDescent="0.2">
      <c r="B905" t="str" cm="1">
        <f t="array" ref="B905">IF(A905="","",_xlfn.CHOOSECOLS('Prematch Backend 2A'!905:905,_xlfn.MAKEARRAY(1,A905-2,_xlfn.LAMBDA(_xlpm.r,_xlpm.c,_xlpm.c))))</f>
        <v/>
      </c>
    </row>
    <row r="906" spans="2:2" x14ac:dyDescent="0.2">
      <c r="B906" t="str" cm="1">
        <f t="array" ref="B906">IF(A906="","",_xlfn.CHOOSECOLS('Prematch Backend 2A'!906:906,_xlfn.MAKEARRAY(1,A906-2,_xlfn.LAMBDA(_xlpm.r,_xlpm.c,_xlpm.c))))</f>
        <v/>
      </c>
    </row>
    <row r="907" spans="2:2" x14ac:dyDescent="0.2">
      <c r="B907" t="str" cm="1">
        <f t="array" ref="B907">IF(A907="","",_xlfn.CHOOSECOLS('Prematch Backend 2A'!907:907,_xlfn.MAKEARRAY(1,A907-2,_xlfn.LAMBDA(_xlpm.r,_xlpm.c,_xlpm.c))))</f>
        <v/>
      </c>
    </row>
    <row r="908" spans="2:2" x14ac:dyDescent="0.2">
      <c r="B908" t="str" cm="1">
        <f t="array" ref="B908">IF(A908="","",_xlfn.CHOOSECOLS('Prematch Backend 2A'!908:908,_xlfn.MAKEARRAY(1,A908-2,_xlfn.LAMBDA(_xlpm.r,_xlpm.c,_xlpm.c))))</f>
        <v/>
      </c>
    </row>
    <row r="909" spans="2:2" x14ac:dyDescent="0.2">
      <c r="B909" t="str" cm="1">
        <f t="array" ref="B909">IF(A909="","",_xlfn.CHOOSECOLS('Prematch Backend 2A'!909:909,_xlfn.MAKEARRAY(1,A909-2,_xlfn.LAMBDA(_xlpm.r,_xlpm.c,_xlpm.c))))</f>
        <v/>
      </c>
    </row>
    <row r="910" spans="2:2" x14ac:dyDescent="0.2">
      <c r="B910" t="str" cm="1">
        <f t="array" ref="B910">IF(A910="","",_xlfn.CHOOSECOLS('Prematch Backend 2A'!910:910,_xlfn.MAKEARRAY(1,A910-2,_xlfn.LAMBDA(_xlpm.r,_xlpm.c,_xlpm.c))))</f>
        <v/>
      </c>
    </row>
    <row r="911" spans="2:2" x14ac:dyDescent="0.2">
      <c r="B911" t="str" cm="1">
        <f t="array" ref="B911">IF(A911="","",_xlfn.CHOOSECOLS('Prematch Backend 2A'!911:911,_xlfn.MAKEARRAY(1,A911-2,_xlfn.LAMBDA(_xlpm.r,_xlpm.c,_xlpm.c))))</f>
        <v/>
      </c>
    </row>
    <row r="912" spans="2:2" x14ac:dyDescent="0.2">
      <c r="B912" t="str" cm="1">
        <f t="array" ref="B912">IF(A912="","",_xlfn.CHOOSECOLS('Prematch Backend 2A'!912:912,_xlfn.MAKEARRAY(1,A912-2,_xlfn.LAMBDA(_xlpm.r,_xlpm.c,_xlpm.c))))</f>
        <v/>
      </c>
    </row>
    <row r="913" spans="2:2" x14ac:dyDescent="0.2">
      <c r="B913" t="str" cm="1">
        <f t="array" ref="B913">IF(A913="","",_xlfn.CHOOSECOLS('Prematch Backend 2A'!913:913,_xlfn.MAKEARRAY(1,A913-2,_xlfn.LAMBDA(_xlpm.r,_xlpm.c,_xlpm.c))))</f>
        <v/>
      </c>
    </row>
    <row r="914" spans="2:2" x14ac:dyDescent="0.2">
      <c r="B914" t="str" cm="1">
        <f t="array" ref="B914">IF(A914="","",_xlfn.CHOOSECOLS('Prematch Backend 2A'!914:914,_xlfn.MAKEARRAY(1,A914-2,_xlfn.LAMBDA(_xlpm.r,_xlpm.c,_xlpm.c))))</f>
        <v/>
      </c>
    </row>
    <row r="915" spans="2:2" x14ac:dyDescent="0.2">
      <c r="B915" t="str" cm="1">
        <f t="array" ref="B915">IF(A915="","",_xlfn.CHOOSECOLS('Prematch Backend 2A'!915:915,_xlfn.MAKEARRAY(1,A915-2,_xlfn.LAMBDA(_xlpm.r,_xlpm.c,_xlpm.c))))</f>
        <v/>
      </c>
    </row>
    <row r="916" spans="2:2" x14ac:dyDescent="0.2">
      <c r="B916" t="str" cm="1">
        <f t="array" ref="B916">IF(A916="","",_xlfn.CHOOSECOLS('Prematch Backend 2A'!916:916,_xlfn.MAKEARRAY(1,A916-2,_xlfn.LAMBDA(_xlpm.r,_xlpm.c,_xlpm.c))))</f>
        <v/>
      </c>
    </row>
    <row r="917" spans="2:2" x14ac:dyDescent="0.2">
      <c r="B917" t="str" cm="1">
        <f t="array" ref="B917">IF(A917="","",_xlfn.CHOOSECOLS('Prematch Backend 2A'!917:917,_xlfn.MAKEARRAY(1,A917-2,_xlfn.LAMBDA(_xlpm.r,_xlpm.c,_xlpm.c))))</f>
        <v/>
      </c>
    </row>
    <row r="918" spans="2:2" x14ac:dyDescent="0.2">
      <c r="B918" t="str" cm="1">
        <f t="array" ref="B918">IF(A918="","",_xlfn.CHOOSECOLS('Prematch Backend 2A'!918:918,_xlfn.MAKEARRAY(1,A918-2,_xlfn.LAMBDA(_xlpm.r,_xlpm.c,_xlpm.c))))</f>
        <v/>
      </c>
    </row>
    <row r="919" spans="2:2" x14ac:dyDescent="0.2">
      <c r="B919" t="str" cm="1">
        <f t="array" ref="B919">IF(A919="","",_xlfn.CHOOSECOLS('Prematch Backend 2A'!919:919,_xlfn.MAKEARRAY(1,A919-2,_xlfn.LAMBDA(_xlpm.r,_xlpm.c,_xlpm.c))))</f>
        <v/>
      </c>
    </row>
    <row r="920" spans="2:2" x14ac:dyDescent="0.2">
      <c r="B920" t="str" cm="1">
        <f t="array" ref="B920">IF(A920="","",_xlfn.CHOOSECOLS('Prematch Backend 2A'!920:920,_xlfn.MAKEARRAY(1,A920-2,_xlfn.LAMBDA(_xlpm.r,_xlpm.c,_xlpm.c))))</f>
        <v/>
      </c>
    </row>
    <row r="921" spans="2:2" x14ac:dyDescent="0.2">
      <c r="B921" t="str" cm="1">
        <f t="array" ref="B921">IF(A921="","",_xlfn.CHOOSECOLS('Prematch Backend 2A'!921:921,_xlfn.MAKEARRAY(1,A921-2,_xlfn.LAMBDA(_xlpm.r,_xlpm.c,_xlpm.c))))</f>
        <v/>
      </c>
    </row>
    <row r="922" spans="2:2" x14ac:dyDescent="0.2">
      <c r="B922" t="str" cm="1">
        <f t="array" ref="B922">IF(A922="","",_xlfn.CHOOSECOLS('Prematch Backend 2A'!922:922,_xlfn.MAKEARRAY(1,A922-2,_xlfn.LAMBDA(_xlpm.r,_xlpm.c,_xlpm.c))))</f>
        <v/>
      </c>
    </row>
    <row r="923" spans="2:2" x14ac:dyDescent="0.2">
      <c r="B923" t="str" cm="1">
        <f t="array" ref="B923">IF(A923="","",_xlfn.CHOOSECOLS('Prematch Backend 2A'!923:923,_xlfn.MAKEARRAY(1,A923-2,_xlfn.LAMBDA(_xlpm.r,_xlpm.c,_xlpm.c))))</f>
        <v/>
      </c>
    </row>
    <row r="924" spans="2:2" x14ac:dyDescent="0.2">
      <c r="B924" t="str" cm="1">
        <f t="array" ref="B924">IF(A924="","",_xlfn.CHOOSECOLS('Prematch Backend 2A'!924:924,_xlfn.MAKEARRAY(1,A924-2,_xlfn.LAMBDA(_xlpm.r,_xlpm.c,_xlpm.c))))</f>
        <v/>
      </c>
    </row>
    <row r="925" spans="2:2" x14ac:dyDescent="0.2">
      <c r="B925" t="str" cm="1">
        <f t="array" ref="B925">IF(A925="","",_xlfn.CHOOSECOLS('Prematch Backend 2A'!925:925,_xlfn.MAKEARRAY(1,A925-2,_xlfn.LAMBDA(_xlpm.r,_xlpm.c,_xlpm.c))))</f>
        <v/>
      </c>
    </row>
    <row r="926" spans="2:2" x14ac:dyDescent="0.2">
      <c r="B926" t="str" cm="1">
        <f t="array" ref="B926">IF(A926="","",_xlfn.CHOOSECOLS('Prematch Backend 2A'!926:926,_xlfn.MAKEARRAY(1,A926-2,_xlfn.LAMBDA(_xlpm.r,_xlpm.c,_xlpm.c))))</f>
        <v/>
      </c>
    </row>
    <row r="927" spans="2:2" x14ac:dyDescent="0.2">
      <c r="B927" t="str" cm="1">
        <f t="array" ref="B927">IF(A927="","",_xlfn.CHOOSECOLS('Prematch Backend 2A'!927:927,_xlfn.MAKEARRAY(1,A927-2,_xlfn.LAMBDA(_xlpm.r,_xlpm.c,_xlpm.c))))</f>
        <v/>
      </c>
    </row>
    <row r="928" spans="2:2" x14ac:dyDescent="0.2">
      <c r="B928" t="str" cm="1">
        <f t="array" ref="B928">IF(A928="","",_xlfn.CHOOSECOLS('Prematch Backend 2A'!928:928,_xlfn.MAKEARRAY(1,A928-2,_xlfn.LAMBDA(_xlpm.r,_xlpm.c,_xlpm.c))))</f>
        <v/>
      </c>
    </row>
    <row r="929" spans="2:2" x14ac:dyDescent="0.2">
      <c r="B929" t="str" cm="1">
        <f t="array" ref="B929">IF(A929="","",_xlfn.CHOOSECOLS('Prematch Backend 2A'!929:929,_xlfn.MAKEARRAY(1,A929-2,_xlfn.LAMBDA(_xlpm.r,_xlpm.c,_xlpm.c))))</f>
        <v/>
      </c>
    </row>
    <row r="930" spans="2:2" x14ac:dyDescent="0.2">
      <c r="B930" t="str" cm="1">
        <f t="array" ref="B930">IF(A930="","",_xlfn.CHOOSECOLS('Prematch Backend 2A'!930:930,_xlfn.MAKEARRAY(1,A930-2,_xlfn.LAMBDA(_xlpm.r,_xlpm.c,_xlpm.c))))</f>
        <v/>
      </c>
    </row>
    <row r="931" spans="2:2" x14ac:dyDescent="0.2">
      <c r="B931" t="str" cm="1">
        <f t="array" ref="B931">IF(A931="","",_xlfn.CHOOSECOLS('Prematch Backend 2A'!931:931,_xlfn.MAKEARRAY(1,A931-2,_xlfn.LAMBDA(_xlpm.r,_xlpm.c,_xlpm.c))))</f>
        <v/>
      </c>
    </row>
    <row r="932" spans="2:2" x14ac:dyDescent="0.2">
      <c r="B932" t="str" cm="1">
        <f t="array" ref="B932">IF(A932="","",_xlfn.CHOOSECOLS('Prematch Backend 2A'!932:932,_xlfn.MAKEARRAY(1,A932-2,_xlfn.LAMBDA(_xlpm.r,_xlpm.c,_xlpm.c))))</f>
        <v/>
      </c>
    </row>
    <row r="933" spans="2:2" x14ac:dyDescent="0.2">
      <c r="B933" t="str" cm="1">
        <f t="array" ref="B933">IF(A933="","",_xlfn.CHOOSECOLS('Prematch Backend 2A'!933:933,_xlfn.MAKEARRAY(1,A933-2,_xlfn.LAMBDA(_xlpm.r,_xlpm.c,_xlpm.c))))</f>
        <v/>
      </c>
    </row>
    <row r="934" spans="2:2" x14ac:dyDescent="0.2">
      <c r="B934" t="str" cm="1">
        <f t="array" ref="B934">IF(A934="","",_xlfn.CHOOSECOLS('Prematch Backend 2A'!934:934,_xlfn.MAKEARRAY(1,A934-2,_xlfn.LAMBDA(_xlpm.r,_xlpm.c,_xlpm.c))))</f>
        <v/>
      </c>
    </row>
    <row r="935" spans="2:2" x14ac:dyDescent="0.2">
      <c r="B935" t="str" cm="1">
        <f t="array" ref="B935">IF(A935="","",_xlfn.CHOOSECOLS('Prematch Backend 2A'!935:935,_xlfn.MAKEARRAY(1,A935-2,_xlfn.LAMBDA(_xlpm.r,_xlpm.c,_xlpm.c))))</f>
        <v/>
      </c>
    </row>
    <row r="936" spans="2:2" x14ac:dyDescent="0.2">
      <c r="B936" t="str" cm="1">
        <f t="array" ref="B936">IF(A936="","",_xlfn.CHOOSECOLS('Prematch Backend 2A'!936:936,_xlfn.MAKEARRAY(1,A936-2,_xlfn.LAMBDA(_xlpm.r,_xlpm.c,_xlpm.c))))</f>
        <v/>
      </c>
    </row>
    <row r="937" spans="2:2" x14ac:dyDescent="0.2">
      <c r="B937" t="str" cm="1">
        <f t="array" ref="B937">IF(A937="","",_xlfn.CHOOSECOLS('Prematch Backend 2A'!937:937,_xlfn.MAKEARRAY(1,A937-2,_xlfn.LAMBDA(_xlpm.r,_xlpm.c,_xlpm.c))))</f>
        <v/>
      </c>
    </row>
    <row r="938" spans="2:2" x14ac:dyDescent="0.2">
      <c r="B938" t="str" cm="1">
        <f t="array" ref="B938">IF(A938="","",_xlfn.CHOOSECOLS('Prematch Backend 2A'!938:938,_xlfn.MAKEARRAY(1,A938-2,_xlfn.LAMBDA(_xlpm.r,_xlpm.c,_xlpm.c))))</f>
        <v/>
      </c>
    </row>
    <row r="939" spans="2:2" x14ac:dyDescent="0.2">
      <c r="B939" t="str" cm="1">
        <f t="array" ref="B939">IF(A939="","",_xlfn.CHOOSECOLS('Prematch Backend 2A'!939:939,_xlfn.MAKEARRAY(1,A939-2,_xlfn.LAMBDA(_xlpm.r,_xlpm.c,_xlpm.c))))</f>
        <v/>
      </c>
    </row>
    <row r="940" spans="2:2" x14ac:dyDescent="0.2">
      <c r="B940" t="str" cm="1">
        <f t="array" ref="B940">IF(A940="","",_xlfn.CHOOSECOLS('Prematch Backend 2A'!940:940,_xlfn.MAKEARRAY(1,A940-2,_xlfn.LAMBDA(_xlpm.r,_xlpm.c,_xlpm.c))))</f>
        <v/>
      </c>
    </row>
    <row r="941" spans="2:2" x14ac:dyDescent="0.2">
      <c r="B941" t="str" cm="1">
        <f t="array" ref="B941">IF(A941="","",_xlfn.CHOOSECOLS('Prematch Backend 2A'!941:941,_xlfn.MAKEARRAY(1,A941-2,_xlfn.LAMBDA(_xlpm.r,_xlpm.c,_xlpm.c))))</f>
        <v/>
      </c>
    </row>
    <row r="942" spans="2:2" x14ac:dyDescent="0.2">
      <c r="B942" t="str" cm="1">
        <f t="array" ref="B942">IF(A942="","",_xlfn.CHOOSECOLS('Prematch Backend 2A'!942:942,_xlfn.MAKEARRAY(1,A942-2,_xlfn.LAMBDA(_xlpm.r,_xlpm.c,_xlpm.c))))</f>
        <v/>
      </c>
    </row>
    <row r="943" spans="2:2" x14ac:dyDescent="0.2">
      <c r="B943" t="str" cm="1">
        <f t="array" ref="B943">IF(A943="","",_xlfn.CHOOSECOLS('Prematch Backend 2A'!943:943,_xlfn.MAKEARRAY(1,A943-2,_xlfn.LAMBDA(_xlpm.r,_xlpm.c,_xlpm.c))))</f>
        <v/>
      </c>
    </row>
    <row r="944" spans="2:2" x14ac:dyDescent="0.2">
      <c r="B944" t="str" cm="1">
        <f t="array" ref="B944">IF(A944="","",_xlfn.CHOOSECOLS('Prematch Backend 2A'!944:944,_xlfn.MAKEARRAY(1,A944-2,_xlfn.LAMBDA(_xlpm.r,_xlpm.c,_xlpm.c))))</f>
        <v/>
      </c>
    </row>
    <row r="945" spans="2:2" x14ac:dyDescent="0.2">
      <c r="B945" t="str" cm="1">
        <f t="array" ref="B945">IF(A945="","",_xlfn.CHOOSECOLS('Prematch Backend 2A'!945:945,_xlfn.MAKEARRAY(1,A945-2,_xlfn.LAMBDA(_xlpm.r,_xlpm.c,_xlpm.c))))</f>
        <v/>
      </c>
    </row>
    <row r="946" spans="2:2" x14ac:dyDescent="0.2">
      <c r="B946" t="str" cm="1">
        <f t="array" ref="B946">IF(A946="","",_xlfn.CHOOSECOLS('Prematch Backend 2A'!946:946,_xlfn.MAKEARRAY(1,A946-2,_xlfn.LAMBDA(_xlpm.r,_xlpm.c,_xlpm.c))))</f>
        <v/>
      </c>
    </row>
    <row r="947" spans="2:2" x14ac:dyDescent="0.2">
      <c r="B947" t="str" cm="1">
        <f t="array" ref="B947">IF(A947="","",_xlfn.CHOOSECOLS('Prematch Backend 2A'!947:947,_xlfn.MAKEARRAY(1,A947-2,_xlfn.LAMBDA(_xlpm.r,_xlpm.c,_xlpm.c))))</f>
        <v/>
      </c>
    </row>
    <row r="948" spans="2:2" x14ac:dyDescent="0.2">
      <c r="B948" t="str" cm="1">
        <f t="array" ref="B948">IF(A948="","",_xlfn.CHOOSECOLS('Prematch Backend 2A'!948:948,_xlfn.MAKEARRAY(1,A948-2,_xlfn.LAMBDA(_xlpm.r,_xlpm.c,_xlpm.c))))</f>
        <v/>
      </c>
    </row>
    <row r="949" spans="2:2" x14ac:dyDescent="0.2">
      <c r="B949" t="str" cm="1">
        <f t="array" ref="B949">IF(A949="","",_xlfn.CHOOSECOLS('Prematch Backend 2A'!949:949,_xlfn.MAKEARRAY(1,A949-2,_xlfn.LAMBDA(_xlpm.r,_xlpm.c,_xlpm.c))))</f>
        <v/>
      </c>
    </row>
    <row r="950" spans="2:2" x14ac:dyDescent="0.2">
      <c r="B950" t="str" cm="1">
        <f t="array" ref="B950">IF(A950="","",_xlfn.CHOOSECOLS('Prematch Backend 2A'!950:950,_xlfn.MAKEARRAY(1,A950-2,_xlfn.LAMBDA(_xlpm.r,_xlpm.c,_xlpm.c))))</f>
        <v/>
      </c>
    </row>
    <row r="951" spans="2:2" x14ac:dyDescent="0.2">
      <c r="B951" t="str" cm="1">
        <f t="array" ref="B951">IF(A951="","",_xlfn.CHOOSECOLS('Prematch Backend 2A'!951:951,_xlfn.MAKEARRAY(1,A951-2,_xlfn.LAMBDA(_xlpm.r,_xlpm.c,_xlpm.c))))</f>
        <v/>
      </c>
    </row>
    <row r="952" spans="2:2" x14ac:dyDescent="0.2">
      <c r="B952" t="str" cm="1">
        <f t="array" ref="B952">IF(A952="","",_xlfn.CHOOSECOLS('Prematch Backend 2A'!952:952,_xlfn.MAKEARRAY(1,A952-2,_xlfn.LAMBDA(_xlpm.r,_xlpm.c,_xlpm.c))))</f>
        <v/>
      </c>
    </row>
    <row r="953" spans="2:2" x14ac:dyDescent="0.2">
      <c r="B953" t="str" cm="1">
        <f t="array" ref="B953">IF(A953="","",_xlfn.CHOOSECOLS('Prematch Backend 2A'!953:953,_xlfn.MAKEARRAY(1,A953-2,_xlfn.LAMBDA(_xlpm.r,_xlpm.c,_xlpm.c))))</f>
        <v/>
      </c>
    </row>
    <row r="954" spans="2:2" x14ac:dyDescent="0.2">
      <c r="B954" t="str" cm="1">
        <f t="array" ref="B954">IF(A954="","",_xlfn.CHOOSECOLS('Prematch Backend 2A'!954:954,_xlfn.MAKEARRAY(1,A954-2,_xlfn.LAMBDA(_xlpm.r,_xlpm.c,_xlpm.c))))</f>
        <v/>
      </c>
    </row>
    <row r="955" spans="2:2" x14ac:dyDescent="0.2">
      <c r="B955" t="str" cm="1">
        <f t="array" ref="B955">IF(A955="","",_xlfn.CHOOSECOLS('Prematch Backend 2A'!955:955,_xlfn.MAKEARRAY(1,A955-2,_xlfn.LAMBDA(_xlpm.r,_xlpm.c,_xlpm.c))))</f>
        <v/>
      </c>
    </row>
    <row r="956" spans="2:2" x14ac:dyDescent="0.2">
      <c r="B956" t="str" cm="1">
        <f t="array" ref="B956">IF(A956="","",_xlfn.CHOOSECOLS('Prematch Backend 2A'!956:956,_xlfn.MAKEARRAY(1,A956-2,_xlfn.LAMBDA(_xlpm.r,_xlpm.c,_xlpm.c))))</f>
        <v/>
      </c>
    </row>
    <row r="957" spans="2:2" x14ac:dyDescent="0.2">
      <c r="B957" t="str" cm="1">
        <f t="array" ref="B957">IF(A957="","",_xlfn.CHOOSECOLS('Prematch Backend 2A'!957:957,_xlfn.MAKEARRAY(1,A957-2,_xlfn.LAMBDA(_xlpm.r,_xlpm.c,_xlpm.c))))</f>
        <v/>
      </c>
    </row>
    <row r="958" spans="2:2" x14ac:dyDescent="0.2">
      <c r="B958" t="str" cm="1">
        <f t="array" ref="B958">IF(A958="","",_xlfn.CHOOSECOLS('Prematch Backend 2A'!958:958,_xlfn.MAKEARRAY(1,A958-2,_xlfn.LAMBDA(_xlpm.r,_xlpm.c,_xlpm.c))))</f>
        <v/>
      </c>
    </row>
    <row r="959" spans="2:2" x14ac:dyDescent="0.2">
      <c r="B959" t="str" cm="1">
        <f t="array" ref="B959">IF(A959="","",_xlfn.CHOOSECOLS('Prematch Backend 2A'!959:959,_xlfn.MAKEARRAY(1,A959-2,_xlfn.LAMBDA(_xlpm.r,_xlpm.c,_xlpm.c))))</f>
        <v/>
      </c>
    </row>
    <row r="960" spans="2:2" x14ac:dyDescent="0.2">
      <c r="B960" t="str" cm="1">
        <f t="array" ref="B960">IF(A960="","",_xlfn.CHOOSECOLS('Prematch Backend 2A'!960:960,_xlfn.MAKEARRAY(1,A960-2,_xlfn.LAMBDA(_xlpm.r,_xlpm.c,_xlpm.c))))</f>
        <v/>
      </c>
    </row>
    <row r="961" spans="2:2" x14ac:dyDescent="0.2">
      <c r="B961" t="str" cm="1">
        <f t="array" ref="B961">IF(A961="","",_xlfn.CHOOSECOLS('Prematch Backend 2A'!961:961,_xlfn.MAKEARRAY(1,A961-2,_xlfn.LAMBDA(_xlpm.r,_xlpm.c,_xlpm.c))))</f>
        <v/>
      </c>
    </row>
    <row r="962" spans="2:2" x14ac:dyDescent="0.2">
      <c r="B962" t="str" cm="1">
        <f t="array" ref="B962">IF(A962="","",_xlfn.CHOOSECOLS('Prematch Backend 2A'!962:962,_xlfn.MAKEARRAY(1,A962-2,_xlfn.LAMBDA(_xlpm.r,_xlpm.c,_xlpm.c))))</f>
        <v/>
      </c>
    </row>
    <row r="963" spans="2:2" x14ac:dyDescent="0.2">
      <c r="B963" t="str" cm="1">
        <f t="array" ref="B963">IF(A963="","",_xlfn.CHOOSECOLS('Prematch Backend 2A'!963:963,_xlfn.MAKEARRAY(1,A963-2,_xlfn.LAMBDA(_xlpm.r,_xlpm.c,_xlpm.c))))</f>
        <v/>
      </c>
    </row>
    <row r="964" spans="2:2" x14ac:dyDescent="0.2">
      <c r="B964" t="str" cm="1">
        <f t="array" ref="B964">IF(A964="","",_xlfn.CHOOSECOLS('Prematch Backend 2A'!964:964,_xlfn.MAKEARRAY(1,A964-2,_xlfn.LAMBDA(_xlpm.r,_xlpm.c,_xlpm.c))))</f>
        <v/>
      </c>
    </row>
    <row r="965" spans="2:2" x14ac:dyDescent="0.2">
      <c r="B965" t="str" cm="1">
        <f t="array" ref="B965">IF(A965="","",_xlfn.CHOOSECOLS('Prematch Backend 2A'!965:965,_xlfn.MAKEARRAY(1,A965-2,_xlfn.LAMBDA(_xlpm.r,_xlpm.c,_xlpm.c))))</f>
        <v/>
      </c>
    </row>
    <row r="966" spans="2:2" x14ac:dyDescent="0.2">
      <c r="B966" t="str" cm="1">
        <f t="array" ref="B966">IF(A966="","",_xlfn.CHOOSECOLS('Prematch Backend 2A'!966:966,_xlfn.MAKEARRAY(1,A966-2,_xlfn.LAMBDA(_xlpm.r,_xlpm.c,_xlpm.c))))</f>
        <v/>
      </c>
    </row>
    <row r="967" spans="2:2" x14ac:dyDescent="0.2">
      <c r="B967" t="str" cm="1">
        <f t="array" ref="B967">IF(A967="","",_xlfn.CHOOSECOLS('Prematch Backend 2A'!967:967,_xlfn.MAKEARRAY(1,A967-2,_xlfn.LAMBDA(_xlpm.r,_xlpm.c,_xlpm.c))))</f>
        <v/>
      </c>
    </row>
    <row r="968" spans="2:2" x14ac:dyDescent="0.2">
      <c r="B968" t="str" cm="1">
        <f t="array" ref="B968">IF(A968="","",_xlfn.CHOOSECOLS('Prematch Backend 2A'!968:968,_xlfn.MAKEARRAY(1,A968-2,_xlfn.LAMBDA(_xlpm.r,_xlpm.c,_xlpm.c))))</f>
        <v/>
      </c>
    </row>
    <row r="969" spans="2:2" x14ac:dyDescent="0.2">
      <c r="B969" t="str" cm="1">
        <f t="array" ref="B969">IF(A969="","",_xlfn.CHOOSECOLS('Prematch Backend 2A'!969:969,_xlfn.MAKEARRAY(1,A969-2,_xlfn.LAMBDA(_xlpm.r,_xlpm.c,_xlpm.c))))</f>
        <v/>
      </c>
    </row>
    <row r="970" spans="2:2" x14ac:dyDescent="0.2">
      <c r="B970" t="str" cm="1">
        <f t="array" ref="B970">IF(A970="","",_xlfn.CHOOSECOLS('Prematch Backend 2A'!970:970,_xlfn.MAKEARRAY(1,A970-2,_xlfn.LAMBDA(_xlpm.r,_xlpm.c,_xlpm.c))))</f>
        <v/>
      </c>
    </row>
    <row r="971" spans="2:2" x14ac:dyDescent="0.2">
      <c r="B971" t="str" cm="1">
        <f t="array" ref="B971">IF(A971="","",_xlfn.CHOOSECOLS('Prematch Backend 2A'!971:971,_xlfn.MAKEARRAY(1,A971-2,_xlfn.LAMBDA(_xlpm.r,_xlpm.c,_xlpm.c))))</f>
        <v/>
      </c>
    </row>
    <row r="972" spans="2:2" x14ac:dyDescent="0.2">
      <c r="B972" t="str" cm="1">
        <f t="array" ref="B972">IF(A972="","",_xlfn.CHOOSECOLS('Prematch Backend 2A'!972:972,_xlfn.MAKEARRAY(1,A972-2,_xlfn.LAMBDA(_xlpm.r,_xlpm.c,_xlpm.c))))</f>
        <v/>
      </c>
    </row>
    <row r="973" spans="2:2" x14ac:dyDescent="0.2">
      <c r="B973" t="str" cm="1">
        <f t="array" ref="B973">IF(A973="","",_xlfn.CHOOSECOLS('Prematch Backend 2A'!973:973,_xlfn.MAKEARRAY(1,A973-2,_xlfn.LAMBDA(_xlpm.r,_xlpm.c,_xlpm.c))))</f>
        <v/>
      </c>
    </row>
    <row r="974" spans="2:2" x14ac:dyDescent="0.2">
      <c r="B974" t="str" cm="1">
        <f t="array" ref="B974">IF(A974="","",_xlfn.CHOOSECOLS('Prematch Backend 2A'!974:974,_xlfn.MAKEARRAY(1,A974-2,_xlfn.LAMBDA(_xlpm.r,_xlpm.c,_xlpm.c))))</f>
        <v/>
      </c>
    </row>
    <row r="975" spans="2:2" x14ac:dyDescent="0.2">
      <c r="B975" t="str" cm="1">
        <f t="array" ref="B975">IF(A975="","",_xlfn.CHOOSECOLS('Prematch Backend 2A'!975:975,_xlfn.MAKEARRAY(1,A975-2,_xlfn.LAMBDA(_xlpm.r,_xlpm.c,_xlpm.c))))</f>
        <v/>
      </c>
    </row>
    <row r="976" spans="2:2" x14ac:dyDescent="0.2">
      <c r="B976" t="str" cm="1">
        <f t="array" ref="B976">IF(A976="","",_xlfn.CHOOSECOLS('Prematch Backend 2A'!976:976,_xlfn.MAKEARRAY(1,A976-2,_xlfn.LAMBDA(_xlpm.r,_xlpm.c,_xlpm.c))))</f>
        <v/>
      </c>
    </row>
    <row r="977" spans="2:2" x14ac:dyDescent="0.2">
      <c r="B977" t="str" cm="1">
        <f t="array" ref="B977">IF(A977="","",_xlfn.CHOOSECOLS('Prematch Backend 2A'!977:977,_xlfn.MAKEARRAY(1,A977-2,_xlfn.LAMBDA(_xlpm.r,_xlpm.c,_xlpm.c))))</f>
        <v/>
      </c>
    </row>
    <row r="978" spans="2:2" x14ac:dyDescent="0.2">
      <c r="B978" t="str" cm="1">
        <f t="array" ref="B978">IF(A978="","",_xlfn.CHOOSECOLS('Prematch Backend 2A'!978:978,_xlfn.MAKEARRAY(1,A978-2,_xlfn.LAMBDA(_xlpm.r,_xlpm.c,_xlpm.c))))</f>
        <v/>
      </c>
    </row>
    <row r="979" spans="2:2" x14ac:dyDescent="0.2">
      <c r="B979" t="str" cm="1">
        <f t="array" ref="B979">IF(A979="","",_xlfn.CHOOSECOLS('Prematch Backend 2A'!979:979,_xlfn.MAKEARRAY(1,A979-2,_xlfn.LAMBDA(_xlpm.r,_xlpm.c,_xlpm.c))))</f>
        <v/>
      </c>
    </row>
    <row r="980" spans="2:2" x14ac:dyDescent="0.2">
      <c r="B980" t="str" cm="1">
        <f t="array" ref="B980">IF(A980="","",_xlfn.CHOOSECOLS('Prematch Backend 2A'!980:980,_xlfn.MAKEARRAY(1,A980-2,_xlfn.LAMBDA(_xlpm.r,_xlpm.c,_xlpm.c))))</f>
        <v/>
      </c>
    </row>
    <row r="981" spans="2:2" x14ac:dyDescent="0.2">
      <c r="B981" t="str" cm="1">
        <f t="array" ref="B981">IF(A981="","",_xlfn.CHOOSECOLS('Prematch Backend 2A'!981:981,_xlfn.MAKEARRAY(1,A981-2,_xlfn.LAMBDA(_xlpm.r,_xlpm.c,_xlpm.c))))</f>
        <v/>
      </c>
    </row>
    <row r="982" spans="2:2" x14ac:dyDescent="0.2">
      <c r="B982" t="str" cm="1">
        <f t="array" ref="B982">IF(A982="","",_xlfn.CHOOSECOLS('Prematch Backend 2A'!982:982,_xlfn.MAKEARRAY(1,A982-2,_xlfn.LAMBDA(_xlpm.r,_xlpm.c,_xlpm.c))))</f>
        <v/>
      </c>
    </row>
    <row r="983" spans="2:2" x14ac:dyDescent="0.2">
      <c r="B983" t="str" cm="1">
        <f t="array" ref="B983">IF(A983="","",_xlfn.CHOOSECOLS('Prematch Backend 2A'!983:983,_xlfn.MAKEARRAY(1,A983-2,_xlfn.LAMBDA(_xlpm.r,_xlpm.c,_xlpm.c))))</f>
        <v/>
      </c>
    </row>
    <row r="984" spans="2:2" x14ac:dyDescent="0.2">
      <c r="B984" t="str" cm="1">
        <f t="array" ref="B984">IF(A984="","",_xlfn.CHOOSECOLS('Prematch Backend 2A'!984:984,_xlfn.MAKEARRAY(1,A984-2,_xlfn.LAMBDA(_xlpm.r,_xlpm.c,_xlpm.c))))</f>
        <v/>
      </c>
    </row>
    <row r="985" spans="2:2" x14ac:dyDescent="0.2">
      <c r="B985" t="str" cm="1">
        <f t="array" ref="B985">IF(A985="","",_xlfn.CHOOSECOLS('Prematch Backend 2A'!985:985,_xlfn.MAKEARRAY(1,A985-2,_xlfn.LAMBDA(_xlpm.r,_xlpm.c,_xlpm.c))))</f>
        <v/>
      </c>
    </row>
    <row r="986" spans="2:2" x14ac:dyDescent="0.2">
      <c r="B986" t="str" cm="1">
        <f t="array" ref="B986">IF(A986="","",_xlfn.CHOOSECOLS('Prematch Backend 2A'!986:986,_xlfn.MAKEARRAY(1,A986-2,_xlfn.LAMBDA(_xlpm.r,_xlpm.c,_xlpm.c))))</f>
        <v/>
      </c>
    </row>
    <row r="987" spans="2:2" x14ac:dyDescent="0.2">
      <c r="B987" t="str" cm="1">
        <f t="array" ref="B987">IF(A987="","",_xlfn.CHOOSECOLS('Prematch Backend 2A'!987:987,_xlfn.MAKEARRAY(1,A987-2,_xlfn.LAMBDA(_xlpm.r,_xlpm.c,_xlpm.c))))</f>
        <v/>
      </c>
    </row>
    <row r="988" spans="2:2" x14ac:dyDescent="0.2">
      <c r="B988" t="str" cm="1">
        <f t="array" ref="B988">IF(A988="","",_xlfn.CHOOSECOLS('Prematch Backend 2A'!988:988,_xlfn.MAKEARRAY(1,A988-2,_xlfn.LAMBDA(_xlpm.r,_xlpm.c,_xlpm.c))))</f>
        <v/>
      </c>
    </row>
    <row r="989" spans="2:2" x14ac:dyDescent="0.2">
      <c r="B989" t="str" cm="1">
        <f t="array" ref="B989">IF(A989="","",_xlfn.CHOOSECOLS('Prematch Backend 2A'!989:989,_xlfn.MAKEARRAY(1,A989-2,_xlfn.LAMBDA(_xlpm.r,_xlpm.c,_xlpm.c))))</f>
        <v/>
      </c>
    </row>
    <row r="990" spans="2:2" x14ac:dyDescent="0.2">
      <c r="B990" t="str" cm="1">
        <f t="array" ref="B990">IF(A990="","",_xlfn.CHOOSECOLS('Prematch Backend 2A'!990:990,_xlfn.MAKEARRAY(1,A990-2,_xlfn.LAMBDA(_xlpm.r,_xlpm.c,_xlpm.c))))</f>
        <v/>
      </c>
    </row>
    <row r="991" spans="2:2" x14ac:dyDescent="0.2">
      <c r="B991" t="str" cm="1">
        <f t="array" ref="B991">IF(A991="","",_xlfn.CHOOSECOLS('Prematch Backend 2A'!991:991,_xlfn.MAKEARRAY(1,A991-2,_xlfn.LAMBDA(_xlpm.r,_xlpm.c,_xlpm.c))))</f>
        <v/>
      </c>
    </row>
    <row r="992" spans="2:2" x14ac:dyDescent="0.2">
      <c r="B992" t="str" cm="1">
        <f t="array" ref="B992">IF(A992="","",_xlfn.CHOOSECOLS('Prematch Backend 2A'!992:992,_xlfn.MAKEARRAY(1,A992-2,_xlfn.LAMBDA(_xlpm.r,_xlpm.c,_xlpm.c))))</f>
        <v/>
      </c>
    </row>
    <row r="993" spans="2:2" x14ac:dyDescent="0.2">
      <c r="B993" t="str" cm="1">
        <f t="array" ref="B993">IF(A993="","",_xlfn.CHOOSECOLS('Prematch Backend 2A'!993:993,_xlfn.MAKEARRAY(1,A993-2,_xlfn.LAMBDA(_xlpm.r,_xlpm.c,_xlpm.c))))</f>
        <v/>
      </c>
    </row>
    <row r="994" spans="2:2" x14ac:dyDescent="0.2">
      <c r="B994" t="str" cm="1">
        <f t="array" ref="B994">IF(A994="","",_xlfn.CHOOSECOLS('Prematch Backend 2A'!994:994,_xlfn.MAKEARRAY(1,A994-2,_xlfn.LAMBDA(_xlpm.r,_xlpm.c,_xlpm.c))))</f>
        <v/>
      </c>
    </row>
    <row r="995" spans="2:2" x14ac:dyDescent="0.2">
      <c r="B995" t="str" cm="1">
        <f t="array" ref="B995">IF(A995="","",_xlfn.CHOOSECOLS('Prematch Backend 2A'!995:995,_xlfn.MAKEARRAY(1,A995-2,_xlfn.LAMBDA(_xlpm.r,_xlpm.c,_xlpm.c))))</f>
        <v/>
      </c>
    </row>
    <row r="996" spans="2:2" x14ac:dyDescent="0.2">
      <c r="B996" t="str" cm="1">
        <f t="array" ref="B996">IF(A996="","",_xlfn.CHOOSECOLS('Prematch Backend 2A'!996:996,_xlfn.MAKEARRAY(1,A996-2,_xlfn.LAMBDA(_xlpm.r,_xlpm.c,_xlpm.c))))</f>
        <v/>
      </c>
    </row>
    <row r="997" spans="2:2" x14ac:dyDescent="0.2">
      <c r="B997" t="str" cm="1">
        <f t="array" ref="B997">IF(A997="","",_xlfn.CHOOSECOLS('Prematch Backend 2A'!997:997,_xlfn.MAKEARRAY(1,A997-2,_xlfn.LAMBDA(_xlpm.r,_xlpm.c,_xlpm.c))))</f>
        <v/>
      </c>
    </row>
    <row r="998" spans="2:2" x14ac:dyDescent="0.2">
      <c r="B998" t="str" cm="1">
        <f t="array" ref="B998">IF(A998="","",_xlfn.CHOOSECOLS('Prematch Backend 2A'!998:998,_xlfn.MAKEARRAY(1,A998-2,_xlfn.LAMBDA(_xlpm.r,_xlpm.c,_xlpm.c))))</f>
        <v/>
      </c>
    </row>
    <row r="999" spans="2:2" x14ac:dyDescent="0.2">
      <c r="B999" t="str" cm="1">
        <f t="array" ref="B999">IF(A999="","",_xlfn.CHOOSECOLS('Prematch Backend 2A'!999:999,_xlfn.MAKEARRAY(1,A999-2,_xlfn.LAMBDA(_xlpm.r,_xlpm.c,_xlpm.c))))</f>
        <v/>
      </c>
    </row>
    <row r="1000" spans="2:2" x14ac:dyDescent="0.2">
      <c r="B1000" t="str" cm="1">
        <f t="array" ref="B1000">IF(A1000="","",_xlfn.CHOOSECOLS('Prematch Backend 2A'!1000:1000,_xlfn.MAKEARRAY(1,A1000-2,_xlfn.LAMBDA(_xlpm.r,_xlpm.c,_xlpm.c))))</f>
        <v/>
      </c>
    </row>
    <row r="1001" spans="2:2" x14ac:dyDescent="0.2">
      <c r="B1001" t="str" cm="1">
        <f t="array" ref="B1001">IF(A1001="","",_xlfn.CHOOSECOLS('Prematch Backend 2A'!1001:1001,_xlfn.MAKEARRAY(1,A1001-2,_xlfn.LAMBDA(_xlpm.r,_xlpm.c,_xlpm.c))))</f>
        <v/>
      </c>
    </row>
    <row r="1002" spans="2:2" x14ac:dyDescent="0.2">
      <c r="B1002" t="str" cm="1">
        <f t="array" ref="B1002">IF(A1002="","",_xlfn.CHOOSECOLS('Prematch Backend 2A'!1002:1002,_xlfn.MAKEARRAY(1,A1002-2,_xlfn.LAMBDA(_xlpm.r,_xlpm.c,_xlpm.c))))</f>
        <v/>
      </c>
    </row>
    <row r="1003" spans="2:2" x14ac:dyDescent="0.2">
      <c r="B1003" t="str" cm="1">
        <f t="array" ref="B1003">IF(A1003="","",_xlfn.CHOOSECOLS('Prematch Backend 2A'!1003:1003,_xlfn.MAKEARRAY(1,A1003-2,_xlfn.LAMBDA(_xlpm.r,_xlpm.c,_xlpm.c))))</f>
        <v/>
      </c>
    </row>
    <row r="1004" spans="2:2" x14ac:dyDescent="0.2">
      <c r="B1004" t="str" cm="1">
        <f t="array" ref="B1004">IF(A1004="","",_xlfn.CHOOSECOLS('Prematch Backend 2A'!1004:1004,_xlfn.MAKEARRAY(1,A1004-2,_xlfn.LAMBDA(_xlpm.r,_xlpm.c,_xlpm.c))))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F2C71-5A69-4D91-8E78-1C4A1FB528F3}">
  <sheetPr codeName="Sheet13"/>
  <dimension ref="B1:H336"/>
  <sheetViews>
    <sheetView topLeftCell="B1" zoomScale="99" workbookViewId="0">
      <selection activeCell="F2" sqref="F2"/>
    </sheetView>
  </sheetViews>
  <sheetFormatPr baseColWidth="10" defaultColWidth="8.83203125" defaultRowHeight="15" x14ac:dyDescent="0.2"/>
  <cols>
    <col min="1" max="1" width="0" hidden="1" customWidth="1"/>
    <col min="7" max="8" width="11" customWidth="1"/>
  </cols>
  <sheetData>
    <row r="1" spans="2:7" x14ac:dyDescent="0.2">
      <c r="B1" t="s">
        <v>167</v>
      </c>
      <c r="D1" t="s">
        <v>168</v>
      </c>
    </row>
    <row r="2" spans="2:7" x14ac:dyDescent="0.2">
      <c r="B2">
        <f>'Prematch Backend 3A'!A2</f>
        <v>1000</v>
      </c>
      <c r="D2">
        <v>1</v>
      </c>
    </row>
    <row r="3" spans="2:7" x14ac:dyDescent="0.2">
      <c r="C3" t="s">
        <v>173</v>
      </c>
      <c r="D3" t="s">
        <v>174</v>
      </c>
      <c r="F3" t="s">
        <v>173</v>
      </c>
      <c r="G3" t="s">
        <v>174</v>
      </c>
    </row>
    <row r="5" spans="2:7" x14ac:dyDescent="0.2">
      <c r="C5" t="e" cm="1">
        <f t="array" ref="C5">_xlfn.TOCOL(_xlfn.CHOOSECOLS('Prematch Backend 3B'!5:5, _xlfn.MAKEARRAY(('Prematch Backend 3B'!E2)/4,1,_xlfn.LAMBDA(_xlpm.r,_xlpm.c,_xlpm.r*4-1))))</f>
        <v>#VALUE!</v>
      </c>
      <c r="D5" t="e" cm="1">
        <f t="array" ref="D5">ABS(_xlfn.TOCOL(_xlfn.CHOOSECOLS('Prematch Backend 3B'!5:5, _xlfn.MAKEARRAY(('Prematch Backend 3B'!E2)/4,1,_xlfn.LAMBDA(_xlpm.r,_xlpm.c,_xlpm.r*4-3)))))</f>
        <v>#VALUE!</v>
      </c>
      <c r="F5" t="e" cm="1" vm="2">
        <f t="array" ref="F5">_xlfn.TOCOL(IF(_xlfn.BYROW(G5:G1000,_xlfn.LAMBDA(_xlpm.r,MAX(getData(C5:C1000,D5:D1000,D5:D1000,_xlpm.r))))=0,"",_xlfn.BYROW(G5:G1000,_xlfn.LAMBDA(_xlpm.r,MAX(getData(C5:C1000,D5:D1000,D5:D1000,_xlpm.r))))),3)</f>
        <v>#VALUE!</v>
      </c>
      <c r="G5" t="e" cm="1">
        <f t="array" ref="G5">_xlfn.TOCOL(_xlfn._xlws.SORT(_xlfn.UNIQUE(D5:D1000)),1)</f>
        <v>#VALUE!</v>
      </c>
    </row>
    <row r="17" spans="8:8" x14ac:dyDescent="0.2">
      <c r="H17" t="str">
        <f t="shared" ref="H17:H80" si="0">IF(C16=0,"",C16)</f>
        <v/>
      </c>
    </row>
    <row r="18" spans="8:8" x14ac:dyDescent="0.2">
      <c r="H18" t="str">
        <f t="shared" si="0"/>
        <v/>
      </c>
    </row>
    <row r="19" spans="8:8" x14ac:dyDescent="0.2">
      <c r="H19" t="str">
        <f t="shared" si="0"/>
        <v/>
      </c>
    </row>
    <row r="20" spans="8:8" x14ac:dyDescent="0.2">
      <c r="H20" t="str">
        <f t="shared" si="0"/>
        <v/>
      </c>
    </row>
    <row r="21" spans="8:8" x14ac:dyDescent="0.2">
      <c r="H21" t="str">
        <f t="shared" si="0"/>
        <v/>
      </c>
    </row>
    <row r="22" spans="8:8" x14ac:dyDescent="0.2">
      <c r="H22" t="str">
        <f t="shared" si="0"/>
        <v/>
      </c>
    </row>
    <row r="23" spans="8:8" x14ac:dyDescent="0.2">
      <c r="H23" t="str">
        <f t="shared" si="0"/>
        <v/>
      </c>
    </row>
    <row r="24" spans="8:8" x14ac:dyDescent="0.2">
      <c r="H24" t="str">
        <f t="shared" si="0"/>
        <v/>
      </c>
    </row>
    <row r="25" spans="8:8" x14ac:dyDescent="0.2">
      <c r="H25" t="str">
        <f t="shared" si="0"/>
        <v/>
      </c>
    </row>
    <row r="26" spans="8:8" x14ac:dyDescent="0.2">
      <c r="H26" t="str">
        <f t="shared" si="0"/>
        <v/>
      </c>
    </row>
    <row r="27" spans="8:8" x14ac:dyDescent="0.2">
      <c r="H27" t="str">
        <f t="shared" si="0"/>
        <v/>
      </c>
    </row>
    <row r="28" spans="8:8" x14ac:dyDescent="0.2">
      <c r="H28" t="str">
        <f t="shared" si="0"/>
        <v/>
      </c>
    </row>
    <row r="29" spans="8:8" x14ac:dyDescent="0.2">
      <c r="H29" t="str">
        <f t="shared" si="0"/>
        <v/>
      </c>
    </row>
    <row r="30" spans="8:8" x14ac:dyDescent="0.2">
      <c r="H30" t="str">
        <f t="shared" si="0"/>
        <v/>
      </c>
    </row>
    <row r="31" spans="8:8" x14ac:dyDescent="0.2">
      <c r="H31" t="str">
        <f t="shared" si="0"/>
        <v/>
      </c>
    </row>
    <row r="32" spans="8:8" x14ac:dyDescent="0.2">
      <c r="H32" t="str">
        <f t="shared" si="0"/>
        <v/>
      </c>
    </row>
    <row r="33" spans="8:8" x14ac:dyDescent="0.2">
      <c r="H33" t="str">
        <f t="shared" si="0"/>
        <v/>
      </c>
    </row>
    <row r="34" spans="8:8" x14ac:dyDescent="0.2">
      <c r="H34" t="str">
        <f t="shared" si="0"/>
        <v/>
      </c>
    </row>
    <row r="35" spans="8:8" x14ac:dyDescent="0.2">
      <c r="H35" t="str">
        <f t="shared" si="0"/>
        <v/>
      </c>
    </row>
    <row r="36" spans="8:8" x14ac:dyDescent="0.2">
      <c r="H36" t="str">
        <f t="shared" si="0"/>
        <v/>
      </c>
    </row>
    <row r="37" spans="8:8" x14ac:dyDescent="0.2">
      <c r="H37" t="str">
        <f t="shared" si="0"/>
        <v/>
      </c>
    </row>
    <row r="38" spans="8:8" x14ac:dyDescent="0.2">
      <c r="H38" t="str">
        <f t="shared" si="0"/>
        <v/>
      </c>
    </row>
    <row r="39" spans="8:8" x14ac:dyDescent="0.2">
      <c r="H39" t="str">
        <f t="shared" si="0"/>
        <v/>
      </c>
    </row>
    <row r="40" spans="8:8" x14ac:dyDescent="0.2">
      <c r="H40" t="str">
        <f t="shared" si="0"/>
        <v/>
      </c>
    </row>
    <row r="41" spans="8:8" x14ac:dyDescent="0.2">
      <c r="H41" t="str">
        <f t="shared" si="0"/>
        <v/>
      </c>
    </row>
    <row r="42" spans="8:8" x14ac:dyDescent="0.2">
      <c r="H42" t="str">
        <f t="shared" si="0"/>
        <v/>
      </c>
    </row>
    <row r="43" spans="8:8" x14ac:dyDescent="0.2">
      <c r="H43" t="str">
        <f t="shared" si="0"/>
        <v/>
      </c>
    </row>
    <row r="44" spans="8:8" x14ac:dyDescent="0.2">
      <c r="H44" t="str">
        <f t="shared" si="0"/>
        <v/>
      </c>
    </row>
    <row r="45" spans="8:8" x14ac:dyDescent="0.2">
      <c r="H45" t="str">
        <f t="shared" si="0"/>
        <v/>
      </c>
    </row>
    <row r="46" spans="8:8" x14ac:dyDescent="0.2">
      <c r="H46" t="str">
        <f t="shared" si="0"/>
        <v/>
      </c>
    </row>
    <row r="47" spans="8:8" x14ac:dyDescent="0.2">
      <c r="H47" t="str">
        <f t="shared" si="0"/>
        <v/>
      </c>
    </row>
    <row r="48" spans="8:8" x14ac:dyDescent="0.2">
      <c r="H48" t="str">
        <f t="shared" si="0"/>
        <v/>
      </c>
    </row>
    <row r="49" spans="8:8" x14ac:dyDescent="0.2">
      <c r="H49" t="str">
        <f t="shared" si="0"/>
        <v/>
      </c>
    </row>
    <row r="50" spans="8:8" x14ac:dyDescent="0.2">
      <c r="H50" t="str">
        <f t="shared" si="0"/>
        <v/>
      </c>
    </row>
    <row r="51" spans="8:8" x14ac:dyDescent="0.2">
      <c r="H51" t="str">
        <f t="shared" si="0"/>
        <v/>
      </c>
    </row>
    <row r="52" spans="8:8" x14ac:dyDescent="0.2">
      <c r="H52" t="str">
        <f t="shared" si="0"/>
        <v/>
      </c>
    </row>
    <row r="53" spans="8:8" x14ac:dyDescent="0.2">
      <c r="H53" t="str">
        <f t="shared" si="0"/>
        <v/>
      </c>
    </row>
    <row r="54" spans="8:8" x14ac:dyDescent="0.2">
      <c r="H54" t="str">
        <f t="shared" si="0"/>
        <v/>
      </c>
    </row>
    <row r="55" spans="8:8" x14ac:dyDescent="0.2">
      <c r="H55" t="str">
        <f t="shared" si="0"/>
        <v/>
      </c>
    </row>
    <row r="56" spans="8:8" x14ac:dyDescent="0.2">
      <c r="H56" t="str">
        <f t="shared" si="0"/>
        <v/>
      </c>
    </row>
    <row r="57" spans="8:8" x14ac:dyDescent="0.2">
      <c r="H57" t="str">
        <f t="shared" si="0"/>
        <v/>
      </c>
    </row>
    <row r="58" spans="8:8" x14ac:dyDescent="0.2">
      <c r="H58" t="str">
        <f t="shared" si="0"/>
        <v/>
      </c>
    </row>
    <row r="59" spans="8:8" x14ac:dyDescent="0.2">
      <c r="H59" t="str">
        <f t="shared" si="0"/>
        <v/>
      </c>
    </row>
    <row r="60" spans="8:8" x14ac:dyDescent="0.2">
      <c r="H60" t="str">
        <f t="shared" si="0"/>
        <v/>
      </c>
    </row>
    <row r="61" spans="8:8" x14ac:dyDescent="0.2">
      <c r="H61" t="str">
        <f t="shared" si="0"/>
        <v/>
      </c>
    </row>
    <row r="62" spans="8:8" x14ac:dyDescent="0.2">
      <c r="H62" t="str">
        <f t="shared" si="0"/>
        <v/>
      </c>
    </row>
    <row r="63" spans="8:8" x14ac:dyDescent="0.2">
      <c r="H63" t="str">
        <f t="shared" si="0"/>
        <v/>
      </c>
    </row>
    <row r="64" spans="8:8" x14ac:dyDescent="0.2">
      <c r="H64" t="str">
        <f t="shared" si="0"/>
        <v/>
      </c>
    </row>
    <row r="65" spans="8:8" x14ac:dyDescent="0.2">
      <c r="H65" t="str">
        <f t="shared" si="0"/>
        <v/>
      </c>
    </row>
    <row r="66" spans="8:8" x14ac:dyDescent="0.2">
      <c r="H66" t="str">
        <f t="shared" si="0"/>
        <v/>
      </c>
    </row>
    <row r="67" spans="8:8" x14ac:dyDescent="0.2">
      <c r="H67" t="str">
        <f t="shared" si="0"/>
        <v/>
      </c>
    </row>
    <row r="68" spans="8:8" x14ac:dyDescent="0.2">
      <c r="H68" t="str">
        <f t="shared" si="0"/>
        <v/>
      </c>
    </row>
    <row r="69" spans="8:8" x14ac:dyDescent="0.2">
      <c r="H69" t="str">
        <f t="shared" si="0"/>
        <v/>
      </c>
    </row>
    <row r="70" spans="8:8" x14ac:dyDescent="0.2">
      <c r="H70" t="str">
        <f t="shared" si="0"/>
        <v/>
      </c>
    </row>
    <row r="71" spans="8:8" x14ac:dyDescent="0.2">
      <c r="H71" t="str">
        <f t="shared" si="0"/>
        <v/>
      </c>
    </row>
    <row r="72" spans="8:8" x14ac:dyDescent="0.2">
      <c r="H72" t="str">
        <f t="shared" si="0"/>
        <v/>
      </c>
    </row>
    <row r="73" spans="8:8" x14ac:dyDescent="0.2">
      <c r="H73" t="str">
        <f t="shared" si="0"/>
        <v/>
      </c>
    </row>
    <row r="74" spans="8:8" x14ac:dyDescent="0.2">
      <c r="H74" t="str">
        <f t="shared" si="0"/>
        <v/>
      </c>
    </row>
    <row r="75" spans="8:8" x14ac:dyDescent="0.2">
      <c r="H75" t="str">
        <f t="shared" si="0"/>
        <v/>
      </c>
    </row>
    <row r="76" spans="8:8" x14ac:dyDescent="0.2">
      <c r="H76" t="str">
        <f t="shared" si="0"/>
        <v/>
      </c>
    </row>
    <row r="77" spans="8:8" x14ac:dyDescent="0.2">
      <c r="H77" t="str">
        <f t="shared" si="0"/>
        <v/>
      </c>
    </row>
    <row r="78" spans="8:8" x14ac:dyDescent="0.2">
      <c r="H78" t="str">
        <f t="shared" si="0"/>
        <v/>
      </c>
    </row>
    <row r="79" spans="8:8" x14ac:dyDescent="0.2">
      <c r="H79" t="str">
        <f t="shared" si="0"/>
        <v/>
      </c>
    </row>
    <row r="80" spans="8:8" x14ac:dyDescent="0.2">
      <c r="H80" t="str">
        <f t="shared" si="0"/>
        <v/>
      </c>
    </row>
    <row r="81" spans="8:8" x14ac:dyDescent="0.2">
      <c r="H81" t="str">
        <f t="shared" ref="H81:H144" si="1">IF(C80=0,"",C80)</f>
        <v/>
      </c>
    </row>
    <row r="82" spans="8:8" x14ac:dyDescent="0.2">
      <c r="H82" t="str">
        <f t="shared" si="1"/>
        <v/>
      </c>
    </row>
    <row r="83" spans="8:8" x14ac:dyDescent="0.2">
      <c r="H83" t="str">
        <f t="shared" si="1"/>
        <v/>
      </c>
    </row>
    <row r="84" spans="8:8" x14ac:dyDescent="0.2">
      <c r="H84" t="str">
        <f t="shared" si="1"/>
        <v/>
      </c>
    </row>
    <row r="85" spans="8:8" x14ac:dyDescent="0.2">
      <c r="H85" t="str">
        <f t="shared" si="1"/>
        <v/>
      </c>
    </row>
    <row r="86" spans="8:8" x14ac:dyDescent="0.2">
      <c r="H86" t="str">
        <f t="shared" si="1"/>
        <v/>
      </c>
    </row>
    <row r="87" spans="8:8" x14ac:dyDescent="0.2">
      <c r="H87" t="str">
        <f t="shared" si="1"/>
        <v/>
      </c>
    </row>
    <row r="88" spans="8:8" x14ac:dyDescent="0.2">
      <c r="H88" t="str">
        <f t="shared" si="1"/>
        <v/>
      </c>
    </row>
    <row r="89" spans="8:8" x14ac:dyDescent="0.2">
      <c r="H89" t="str">
        <f t="shared" si="1"/>
        <v/>
      </c>
    </row>
    <row r="90" spans="8:8" x14ac:dyDescent="0.2">
      <c r="H90" t="str">
        <f t="shared" si="1"/>
        <v/>
      </c>
    </row>
    <row r="91" spans="8:8" x14ac:dyDescent="0.2">
      <c r="H91" t="str">
        <f t="shared" si="1"/>
        <v/>
      </c>
    </row>
    <row r="92" spans="8:8" x14ac:dyDescent="0.2">
      <c r="H92" t="str">
        <f t="shared" si="1"/>
        <v/>
      </c>
    </row>
    <row r="93" spans="8:8" x14ac:dyDescent="0.2">
      <c r="H93" t="str">
        <f t="shared" si="1"/>
        <v/>
      </c>
    </row>
    <row r="94" spans="8:8" x14ac:dyDescent="0.2">
      <c r="H94" t="str">
        <f t="shared" si="1"/>
        <v/>
      </c>
    </row>
    <row r="95" spans="8:8" x14ac:dyDescent="0.2">
      <c r="H95" t="str">
        <f t="shared" si="1"/>
        <v/>
      </c>
    </row>
    <row r="96" spans="8:8" x14ac:dyDescent="0.2">
      <c r="H96" t="str">
        <f t="shared" si="1"/>
        <v/>
      </c>
    </row>
    <row r="97" spans="8:8" x14ac:dyDescent="0.2">
      <c r="H97" t="str">
        <f t="shared" si="1"/>
        <v/>
      </c>
    </row>
    <row r="98" spans="8:8" x14ac:dyDescent="0.2">
      <c r="H98" t="str">
        <f t="shared" si="1"/>
        <v/>
      </c>
    </row>
    <row r="99" spans="8:8" x14ac:dyDescent="0.2">
      <c r="H99" t="str">
        <f t="shared" si="1"/>
        <v/>
      </c>
    </row>
    <row r="100" spans="8:8" x14ac:dyDescent="0.2">
      <c r="H100" t="str">
        <f t="shared" si="1"/>
        <v/>
      </c>
    </row>
    <row r="101" spans="8:8" x14ac:dyDescent="0.2">
      <c r="H101" t="str">
        <f t="shared" si="1"/>
        <v/>
      </c>
    </row>
    <row r="102" spans="8:8" x14ac:dyDescent="0.2">
      <c r="H102" t="str">
        <f t="shared" si="1"/>
        <v/>
      </c>
    </row>
    <row r="103" spans="8:8" x14ac:dyDescent="0.2">
      <c r="H103" t="str">
        <f t="shared" si="1"/>
        <v/>
      </c>
    </row>
    <row r="104" spans="8:8" x14ac:dyDescent="0.2">
      <c r="H104" t="str">
        <f t="shared" si="1"/>
        <v/>
      </c>
    </row>
    <row r="105" spans="8:8" x14ac:dyDescent="0.2">
      <c r="H105" t="str">
        <f t="shared" si="1"/>
        <v/>
      </c>
    </row>
    <row r="106" spans="8:8" x14ac:dyDescent="0.2">
      <c r="H106" t="str">
        <f t="shared" si="1"/>
        <v/>
      </c>
    </row>
    <row r="107" spans="8:8" x14ac:dyDescent="0.2">
      <c r="H107" t="str">
        <f t="shared" si="1"/>
        <v/>
      </c>
    </row>
    <row r="108" spans="8:8" x14ac:dyDescent="0.2">
      <c r="H108" t="str">
        <f t="shared" si="1"/>
        <v/>
      </c>
    </row>
    <row r="109" spans="8:8" x14ac:dyDescent="0.2">
      <c r="H109" t="str">
        <f t="shared" si="1"/>
        <v/>
      </c>
    </row>
    <row r="110" spans="8:8" x14ac:dyDescent="0.2">
      <c r="H110" t="str">
        <f t="shared" si="1"/>
        <v/>
      </c>
    </row>
    <row r="111" spans="8:8" x14ac:dyDescent="0.2">
      <c r="H111" t="str">
        <f t="shared" si="1"/>
        <v/>
      </c>
    </row>
    <row r="112" spans="8:8" x14ac:dyDescent="0.2">
      <c r="H112" t="str">
        <f t="shared" si="1"/>
        <v/>
      </c>
    </row>
    <row r="113" spans="8:8" x14ac:dyDescent="0.2">
      <c r="H113" t="str">
        <f t="shared" si="1"/>
        <v/>
      </c>
    </row>
    <row r="114" spans="8:8" x14ac:dyDescent="0.2">
      <c r="H114" t="str">
        <f t="shared" si="1"/>
        <v/>
      </c>
    </row>
    <row r="115" spans="8:8" x14ac:dyDescent="0.2">
      <c r="H115" t="str">
        <f t="shared" si="1"/>
        <v/>
      </c>
    </row>
    <row r="116" spans="8:8" x14ac:dyDescent="0.2">
      <c r="H116" t="str">
        <f t="shared" si="1"/>
        <v/>
      </c>
    </row>
    <row r="117" spans="8:8" x14ac:dyDescent="0.2">
      <c r="H117" t="str">
        <f t="shared" si="1"/>
        <v/>
      </c>
    </row>
    <row r="118" spans="8:8" x14ac:dyDescent="0.2">
      <c r="H118" t="str">
        <f t="shared" si="1"/>
        <v/>
      </c>
    </row>
    <row r="119" spans="8:8" x14ac:dyDescent="0.2">
      <c r="H119" t="str">
        <f t="shared" si="1"/>
        <v/>
      </c>
    </row>
    <row r="120" spans="8:8" x14ac:dyDescent="0.2">
      <c r="H120" t="str">
        <f t="shared" si="1"/>
        <v/>
      </c>
    </row>
    <row r="121" spans="8:8" x14ac:dyDescent="0.2">
      <c r="H121" t="str">
        <f t="shared" si="1"/>
        <v/>
      </c>
    </row>
    <row r="122" spans="8:8" x14ac:dyDescent="0.2">
      <c r="H122" t="str">
        <f t="shared" si="1"/>
        <v/>
      </c>
    </row>
    <row r="123" spans="8:8" x14ac:dyDescent="0.2">
      <c r="H123" t="str">
        <f t="shared" si="1"/>
        <v/>
      </c>
    </row>
    <row r="124" spans="8:8" x14ac:dyDescent="0.2">
      <c r="H124" t="str">
        <f t="shared" si="1"/>
        <v/>
      </c>
    </row>
    <row r="125" spans="8:8" x14ac:dyDescent="0.2">
      <c r="H125" t="str">
        <f t="shared" si="1"/>
        <v/>
      </c>
    </row>
    <row r="126" spans="8:8" x14ac:dyDescent="0.2">
      <c r="H126" t="str">
        <f t="shared" si="1"/>
        <v/>
      </c>
    </row>
    <row r="127" spans="8:8" x14ac:dyDescent="0.2">
      <c r="H127" t="str">
        <f t="shared" si="1"/>
        <v/>
      </c>
    </row>
    <row r="128" spans="8:8" x14ac:dyDescent="0.2">
      <c r="H128" t="str">
        <f t="shared" si="1"/>
        <v/>
      </c>
    </row>
    <row r="129" spans="8:8" x14ac:dyDescent="0.2">
      <c r="H129" t="str">
        <f t="shared" si="1"/>
        <v/>
      </c>
    </row>
    <row r="130" spans="8:8" x14ac:dyDescent="0.2">
      <c r="H130" t="str">
        <f t="shared" si="1"/>
        <v/>
      </c>
    </row>
    <row r="131" spans="8:8" x14ac:dyDescent="0.2">
      <c r="H131" t="str">
        <f t="shared" si="1"/>
        <v/>
      </c>
    </row>
    <row r="132" spans="8:8" x14ac:dyDescent="0.2">
      <c r="H132" t="str">
        <f t="shared" si="1"/>
        <v/>
      </c>
    </row>
    <row r="133" spans="8:8" x14ac:dyDescent="0.2">
      <c r="H133" t="str">
        <f t="shared" si="1"/>
        <v/>
      </c>
    </row>
    <row r="134" spans="8:8" x14ac:dyDescent="0.2">
      <c r="H134" t="str">
        <f t="shared" si="1"/>
        <v/>
      </c>
    </row>
    <row r="135" spans="8:8" x14ac:dyDescent="0.2">
      <c r="H135" t="str">
        <f t="shared" si="1"/>
        <v/>
      </c>
    </row>
    <row r="136" spans="8:8" x14ac:dyDescent="0.2">
      <c r="H136" t="str">
        <f t="shared" si="1"/>
        <v/>
      </c>
    </row>
    <row r="137" spans="8:8" x14ac:dyDescent="0.2">
      <c r="H137" t="str">
        <f t="shared" si="1"/>
        <v/>
      </c>
    </row>
    <row r="138" spans="8:8" x14ac:dyDescent="0.2">
      <c r="H138" t="str">
        <f t="shared" si="1"/>
        <v/>
      </c>
    </row>
    <row r="139" spans="8:8" x14ac:dyDescent="0.2">
      <c r="H139" t="str">
        <f t="shared" si="1"/>
        <v/>
      </c>
    </row>
    <row r="140" spans="8:8" x14ac:dyDescent="0.2">
      <c r="H140" t="str">
        <f t="shared" si="1"/>
        <v/>
      </c>
    </row>
    <row r="141" spans="8:8" x14ac:dyDescent="0.2">
      <c r="H141" t="str">
        <f t="shared" si="1"/>
        <v/>
      </c>
    </row>
    <row r="142" spans="8:8" x14ac:dyDescent="0.2">
      <c r="H142" t="str">
        <f t="shared" si="1"/>
        <v/>
      </c>
    </row>
    <row r="143" spans="8:8" x14ac:dyDescent="0.2">
      <c r="H143" t="str">
        <f t="shared" si="1"/>
        <v/>
      </c>
    </row>
    <row r="144" spans="8:8" x14ac:dyDescent="0.2">
      <c r="H144" t="str">
        <f t="shared" si="1"/>
        <v/>
      </c>
    </row>
    <row r="145" spans="8:8" x14ac:dyDescent="0.2">
      <c r="H145" t="str">
        <f t="shared" ref="H145:H208" si="2">IF(C144=0,"",C144)</f>
        <v/>
      </c>
    </row>
    <row r="146" spans="8:8" x14ac:dyDescent="0.2">
      <c r="H146" t="str">
        <f t="shared" si="2"/>
        <v/>
      </c>
    </row>
    <row r="147" spans="8:8" x14ac:dyDescent="0.2">
      <c r="H147" t="str">
        <f t="shared" si="2"/>
        <v/>
      </c>
    </row>
    <row r="148" spans="8:8" x14ac:dyDescent="0.2">
      <c r="H148" t="str">
        <f t="shared" si="2"/>
        <v/>
      </c>
    </row>
    <row r="149" spans="8:8" x14ac:dyDescent="0.2">
      <c r="H149" t="str">
        <f t="shared" si="2"/>
        <v/>
      </c>
    </row>
    <row r="150" spans="8:8" x14ac:dyDescent="0.2">
      <c r="H150" t="str">
        <f t="shared" si="2"/>
        <v/>
      </c>
    </row>
    <row r="151" spans="8:8" x14ac:dyDescent="0.2">
      <c r="H151" t="str">
        <f t="shared" si="2"/>
        <v/>
      </c>
    </row>
    <row r="152" spans="8:8" x14ac:dyDescent="0.2">
      <c r="H152" t="str">
        <f t="shared" si="2"/>
        <v/>
      </c>
    </row>
    <row r="153" spans="8:8" x14ac:dyDescent="0.2">
      <c r="H153" t="str">
        <f t="shared" si="2"/>
        <v/>
      </c>
    </row>
    <row r="154" spans="8:8" x14ac:dyDescent="0.2">
      <c r="H154" t="str">
        <f t="shared" si="2"/>
        <v/>
      </c>
    </row>
    <row r="155" spans="8:8" x14ac:dyDescent="0.2">
      <c r="H155" t="str">
        <f t="shared" si="2"/>
        <v/>
      </c>
    </row>
    <row r="156" spans="8:8" x14ac:dyDescent="0.2">
      <c r="H156" t="str">
        <f t="shared" si="2"/>
        <v/>
      </c>
    </row>
    <row r="157" spans="8:8" x14ac:dyDescent="0.2">
      <c r="H157" t="str">
        <f t="shared" si="2"/>
        <v/>
      </c>
    </row>
    <row r="158" spans="8:8" x14ac:dyDescent="0.2">
      <c r="H158" t="str">
        <f t="shared" si="2"/>
        <v/>
      </c>
    </row>
    <row r="159" spans="8:8" x14ac:dyDescent="0.2">
      <c r="H159" t="str">
        <f t="shared" si="2"/>
        <v/>
      </c>
    </row>
    <row r="160" spans="8:8" x14ac:dyDescent="0.2">
      <c r="H160" t="str">
        <f t="shared" si="2"/>
        <v/>
      </c>
    </row>
    <row r="161" spans="8:8" x14ac:dyDescent="0.2">
      <c r="H161" t="str">
        <f t="shared" si="2"/>
        <v/>
      </c>
    </row>
    <row r="162" spans="8:8" x14ac:dyDescent="0.2">
      <c r="H162" t="str">
        <f t="shared" si="2"/>
        <v/>
      </c>
    </row>
    <row r="163" spans="8:8" x14ac:dyDescent="0.2">
      <c r="H163" t="str">
        <f t="shared" si="2"/>
        <v/>
      </c>
    </row>
    <row r="164" spans="8:8" x14ac:dyDescent="0.2">
      <c r="H164" t="str">
        <f t="shared" si="2"/>
        <v/>
      </c>
    </row>
    <row r="165" spans="8:8" x14ac:dyDescent="0.2">
      <c r="H165" t="str">
        <f t="shared" si="2"/>
        <v/>
      </c>
    </row>
    <row r="166" spans="8:8" x14ac:dyDescent="0.2">
      <c r="H166" t="str">
        <f t="shared" si="2"/>
        <v/>
      </c>
    </row>
    <row r="167" spans="8:8" x14ac:dyDescent="0.2">
      <c r="H167" t="str">
        <f t="shared" si="2"/>
        <v/>
      </c>
    </row>
    <row r="168" spans="8:8" x14ac:dyDescent="0.2">
      <c r="H168" t="str">
        <f t="shared" si="2"/>
        <v/>
      </c>
    </row>
    <row r="169" spans="8:8" x14ac:dyDescent="0.2">
      <c r="H169" t="str">
        <f t="shared" si="2"/>
        <v/>
      </c>
    </row>
    <row r="170" spans="8:8" x14ac:dyDescent="0.2">
      <c r="H170" t="str">
        <f t="shared" si="2"/>
        <v/>
      </c>
    </row>
    <row r="171" spans="8:8" x14ac:dyDescent="0.2">
      <c r="H171" t="str">
        <f t="shared" si="2"/>
        <v/>
      </c>
    </row>
    <row r="172" spans="8:8" x14ac:dyDescent="0.2">
      <c r="H172" t="str">
        <f t="shared" si="2"/>
        <v/>
      </c>
    </row>
    <row r="173" spans="8:8" x14ac:dyDescent="0.2">
      <c r="H173" t="str">
        <f t="shared" si="2"/>
        <v/>
      </c>
    </row>
    <row r="174" spans="8:8" x14ac:dyDescent="0.2">
      <c r="H174" t="str">
        <f t="shared" si="2"/>
        <v/>
      </c>
    </row>
    <row r="175" spans="8:8" x14ac:dyDescent="0.2">
      <c r="H175" t="str">
        <f t="shared" si="2"/>
        <v/>
      </c>
    </row>
    <row r="176" spans="8:8" x14ac:dyDescent="0.2">
      <c r="H176" t="str">
        <f t="shared" si="2"/>
        <v/>
      </c>
    </row>
    <row r="177" spans="8:8" x14ac:dyDescent="0.2">
      <c r="H177" t="str">
        <f t="shared" si="2"/>
        <v/>
      </c>
    </row>
    <row r="178" spans="8:8" x14ac:dyDescent="0.2">
      <c r="H178" t="str">
        <f t="shared" si="2"/>
        <v/>
      </c>
    </row>
    <row r="179" spans="8:8" x14ac:dyDescent="0.2">
      <c r="H179" t="str">
        <f t="shared" si="2"/>
        <v/>
      </c>
    </row>
    <row r="180" spans="8:8" x14ac:dyDescent="0.2">
      <c r="H180" t="str">
        <f t="shared" si="2"/>
        <v/>
      </c>
    </row>
    <row r="181" spans="8:8" x14ac:dyDescent="0.2">
      <c r="H181" t="str">
        <f t="shared" si="2"/>
        <v/>
      </c>
    </row>
    <row r="182" spans="8:8" x14ac:dyDescent="0.2">
      <c r="H182" t="str">
        <f t="shared" si="2"/>
        <v/>
      </c>
    </row>
    <row r="183" spans="8:8" x14ac:dyDescent="0.2">
      <c r="H183" t="str">
        <f t="shared" si="2"/>
        <v/>
      </c>
    </row>
    <row r="184" spans="8:8" x14ac:dyDescent="0.2">
      <c r="H184" t="str">
        <f t="shared" si="2"/>
        <v/>
      </c>
    </row>
    <row r="185" spans="8:8" x14ac:dyDescent="0.2">
      <c r="H185" t="str">
        <f t="shared" si="2"/>
        <v/>
      </c>
    </row>
    <row r="186" spans="8:8" x14ac:dyDescent="0.2">
      <c r="H186" t="str">
        <f t="shared" si="2"/>
        <v/>
      </c>
    </row>
    <row r="187" spans="8:8" x14ac:dyDescent="0.2">
      <c r="H187" t="str">
        <f t="shared" si="2"/>
        <v/>
      </c>
    </row>
    <row r="188" spans="8:8" x14ac:dyDescent="0.2">
      <c r="H188" t="str">
        <f t="shared" si="2"/>
        <v/>
      </c>
    </row>
    <row r="189" spans="8:8" x14ac:dyDescent="0.2">
      <c r="H189" t="str">
        <f t="shared" si="2"/>
        <v/>
      </c>
    </row>
    <row r="190" spans="8:8" x14ac:dyDescent="0.2">
      <c r="H190" t="str">
        <f t="shared" si="2"/>
        <v/>
      </c>
    </row>
    <row r="191" spans="8:8" x14ac:dyDescent="0.2">
      <c r="H191" t="str">
        <f t="shared" si="2"/>
        <v/>
      </c>
    </row>
    <row r="192" spans="8:8" x14ac:dyDescent="0.2">
      <c r="H192" t="str">
        <f t="shared" si="2"/>
        <v/>
      </c>
    </row>
    <row r="193" spans="8:8" x14ac:dyDescent="0.2">
      <c r="H193" t="str">
        <f t="shared" si="2"/>
        <v/>
      </c>
    </row>
    <row r="194" spans="8:8" x14ac:dyDescent="0.2">
      <c r="H194" t="str">
        <f t="shared" si="2"/>
        <v/>
      </c>
    </row>
    <row r="195" spans="8:8" x14ac:dyDescent="0.2">
      <c r="H195" t="str">
        <f t="shared" si="2"/>
        <v/>
      </c>
    </row>
    <row r="196" spans="8:8" x14ac:dyDescent="0.2">
      <c r="H196" t="str">
        <f t="shared" si="2"/>
        <v/>
      </c>
    </row>
    <row r="197" spans="8:8" x14ac:dyDescent="0.2">
      <c r="H197" t="str">
        <f t="shared" si="2"/>
        <v/>
      </c>
    </row>
    <row r="198" spans="8:8" x14ac:dyDescent="0.2">
      <c r="H198" t="str">
        <f t="shared" si="2"/>
        <v/>
      </c>
    </row>
    <row r="199" spans="8:8" x14ac:dyDescent="0.2">
      <c r="H199" t="str">
        <f t="shared" si="2"/>
        <v/>
      </c>
    </row>
    <row r="200" spans="8:8" x14ac:dyDescent="0.2">
      <c r="H200" t="str">
        <f t="shared" si="2"/>
        <v/>
      </c>
    </row>
    <row r="201" spans="8:8" x14ac:dyDescent="0.2">
      <c r="H201" t="str">
        <f t="shared" si="2"/>
        <v/>
      </c>
    </row>
    <row r="202" spans="8:8" x14ac:dyDescent="0.2">
      <c r="H202" t="str">
        <f t="shared" si="2"/>
        <v/>
      </c>
    </row>
    <row r="203" spans="8:8" x14ac:dyDescent="0.2">
      <c r="H203" t="str">
        <f t="shared" si="2"/>
        <v/>
      </c>
    </row>
    <row r="204" spans="8:8" x14ac:dyDescent="0.2">
      <c r="H204" t="str">
        <f t="shared" si="2"/>
        <v/>
      </c>
    </row>
    <row r="205" spans="8:8" x14ac:dyDescent="0.2">
      <c r="H205" t="str">
        <f t="shared" si="2"/>
        <v/>
      </c>
    </row>
    <row r="206" spans="8:8" x14ac:dyDescent="0.2">
      <c r="H206" t="str">
        <f t="shared" si="2"/>
        <v/>
      </c>
    </row>
    <row r="207" spans="8:8" x14ac:dyDescent="0.2">
      <c r="H207" t="str">
        <f t="shared" si="2"/>
        <v/>
      </c>
    </row>
    <row r="208" spans="8:8" x14ac:dyDescent="0.2">
      <c r="H208" t="str">
        <f t="shared" si="2"/>
        <v/>
      </c>
    </row>
    <row r="209" spans="8:8" x14ac:dyDescent="0.2">
      <c r="H209" t="str">
        <f t="shared" ref="H209:H272" si="3">IF(C208=0,"",C208)</f>
        <v/>
      </c>
    </row>
    <row r="210" spans="8:8" x14ac:dyDescent="0.2">
      <c r="H210" t="str">
        <f t="shared" si="3"/>
        <v/>
      </c>
    </row>
    <row r="211" spans="8:8" x14ac:dyDescent="0.2">
      <c r="H211" t="str">
        <f t="shared" si="3"/>
        <v/>
      </c>
    </row>
    <row r="212" spans="8:8" x14ac:dyDescent="0.2">
      <c r="H212" t="str">
        <f t="shared" si="3"/>
        <v/>
      </c>
    </row>
    <row r="213" spans="8:8" x14ac:dyDescent="0.2">
      <c r="H213" t="str">
        <f t="shared" si="3"/>
        <v/>
      </c>
    </row>
    <row r="214" spans="8:8" x14ac:dyDescent="0.2">
      <c r="H214" t="str">
        <f t="shared" si="3"/>
        <v/>
      </c>
    </row>
    <row r="215" spans="8:8" x14ac:dyDescent="0.2">
      <c r="H215" t="str">
        <f t="shared" si="3"/>
        <v/>
      </c>
    </row>
    <row r="216" spans="8:8" x14ac:dyDescent="0.2">
      <c r="H216" t="str">
        <f t="shared" si="3"/>
        <v/>
      </c>
    </row>
    <row r="217" spans="8:8" x14ac:dyDescent="0.2">
      <c r="H217" t="str">
        <f t="shared" si="3"/>
        <v/>
      </c>
    </row>
    <row r="218" spans="8:8" x14ac:dyDescent="0.2">
      <c r="H218" t="str">
        <f t="shared" si="3"/>
        <v/>
      </c>
    </row>
    <row r="219" spans="8:8" x14ac:dyDescent="0.2">
      <c r="H219" t="str">
        <f t="shared" si="3"/>
        <v/>
      </c>
    </row>
    <row r="220" spans="8:8" x14ac:dyDescent="0.2">
      <c r="H220" t="str">
        <f t="shared" si="3"/>
        <v/>
      </c>
    </row>
    <row r="221" spans="8:8" x14ac:dyDescent="0.2">
      <c r="H221" t="str">
        <f t="shared" si="3"/>
        <v/>
      </c>
    </row>
    <row r="222" spans="8:8" x14ac:dyDescent="0.2">
      <c r="H222" t="str">
        <f t="shared" si="3"/>
        <v/>
      </c>
    </row>
    <row r="223" spans="8:8" x14ac:dyDescent="0.2">
      <c r="H223" t="str">
        <f t="shared" si="3"/>
        <v/>
      </c>
    </row>
    <row r="224" spans="8:8" x14ac:dyDescent="0.2">
      <c r="H224" t="str">
        <f t="shared" si="3"/>
        <v/>
      </c>
    </row>
    <row r="225" spans="8:8" x14ac:dyDescent="0.2">
      <c r="H225" t="str">
        <f t="shared" si="3"/>
        <v/>
      </c>
    </row>
    <row r="226" spans="8:8" x14ac:dyDescent="0.2">
      <c r="H226" t="str">
        <f t="shared" si="3"/>
        <v/>
      </c>
    </row>
    <row r="227" spans="8:8" x14ac:dyDescent="0.2">
      <c r="H227" t="str">
        <f t="shared" si="3"/>
        <v/>
      </c>
    </row>
    <row r="228" spans="8:8" x14ac:dyDescent="0.2">
      <c r="H228" t="str">
        <f t="shared" si="3"/>
        <v/>
      </c>
    </row>
    <row r="229" spans="8:8" x14ac:dyDescent="0.2">
      <c r="H229" t="str">
        <f t="shared" si="3"/>
        <v/>
      </c>
    </row>
    <row r="230" spans="8:8" x14ac:dyDescent="0.2">
      <c r="H230" t="str">
        <f t="shared" si="3"/>
        <v/>
      </c>
    </row>
    <row r="231" spans="8:8" x14ac:dyDescent="0.2">
      <c r="H231" t="str">
        <f t="shared" si="3"/>
        <v/>
      </c>
    </row>
    <row r="232" spans="8:8" x14ac:dyDescent="0.2">
      <c r="H232" t="str">
        <f t="shared" si="3"/>
        <v/>
      </c>
    </row>
    <row r="233" spans="8:8" x14ac:dyDescent="0.2">
      <c r="H233" t="str">
        <f t="shared" si="3"/>
        <v/>
      </c>
    </row>
    <row r="234" spans="8:8" x14ac:dyDescent="0.2">
      <c r="H234" t="str">
        <f t="shared" si="3"/>
        <v/>
      </c>
    </row>
    <row r="235" spans="8:8" x14ac:dyDescent="0.2">
      <c r="H235" t="str">
        <f t="shared" si="3"/>
        <v/>
      </c>
    </row>
    <row r="236" spans="8:8" x14ac:dyDescent="0.2">
      <c r="H236" t="str">
        <f t="shared" si="3"/>
        <v/>
      </c>
    </row>
    <row r="237" spans="8:8" x14ac:dyDescent="0.2">
      <c r="H237" t="str">
        <f t="shared" si="3"/>
        <v/>
      </c>
    </row>
    <row r="238" spans="8:8" x14ac:dyDescent="0.2">
      <c r="H238" t="str">
        <f t="shared" si="3"/>
        <v/>
      </c>
    </row>
    <row r="239" spans="8:8" x14ac:dyDescent="0.2">
      <c r="H239" t="str">
        <f t="shared" si="3"/>
        <v/>
      </c>
    </row>
    <row r="240" spans="8:8" x14ac:dyDescent="0.2">
      <c r="H240" t="str">
        <f t="shared" si="3"/>
        <v/>
      </c>
    </row>
    <row r="241" spans="8:8" x14ac:dyDescent="0.2">
      <c r="H241" t="str">
        <f t="shared" si="3"/>
        <v/>
      </c>
    </row>
    <row r="242" spans="8:8" x14ac:dyDescent="0.2">
      <c r="H242" t="str">
        <f t="shared" si="3"/>
        <v/>
      </c>
    </row>
    <row r="243" spans="8:8" x14ac:dyDescent="0.2">
      <c r="H243" t="str">
        <f t="shared" si="3"/>
        <v/>
      </c>
    </row>
    <row r="244" spans="8:8" x14ac:dyDescent="0.2">
      <c r="H244" t="str">
        <f t="shared" si="3"/>
        <v/>
      </c>
    </row>
    <row r="245" spans="8:8" x14ac:dyDescent="0.2">
      <c r="H245" t="str">
        <f t="shared" si="3"/>
        <v/>
      </c>
    </row>
    <row r="246" spans="8:8" x14ac:dyDescent="0.2">
      <c r="H246" t="str">
        <f t="shared" si="3"/>
        <v/>
      </c>
    </row>
    <row r="247" spans="8:8" x14ac:dyDescent="0.2">
      <c r="H247" t="str">
        <f t="shared" si="3"/>
        <v/>
      </c>
    </row>
    <row r="248" spans="8:8" x14ac:dyDescent="0.2">
      <c r="H248" t="str">
        <f t="shared" si="3"/>
        <v/>
      </c>
    </row>
    <row r="249" spans="8:8" x14ac:dyDescent="0.2">
      <c r="H249" t="str">
        <f t="shared" si="3"/>
        <v/>
      </c>
    </row>
    <row r="250" spans="8:8" x14ac:dyDescent="0.2">
      <c r="H250" t="str">
        <f t="shared" si="3"/>
        <v/>
      </c>
    </row>
    <row r="251" spans="8:8" x14ac:dyDescent="0.2">
      <c r="H251" t="str">
        <f t="shared" si="3"/>
        <v/>
      </c>
    </row>
    <row r="252" spans="8:8" x14ac:dyDescent="0.2">
      <c r="H252" t="str">
        <f t="shared" si="3"/>
        <v/>
      </c>
    </row>
    <row r="253" spans="8:8" x14ac:dyDescent="0.2">
      <c r="H253" t="str">
        <f t="shared" si="3"/>
        <v/>
      </c>
    </row>
    <row r="254" spans="8:8" x14ac:dyDescent="0.2">
      <c r="H254" t="str">
        <f t="shared" si="3"/>
        <v/>
      </c>
    </row>
    <row r="255" spans="8:8" x14ac:dyDescent="0.2">
      <c r="H255" t="str">
        <f t="shared" si="3"/>
        <v/>
      </c>
    </row>
    <row r="256" spans="8:8" x14ac:dyDescent="0.2">
      <c r="H256" t="str">
        <f t="shared" si="3"/>
        <v/>
      </c>
    </row>
    <row r="257" spans="8:8" x14ac:dyDescent="0.2">
      <c r="H257" t="str">
        <f t="shared" si="3"/>
        <v/>
      </c>
    </row>
    <row r="258" spans="8:8" x14ac:dyDescent="0.2">
      <c r="H258" t="str">
        <f t="shared" si="3"/>
        <v/>
      </c>
    </row>
    <row r="259" spans="8:8" x14ac:dyDescent="0.2">
      <c r="H259" t="str">
        <f t="shared" si="3"/>
        <v/>
      </c>
    </row>
    <row r="260" spans="8:8" x14ac:dyDescent="0.2">
      <c r="H260" t="str">
        <f t="shared" si="3"/>
        <v/>
      </c>
    </row>
    <row r="261" spans="8:8" x14ac:dyDescent="0.2">
      <c r="H261" t="str">
        <f t="shared" si="3"/>
        <v/>
      </c>
    </row>
    <row r="262" spans="8:8" x14ac:dyDescent="0.2">
      <c r="H262" t="str">
        <f t="shared" si="3"/>
        <v/>
      </c>
    </row>
    <row r="263" spans="8:8" x14ac:dyDescent="0.2">
      <c r="H263" t="str">
        <f t="shared" si="3"/>
        <v/>
      </c>
    </row>
    <row r="264" spans="8:8" x14ac:dyDescent="0.2">
      <c r="H264" t="str">
        <f t="shared" si="3"/>
        <v/>
      </c>
    </row>
    <row r="265" spans="8:8" x14ac:dyDescent="0.2">
      <c r="H265" t="str">
        <f t="shared" si="3"/>
        <v/>
      </c>
    </row>
    <row r="266" spans="8:8" x14ac:dyDescent="0.2">
      <c r="H266" t="str">
        <f t="shared" si="3"/>
        <v/>
      </c>
    </row>
    <row r="267" spans="8:8" x14ac:dyDescent="0.2">
      <c r="H267" t="str">
        <f t="shared" si="3"/>
        <v/>
      </c>
    </row>
    <row r="268" spans="8:8" x14ac:dyDescent="0.2">
      <c r="H268" t="str">
        <f t="shared" si="3"/>
        <v/>
      </c>
    </row>
    <row r="269" spans="8:8" x14ac:dyDescent="0.2">
      <c r="H269" t="str">
        <f t="shared" si="3"/>
        <v/>
      </c>
    </row>
    <row r="270" spans="8:8" x14ac:dyDescent="0.2">
      <c r="H270" t="str">
        <f t="shared" si="3"/>
        <v/>
      </c>
    </row>
    <row r="271" spans="8:8" x14ac:dyDescent="0.2">
      <c r="H271" t="str">
        <f t="shared" si="3"/>
        <v/>
      </c>
    </row>
    <row r="272" spans="8:8" x14ac:dyDescent="0.2">
      <c r="H272" t="str">
        <f t="shared" si="3"/>
        <v/>
      </c>
    </row>
    <row r="273" spans="8:8" x14ac:dyDescent="0.2">
      <c r="H273" t="str">
        <f t="shared" ref="H273:H336" si="4">IF(C272=0,"",C272)</f>
        <v/>
      </c>
    </row>
    <row r="274" spans="8:8" x14ac:dyDescent="0.2">
      <c r="H274" t="str">
        <f t="shared" si="4"/>
        <v/>
      </c>
    </row>
    <row r="275" spans="8:8" x14ac:dyDescent="0.2">
      <c r="H275" t="str">
        <f t="shared" si="4"/>
        <v/>
      </c>
    </row>
    <row r="276" spans="8:8" x14ac:dyDescent="0.2">
      <c r="H276" t="str">
        <f t="shared" si="4"/>
        <v/>
      </c>
    </row>
    <row r="277" spans="8:8" x14ac:dyDescent="0.2">
      <c r="H277" t="str">
        <f t="shared" si="4"/>
        <v/>
      </c>
    </row>
    <row r="278" spans="8:8" x14ac:dyDescent="0.2">
      <c r="H278" t="str">
        <f t="shared" si="4"/>
        <v/>
      </c>
    </row>
    <row r="279" spans="8:8" x14ac:dyDescent="0.2">
      <c r="H279" t="str">
        <f t="shared" si="4"/>
        <v/>
      </c>
    </row>
    <row r="280" spans="8:8" x14ac:dyDescent="0.2">
      <c r="H280" t="str">
        <f t="shared" si="4"/>
        <v/>
      </c>
    </row>
    <row r="281" spans="8:8" x14ac:dyDescent="0.2">
      <c r="H281" t="str">
        <f t="shared" si="4"/>
        <v/>
      </c>
    </row>
    <row r="282" spans="8:8" x14ac:dyDescent="0.2">
      <c r="H282" t="str">
        <f t="shared" si="4"/>
        <v/>
      </c>
    </row>
    <row r="283" spans="8:8" x14ac:dyDescent="0.2">
      <c r="H283" t="str">
        <f t="shared" si="4"/>
        <v/>
      </c>
    </row>
    <row r="284" spans="8:8" x14ac:dyDescent="0.2">
      <c r="H284" t="str">
        <f t="shared" si="4"/>
        <v/>
      </c>
    </row>
    <row r="285" spans="8:8" x14ac:dyDescent="0.2">
      <c r="H285" t="str">
        <f t="shared" si="4"/>
        <v/>
      </c>
    </row>
    <row r="286" spans="8:8" x14ac:dyDescent="0.2">
      <c r="H286" t="str">
        <f t="shared" si="4"/>
        <v/>
      </c>
    </row>
    <row r="287" spans="8:8" x14ac:dyDescent="0.2">
      <c r="H287" t="str">
        <f t="shared" si="4"/>
        <v/>
      </c>
    </row>
    <row r="288" spans="8:8" x14ac:dyDescent="0.2">
      <c r="H288" t="str">
        <f t="shared" si="4"/>
        <v/>
      </c>
    </row>
    <row r="289" spans="8:8" x14ac:dyDescent="0.2">
      <c r="H289" t="str">
        <f t="shared" si="4"/>
        <v/>
      </c>
    </row>
    <row r="290" spans="8:8" x14ac:dyDescent="0.2">
      <c r="H290" t="str">
        <f t="shared" si="4"/>
        <v/>
      </c>
    </row>
    <row r="291" spans="8:8" x14ac:dyDescent="0.2">
      <c r="H291" t="str">
        <f t="shared" si="4"/>
        <v/>
      </c>
    </row>
    <row r="292" spans="8:8" x14ac:dyDescent="0.2">
      <c r="H292" t="str">
        <f t="shared" si="4"/>
        <v/>
      </c>
    </row>
    <row r="293" spans="8:8" x14ac:dyDescent="0.2">
      <c r="H293" t="str">
        <f t="shared" si="4"/>
        <v/>
      </c>
    </row>
    <row r="294" spans="8:8" x14ac:dyDescent="0.2">
      <c r="H294" t="str">
        <f t="shared" si="4"/>
        <v/>
      </c>
    </row>
    <row r="295" spans="8:8" x14ac:dyDescent="0.2">
      <c r="H295" t="str">
        <f t="shared" si="4"/>
        <v/>
      </c>
    </row>
    <row r="296" spans="8:8" x14ac:dyDescent="0.2">
      <c r="H296" t="str">
        <f t="shared" si="4"/>
        <v/>
      </c>
    </row>
    <row r="297" spans="8:8" x14ac:dyDescent="0.2">
      <c r="H297" t="str">
        <f t="shared" si="4"/>
        <v/>
      </c>
    </row>
    <row r="298" spans="8:8" x14ac:dyDescent="0.2">
      <c r="H298" t="str">
        <f t="shared" si="4"/>
        <v/>
      </c>
    </row>
    <row r="299" spans="8:8" x14ac:dyDescent="0.2">
      <c r="H299" t="str">
        <f t="shared" si="4"/>
        <v/>
      </c>
    </row>
    <row r="300" spans="8:8" x14ac:dyDescent="0.2">
      <c r="H300" t="str">
        <f t="shared" si="4"/>
        <v/>
      </c>
    </row>
    <row r="301" spans="8:8" x14ac:dyDescent="0.2">
      <c r="H301" t="str">
        <f t="shared" si="4"/>
        <v/>
      </c>
    </row>
    <row r="302" spans="8:8" x14ac:dyDescent="0.2">
      <c r="H302" t="str">
        <f t="shared" si="4"/>
        <v/>
      </c>
    </row>
    <row r="303" spans="8:8" x14ac:dyDescent="0.2">
      <c r="H303" t="str">
        <f t="shared" si="4"/>
        <v/>
      </c>
    </row>
    <row r="304" spans="8:8" x14ac:dyDescent="0.2">
      <c r="H304" t="str">
        <f t="shared" si="4"/>
        <v/>
      </c>
    </row>
    <row r="305" spans="8:8" x14ac:dyDescent="0.2">
      <c r="H305" t="str">
        <f t="shared" si="4"/>
        <v/>
      </c>
    </row>
    <row r="306" spans="8:8" x14ac:dyDescent="0.2">
      <c r="H306" t="str">
        <f t="shared" si="4"/>
        <v/>
      </c>
    </row>
    <row r="307" spans="8:8" x14ac:dyDescent="0.2">
      <c r="H307" t="str">
        <f t="shared" si="4"/>
        <v/>
      </c>
    </row>
    <row r="308" spans="8:8" x14ac:dyDescent="0.2">
      <c r="H308" t="str">
        <f t="shared" si="4"/>
        <v/>
      </c>
    </row>
    <row r="309" spans="8:8" x14ac:dyDescent="0.2">
      <c r="H309" t="str">
        <f t="shared" si="4"/>
        <v/>
      </c>
    </row>
    <row r="310" spans="8:8" x14ac:dyDescent="0.2">
      <c r="H310" t="str">
        <f t="shared" si="4"/>
        <v/>
      </c>
    </row>
    <row r="311" spans="8:8" x14ac:dyDescent="0.2">
      <c r="H311" t="str">
        <f t="shared" si="4"/>
        <v/>
      </c>
    </row>
    <row r="312" spans="8:8" x14ac:dyDescent="0.2">
      <c r="H312" t="str">
        <f t="shared" si="4"/>
        <v/>
      </c>
    </row>
    <row r="313" spans="8:8" x14ac:dyDescent="0.2">
      <c r="H313" t="str">
        <f t="shared" si="4"/>
        <v/>
      </c>
    </row>
    <row r="314" spans="8:8" x14ac:dyDescent="0.2">
      <c r="H314" t="str">
        <f t="shared" si="4"/>
        <v/>
      </c>
    </row>
    <row r="315" spans="8:8" x14ac:dyDescent="0.2">
      <c r="H315" t="str">
        <f t="shared" si="4"/>
        <v/>
      </c>
    </row>
    <row r="316" spans="8:8" x14ac:dyDescent="0.2">
      <c r="H316" t="str">
        <f t="shared" si="4"/>
        <v/>
      </c>
    </row>
    <row r="317" spans="8:8" x14ac:dyDescent="0.2">
      <c r="H317" t="str">
        <f t="shared" si="4"/>
        <v/>
      </c>
    </row>
    <row r="318" spans="8:8" x14ac:dyDescent="0.2">
      <c r="H318" t="str">
        <f t="shared" si="4"/>
        <v/>
      </c>
    </row>
    <row r="319" spans="8:8" x14ac:dyDescent="0.2">
      <c r="H319" t="str">
        <f t="shared" si="4"/>
        <v/>
      </c>
    </row>
    <row r="320" spans="8:8" x14ac:dyDescent="0.2">
      <c r="H320" t="str">
        <f t="shared" si="4"/>
        <v/>
      </c>
    </row>
    <row r="321" spans="8:8" x14ac:dyDescent="0.2">
      <c r="H321" t="str">
        <f t="shared" si="4"/>
        <v/>
      </c>
    </row>
    <row r="322" spans="8:8" x14ac:dyDescent="0.2">
      <c r="H322" t="str">
        <f t="shared" si="4"/>
        <v/>
      </c>
    </row>
    <row r="323" spans="8:8" x14ac:dyDescent="0.2">
      <c r="H323" t="str">
        <f t="shared" si="4"/>
        <v/>
      </c>
    </row>
    <row r="324" spans="8:8" x14ac:dyDescent="0.2">
      <c r="H324" t="str">
        <f t="shared" si="4"/>
        <v/>
      </c>
    </row>
    <row r="325" spans="8:8" x14ac:dyDescent="0.2">
      <c r="H325" t="str">
        <f t="shared" si="4"/>
        <v/>
      </c>
    </row>
    <row r="326" spans="8:8" x14ac:dyDescent="0.2">
      <c r="H326" t="str">
        <f t="shared" si="4"/>
        <v/>
      </c>
    </row>
    <row r="327" spans="8:8" x14ac:dyDescent="0.2">
      <c r="H327" t="str">
        <f t="shared" si="4"/>
        <v/>
      </c>
    </row>
    <row r="328" spans="8:8" x14ac:dyDescent="0.2">
      <c r="H328" t="str">
        <f t="shared" si="4"/>
        <v/>
      </c>
    </row>
    <row r="329" spans="8:8" x14ac:dyDescent="0.2">
      <c r="H329" t="str">
        <f t="shared" si="4"/>
        <v/>
      </c>
    </row>
    <row r="330" spans="8:8" x14ac:dyDescent="0.2">
      <c r="H330" t="str">
        <f t="shared" si="4"/>
        <v/>
      </c>
    </row>
    <row r="331" spans="8:8" x14ac:dyDescent="0.2">
      <c r="H331" t="str">
        <f t="shared" si="4"/>
        <v/>
      </c>
    </row>
    <row r="332" spans="8:8" x14ac:dyDescent="0.2">
      <c r="H332" t="str">
        <f t="shared" si="4"/>
        <v/>
      </c>
    </row>
    <row r="333" spans="8:8" x14ac:dyDescent="0.2">
      <c r="H333" t="str">
        <f t="shared" si="4"/>
        <v/>
      </c>
    </row>
    <row r="334" spans="8:8" x14ac:dyDescent="0.2">
      <c r="H334" t="str">
        <f t="shared" si="4"/>
        <v/>
      </c>
    </row>
    <row r="335" spans="8:8" x14ac:dyDescent="0.2">
      <c r="H335" t="str">
        <f t="shared" si="4"/>
        <v/>
      </c>
    </row>
    <row r="336" spans="8:8" x14ac:dyDescent="0.2">
      <c r="H336" t="str">
        <f t="shared" si="4"/>
        <v/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76724-15A0-43A8-89FC-22055A02BBDB}">
  <sheetPr codeName="Sheet14"/>
  <dimension ref="A1:E7"/>
  <sheetViews>
    <sheetView workbookViewId="0">
      <selection activeCell="F2" sqref="F2"/>
    </sheetView>
  </sheetViews>
  <sheetFormatPr baseColWidth="10" defaultColWidth="8.83203125" defaultRowHeight="15" x14ac:dyDescent="0.2"/>
  <sheetData>
    <row r="1" spans="1:5" x14ac:dyDescent="0.2">
      <c r="A1" t="s">
        <v>167</v>
      </c>
      <c r="C1" t="s">
        <v>168</v>
      </c>
      <c r="E1" t="s">
        <v>169</v>
      </c>
    </row>
    <row r="2" spans="1:5" x14ac:dyDescent="0.2">
      <c r="A2">
        <f>Prematch!A28</f>
        <v>5000</v>
      </c>
      <c r="C2">
        <f>'Auto Path Backend 3'!E2</f>
        <v>0</v>
      </c>
      <c r="E2" t="e" cm="1">
        <f t="array" ref="E2">MAX(_xlfn.BYCOL(5:5, _xlfn.LAMBDA(_xlpm.ARRAY,IF(_xlpm.ARRAY="teleOp", COLUMN(_xlpm.ARRAY), 0))))</f>
        <v>#VALUE!</v>
      </c>
    </row>
    <row r="3" spans="1:5" x14ac:dyDescent="0.2">
      <c r="B3">
        <f>COLUMN(B3)</f>
        <v>2</v>
      </c>
    </row>
    <row r="4" spans="1:5" x14ac:dyDescent="0.2">
      <c r="A4" t="s">
        <v>170</v>
      </c>
    </row>
    <row r="5" spans="1:5" x14ac:dyDescent="0.2">
      <c r="A5" t="e" cm="1">
        <f t="array" ref="A5">_xlfn.CHOOSEROWS(7:100,C2)</f>
        <v>#VALUE!</v>
      </c>
    </row>
    <row r="6" spans="1:5" x14ac:dyDescent="0.2">
      <c r="A6" t="s">
        <v>171</v>
      </c>
    </row>
    <row r="7" spans="1:5" x14ac:dyDescent="0.2">
      <c r="A7" t="e" cm="1">
        <f t="array" ref="A7">IF(_xlfn.CHOOSEROWS(Sheet1!AD:FN,getDataRows(Sheet1!D:D,Sheet1!E:E,'Prematch Backend 4A'!A2))=0,"",_xlfn.CHOOSEROWS(Sheet1!AD:FN,getDataRows(Sheet1!D:D,Sheet1!E:E,'Prematch Backend 4A'!A2)))</f>
        <v>#VALUE!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07DC3-5A15-4869-B814-20C3FAC1591C}">
  <sheetPr codeName="Sheet15"/>
  <dimension ref="A1:E1004"/>
  <sheetViews>
    <sheetView zoomScaleNormal="86" workbookViewId="0">
      <selection activeCell="F2" sqref="F2"/>
    </sheetView>
  </sheetViews>
  <sheetFormatPr baseColWidth="10" defaultColWidth="8.83203125" defaultRowHeight="15" x14ac:dyDescent="0.2"/>
  <sheetData>
    <row r="1" spans="1:5" x14ac:dyDescent="0.2">
      <c r="A1" t="s">
        <v>167</v>
      </c>
      <c r="C1" t="s">
        <v>168</v>
      </c>
      <c r="E1" t="s">
        <v>169</v>
      </c>
    </row>
    <row r="2" spans="1:5" x14ac:dyDescent="0.2">
      <c r="A2">
        <f>'Prematch Backend 4A'!A2</f>
        <v>5000</v>
      </c>
      <c r="C2">
        <f>'Auto Path Backend 3'!E2</f>
        <v>0</v>
      </c>
      <c r="E2">
        <f>COUNTA(5:5)</f>
        <v>1</v>
      </c>
    </row>
    <row r="3" spans="1:5" x14ac:dyDescent="0.2">
      <c r="B3">
        <f>COLUMN(B3)</f>
        <v>2</v>
      </c>
    </row>
    <row r="4" spans="1:5" x14ac:dyDescent="0.2">
      <c r="A4" t="s">
        <v>170</v>
      </c>
    </row>
    <row r="5" spans="1:5" x14ac:dyDescent="0.2">
      <c r="A5" t="e" cm="1">
        <f t="array" ref="A5">_xlfn.TOROW(_xlfn.CHOOSEROWS(B7:AAA100,_xlfn.MAKEARRAY(1,COUNTA(C7:C100),_xlfn.LAMBDA(_xlpm.r,_xlpm.c,_xlpm.c))),1)</f>
        <v>#VALUE!</v>
      </c>
    </row>
    <row r="6" spans="1:5" x14ac:dyDescent="0.2">
      <c r="A6" t="s">
        <v>171</v>
      </c>
    </row>
    <row r="7" spans="1:5" x14ac:dyDescent="0.2">
      <c r="A7" t="e" cm="1">
        <f t="array" ref="A7">IF(MAX(_xlfn.BYCOL('Prematch Backend 4A'!7:7, _xlfn.LAMBDA(_xlpm.ARRAY,IF(_xlpm.ARRAY="teleOp", COLUMN(_xlpm.ARRAY), 0))))=0,"",MAX(_xlfn.BYCOL('Prematch Backend 4A'!7:7, _xlfn.LAMBDA(_xlpm.ARRAY,IF(_xlpm.ARRAY="teleOp", COLUMN(_xlpm.ARRAY), 0)))))</f>
        <v>#VALUE!</v>
      </c>
      <c r="B7" t="e" cm="1">
        <f t="array" ref="B7">IF(A7="","",_xlfn.CHOOSECOLS('Prematch Backend 2A'!7:7,_xlfn.MAKEARRAY(1,A7-2,_xlfn.LAMBDA(_xlpm.r,_xlpm.c,_xlpm.c))))</f>
        <v>#VALUE!</v>
      </c>
    </row>
    <row r="8" spans="1:5" x14ac:dyDescent="0.2">
      <c r="A8" t="str" cm="1">
        <f t="array" ref="A8">IF(MAX(_xlfn.BYCOL('Prematch Backend 4A'!8:8, _xlfn.LAMBDA(_xlpm.ARRAY,IF(_xlpm.ARRAY="teleOp", COLUMN(_xlpm.ARRAY), 0))))=0,"",MAX(_xlfn.BYCOL('Prematch Backend 4A'!8:8, _xlfn.LAMBDA(_xlpm.ARRAY,IF(_xlpm.ARRAY="teleOp", COLUMN(_xlpm.ARRAY), 0)))))</f>
        <v/>
      </c>
      <c r="B8" t="str" cm="1">
        <f t="array" ref="B8">IF(A8="","",_xlfn.CHOOSECOLS('Prematch Backend 2A'!8:8,_xlfn.MAKEARRAY(1,A8-2,_xlfn.LAMBDA(_xlpm.r,_xlpm.c,_xlpm.c))))</f>
        <v/>
      </c>
    </row>
    <row r="9" spans="1:5" x14ac:dyDescent="0.2">
      <c r="A9" t="str" cm="1">
        <f t="array" ref="A9">IF(MAX(_xlfn.BYCOL('Prematch Backend 4A'!9:9, _xlfn.LAMBDA(_xlpm.ARRAY,IF(_xlpm.ARRAY="teleOp", COLUMN(_xlpm.ARRAY), 0))))=0,"",MAX(_xlfn.BYCOL('Prematch Backend 4A'!9:9, _xlfn.LAMBDA(_xlpm.ARRAY,IF(_xlpm.ARRAY="teleOp", COLUMN(_xlpm.ARRAY), 0)))))</f>
        <v/>
      </c>
      <c r="B9" t="str" cm="1">
        <f t="array" ref="B9">IF(A9="","",_xlfn.CHOOSECOLS('Prematch Backend 2A'!9:9,_xlfn.MAKEARRAY(1,A9-2,_xlfn.LAMBDA(_xlpm.r,_xlpm.c,_xlpm.c))))</f>
        <v/>
      </c>
    </row>
    <row r="10" spans="1:5" x14ac:dyDescent="0.2">
      <c r="A10" t="str" cm="1">
        <f t="array" ref="A10">IF(MAX(_xlfn.BYCOL('Prematch Backend 4A'!10:10, _xlfn.LAMBDA(_xlpm.ARRAY,IF(_xlpm.ARRAY="teleOp", COLUMN(_xlpm.ARRAY), 0))))=0,"",MAX(_xlfn.BYCOL('Prematch Backend 4A'!10:10, _xlfn.LAMBDA(_xlpm.ARRAY,IF(_xlpm.ARRAY="teleOp", COLUMN(_xlpm.ARRAY), 0)))))</f>
        <v/>
      </c>
      <c r="B10" t="str" cm="1">
        <f t="array" ref="B10">IF(A10="","",_xlfn.CHOOSECOLS('Prematch Backend 2A'!10:10,_xlfn.MAKEARRAY(1,A10-2,_xlfn.LAMBDA(_xlpm.r,_xlpm.c,_xlpm.c))))</f>
        <v/>
      </c>
    </row>
    <row r="11" spans="1:5" x14ac:dyDescent="0.2">
      <c r="A11" t="str" cm="1">
        <f t="array" ref="A11">IF(MAX(_xlfn.BYCOL('Prematch Backend 4A'!11:11, _xlfn.LAMBDA(_xlpm.ARRAY,IF(_xlpm.ARRAY="teleOp", COLUMN(_xlpm.ARRAY), 0))))=0,"",MAX(_xlfn.BYCOL('Prematch Backend 4A'!11:11, _xlfn.LAMBDA(_xlpm.ARRAY,IF(_xlpm.ARRAY="teleOp", COLUMN(_xlpm.ARRAY), 0)))))</f>
        <v/>
      </c>
      <c r="B11" t="str" cm="1">
        <f t="array" ref="B11">IF(A11="","",_xlfn.CHOOSECOLS('Prematch Backend 2A'!11:11,_xlfn.MAKEARRAY(1,A11-2,_xlfn.LAMBDA(_xlpm.r,_xlpm.c,_xlpm.c))))</f>
        <v/>
      </c>
    </row>
    <row r="12" spans="1:5" x14ac:dyDescent="0.2">
      <c r="A12" t="str" cm="1">
        <f t="array" ref="A12">IF(MAX(_xlfn.BYCOL('Prematch Backend 4A'!12:12, _xlfn.LAMBDA(_xlpm.ARRAY,IF(_xlpm.ARRAY="teleOp", COLUMN(_xlpm.ARRAY), 0))))=0,"",MAX(_xlfn.BYCOL('Prematch Backend 4A'!12:12, _xlfn.LAMBDA(_xlpm.ARRAY,IF(_xlpm.ARRAY="teleOp", COLUMN(_xlpm.ARRAY), 0)))))</f>
        <v/>
      </c>
      <c r="B12" t="str" cm="1">
        <f t="array" ref="B12">IF(A12="","",_xlfn.CHOOSECOLS('Prematch Backend 2A'!12:12,_xlfn.MAKEARRAY(1,A12-2,_xlfn.LAMBDA(_xlpm.r,_xlpm.c,_xlpm.c))))</f>
        <v/>
      </c>
    </row>
    <row r="13" spans="1:5" x14ac:dyDescent="0.2">
      <c r="B13" t="str" cm="1">
        <f t="array" ref="B13">IF(A13="","",_xlfn.CHOOSECOLS('Prematch Backend 2A'!13:13,_xlfn.MAKEARRAY(1,A13-2,_xlfn.LAMBDA(_xlpm.r,_xlpm.c,_xlpm.c))))</f>
        <v/>
      </c>
    </row>
    <row r="14" spans="1:5" x14ac:dyDescent="0.2">
      <c r="A14" t="str" cm="1">
        <f t="array" ref="A14">IF(MAX(_xlfn.BYCOL('Prematch Backend 4A'!14:14, _xlfn.LAMBDA(_xlpm.ARRAY,IF(_xlpm.ARRAY="teleOp", COLUMN(_xlpm.ARRAY), 0))))=0,"",MAX(_xlfn.BYCOL('Prematch Backend 4A'!14:14, _xlfn.LAMBDA(_xlpm.ARRAY,IF(_xlpm.ARRAY="teleOp", COLUMN(_xlpm.ARRAY), 0)))))</f>
        <v/>
      </c>
      <c r="B14" t="str" cm="1">
        <f t="array" ref="B14">IF(A14="","",_xlfn.CHOOSECOLS('Prematch Backend 2A'!14:14,_xlfn.MAKEARRAY(1,A14-2,_xlfn.LAMBDA(_xlpm.r,_xlpm.c,_xlpm.c))))</f>
        <v/>
      </c>
    </row>
    <row r="15" spans="1:5" x14ac:dyDescent="0.2">
      <c r="A15" t="str" cm="1">
        <f t="array" ref="A15">IF(MAX(_xlfn.BYCOL('Prematch Backend 4A'!15:15, _xlfn.LAMBDA(_xlpm.ARRAY,IF(_xlpm.ARRAY="teleOp", COLUMN(_xlpm.ARRAY), 0))))=0,"",MAX(_xlfn.BYCOL('Prematch Backend 4A'!15:15, _xlfn.LAMBDA(_xlpm.ARRAY,IF(_xlpm.ARRAY="teleOp", COLUMN(_xlpm.ARRAY), 0)))))</f>
        <v/>
      </c>
      <c r="B15" t="str" cm="1">
        <f t="array" ref="B15">IF(A15="","",_xlfn.CHOOSECOLS('Prematch Backend 2A'!15:15,_xlfn.MAKEARRAY(1,A15-2,_xlfn.LAMBDA(_xlpm.r,_xlpm.c,_xlpm.c))))</f>
        <v/>
      </c>
    </row>
    <row r="16" spans="1:5" x14ac:dyDescent="0.2">
      <c r="A16" t="str" cm="1">
        <f t="array" ref="A16">IF(MAX(_xlfn.BYCOL('Prematch Backend 4A'!16:16, _xlfn.LAMBDA(_xlpm.ARRAY,IF(_xlpm.ARRAY="teleOp", COLUMN(_xlpm.ARRAY), 0))))=0,"",MAX(_xlfn.BYCOL('Prematch Backend 4A'!16:16, _xlfn.LAMBDA(_xlpm.ARRAY,IF(_xlpm.ARRAY="teleOp", COLUMN(_xlpm.ARRAY), 0)))))</f>
        <v/>
      </c>
      <c r="B16" t="str" cm="1">
        <f t="array" ref="B16">IF(A16="","",_xlfn.CHOOSECOLS('Prematch Backend 2A'!16:16,_xlfn.MAKEARRAY(1,A16-2,_xlfn.LAMBDA(_xlpm.r,_xlpm.c,_xlpm.c))))</f>
        <v/>
      </c>
    </row>
    <row r="17" spans="1:2" x14ac:dyDescent="0.2">
      <c r="A17" t="str" cm="1">
        <f t="array" ref="A17">IF(MAX(_xlfn.BYCOL('Prematch Backend 4A'!17:17, _xlfn.LAMBDA(_xlpm.ARRAY,IF(_xlpm.ARRAY="teleOp", COLUMN(_xlpm.ARRAY), 0))))=0,"",MAX(_xlfn.BYCOL('Prematch Backend 4A'!17:17, _xlfn.LAMBDA(_xlpm.ARRAY,IF(_xlpm.ARRAY="teleOp", COLUMN(_xlpm.ARRAY), 0)))))</f>
        <v/>
      </c>
      <c r="B17" t="str" cm="1">
        <f t="array" ref="B17">IF(A17="","",_xlfn.CHOOSECOLS('Prematch Backend 2A'!17:17,_xlfn.MAKEARRAY(1,A17-2,_xlfn.LAMBDA(_xlpm.r,_xlpm.c,_xlpm.c))))</f>
        <v/>
      </c>
    </row>
    <row r="18" spans="1:2" x14ac:dyDescent="0.2">
      <c r="A18" t="str" cm="1">
        <f t="array" ref="A18">IF(MAX(_xlfn.BYCOL('Prematch Backend 4A'!18:18, _xlfn.LAMBDA(_xlpm.ARRAY,IF(_xlpm.ARRAY="teleOp", COLUMN(_xlpm.ARRAY), 0))))=0,"",MAX(_xlfn.BYCOL('Prematch Backend 4A'!18:18, _xlfn.LAMBDA(_xlpm.ARRAY,IF(_xlpm.ARRAY="teleOp", COLUMN(_xlpm.ARRAY), 0)))))</f>
        <v/>
      </c>
      <c r="B18" t="str" cm="1">
        <f t="array" ref="B18">IF(A18="","",_xlfn.CHOOSECOLS('Prematch Backend 2A'!18:18,_xlfn.MAKEARRAY(1,A18-2,_xlfn.LAMBDA(_xlpm.r,_xlpm.c,_xlpm.c))))</f>
        <v/>
      </c>
    </row>
    <row r="19" spans="1:2" x14ac:dyDescent="0.2">
      <c r="A19" t="str" cm="1">
        <f t="array" ref="A19">IF(MAX(_xlfn.BYCOL('Prematch Backend 4A'!19:19, _xlfn.LAMBDA(_xlpm.ARRAY,IF(_xlpm.ARRAY="teleOp", COLUMN(_xlpm.ARRAY), 0))))=0,"",MAX(_xlfn.BYCOL('Prematch Backend 4A'!19:19, _xlfn.LAMBDA(_xlpm.ARRAY,IF(_xlpm.ARRAY="teleOp", COLUMN(_xlpm.ARRAY), 0)))))</f>
        <v/>
      </c>
      <c r="B19" t="str" cm="1">
        <f t="array" ref="B19">IF(A19="","",_xlfn.CHOOSECOLS('Prematch Backend 2A'!19:19,_xlfn.MAKEARRAY(1,A19-2,_xlfn.LAMBDA(_xlpm.r,_xlpm.c,_xlpm.c))))</f>
        <v/>
      </c>
    </row>
    <row r="20" spans="1:2" x14ac:dyDescent="0.2">
      <c r="A20" t="str" cm="1">
        <f t="array" ref="A20">IF(MAX(_xlfn.BYCOL('Prematch Backend 4A'!20:20, _xlfn.LAMBDA(_xlpm.ARRAY,IF(_xlpm.ARRAY="teleOp", COLUMN(_xlpm.ARRAY), 0))))=0,"",MAX(_xlfn.BYCOL('Prematch Backend 4A'!20:20, _xlfn.LAMBDA(_xlpm.ARRAY,IF(_xlpm.ARRAY="teleOp", COLUMN(_xlpm.ARRAY), 0)))))</f>
        <v/>
      </c>
      <c r="B20" t="str" cm="1">
        <f t="array" ref="B20">IF(A20="","",_xlfn.CHOOSECOLS('Prematch Backend 2A'!20:20,_xlfn.MAKEARRAY(1,A20-2,_xlfn.LAMBDA(_xlpm.r,_xlpm.c,_xlpm.c))))</f>
        <v/>
      </c>
    </row>
    <row r="21" spans="1:2" x14ac:dyDescent="0.2">
      <c r="A21" t="str" cm="1">
        <f t="array" ref="A21">IF(MAX(_xlfn.BYCOL('Prematch Backend 4A'!21:21, _xlfn.LAMBDA(_xlpm.ARRAY,IF(_xlpm.ARRAY="teleOp", COLUMN(_xlpm.ARRAY), 0))))=0,"",MAX(_xlfn.BYCOL('Prematch Backend 4A'!21:21, _xlfn.LAMBDA(_xlpm.ARRAY,IF(_xlpm.ARRAY="teleOp", COLUMN(_xlpm.ARRAY), 0)))))</f>
        <v/>
      </c>
      <c r="B21" t="str" cm="1">
        <f t="array" ref="B21">IF(A21="","",_xlfn.CHOOSECOLS('Prematch Backend 2A'!21:21,_xlfn.MAKEARRAY(1,A21-2,_xlfn.LAMBDA(_xlpm.r,_xlpm.c,_xlpm.c))))</f>
        <v/>
      </c>
    </row>
    <row r="22" spans="1:2" x14ac:dyDescent="0.2">
      <c r="A22" t="str" cm="1">
        <f t="array" ref="A22">IF(MAX(_xlfn.BYCOL('Prematch Backend 4A'!22:22, _xlfn.LAMBDA(_xlpm.ARRAY,IF(_xlpm.ARRAY="teleOp", COLUMN(_xlpm.ARRAY), 0))))=0,"",MAX(_xlfn.BYCOL('Prematch Backend 4A'!22:22, _xlfn.LAMBDA(_xlpm.ARRAY,IF(_xlpm.ARRAY="teleOp", COLUMN(_xlpm.ARRAY), 0)))))</f>
        <v/>
      </c>
      <c r="B22" t="str" cm="1">
        <f t="array" ref="B22">IF(A22="","",_xlfn.CHOOSECOLS('Prematch Backend 2A'!22:22,_xlfn.MAKEARRAY(1,A22-2,_xlfn.LAMBDA(_xlpm.r,_xlpm.c,_xlpm.c))))</f>
        <v/>
      </c>
    </row>
    <row r="23" spans="1:2" x14ac:dyDescent="0.2">
      <c r="A23" t="str" cm="1">
        <f t="array" ref="A23">IF(MAX(_xlfn.BYCOL('Prematch Backend 4A'!23:23, _xlfn.LAMBDA(_xlpm.ARRAY,IF(_xlpm.ARRAY="teleOp", COLUMN(_xlpm.ARRAY), 0))))=0,"",MAX(_xlfn.BYCOL('Prematch Backend 4A'!23:23, _xlfn.LAMBDA(_xlpm.ARRAY,IF(_xlpm.ARRAY="teleOp", COLUMN(_xlpm.ARRAY), 0)))))</f>
        <v/>
      </c>
      <c r="B23" t="str" cm="1">
        <f t="array" ref="B23">IF(A23="","",_xlfn.CHOOSECOLS('Prematch Backend 2A'!23:23,_xlfn.MAKEARRAY(1,A23-2,_xlfn.LAMBDA(_xlpm.r,_xlpm.c,_xlpm.c))))</f>
        <v/>
      </c>
    </row>
    <row r="24" spans="1:2" x14ac:dyDescent="0.2">
      <c r="A24" t="str" cm="1">
        <f t="array" ref="A24">IF(MAX(_xlfn.BYCOL('Prematch Backend 4A'!24:24, _xlfn.LAMBDA(_xlpm.ARRAY,IF(_xlpm.ARRAY="teleOp", COLUMN(_xlpm.ARRAY), 0))))=0,"",MAX(_xlfn.BYCOL('Prematch Backend 4A'!24:24, _xlfn.LAMBDA(_xlpm.ARRAY,IF(_xlpm.ARRAY="teleOp", COLUMN(_xlpm.ARRAY), 0)))))</f>
        <v/>
      </c>
      <c r="B24" t="str" cm="1">
        <f t="array" ref="B24">IF(A24="","",_xlfn.CHOOSECOLS('Prematch Backend 2A'!24:24,_xlfn.MAKEARRAY(1,A24-2,_xlfn.LAMBDA(_xlpm.r,_xlpm.c,_xlpm.c))))</f>
        <v/>
      </c>
    </row>
    <row r="25" spans="1:2" x14ac:dyDescent="0.2">
      <c r="A25" t="str" cm="1">
        <f t="array" ref="A25">IF(MAX(_xlfn.BYCOL('Prematch Backend 4A'!25:25, _xlfn.LAMBDA(_xlpm.ARRAY,IF(_xlpm.ARRAY="teleOp", COLUMN(_xlpm.ARRAY), 0))))=0,"",MAX(_xlfn.BYCOL('Prematch Backend 4A'!25:25, _xlfn.LAMBDA(_xlpm.ARRAY,IF(_xlpm.ARRAY="teleOp", COLUMN(_xlpm.ARRAY), 0)))))</f>
        <v/>
      </c>
      <c r="B25" t="str" cm="1">
        <f t="array" ref="B25">IF(A25="","",_xlfn.CHOOSECOLS('Prematch Backend 2A'!25:25,_xlfn.MAKEARRAY(1,A25-2,_xlfn.LAMBDA(_xlpm.r,_xlpm.c,_xlpm.c))))</f>
        <v/>
      </c>
    </row>
    <row r="26" spans="1:2" x14ac:dyDescent="0.2">
      <c r="A26" t="str" cm="1">
        <f t="array" ref="A26">IF(MAX(_xlfn.BYCOL('Prematch Backend 4A'!26:26, _xlfn.LAMBDA(_xlpm.ARRAY,IF(_xlpm.ARRAY="teleOp", COLUMN(_xlpm.ARRAY), 0))))=0,"",MAX(_xlfn.BYCOL('Prematch Backend 4A'!26:26, _xlfn.LAMBDA(_xlpm.ARRAY,IF(_xlpm.ARRAY="teleOp", COLUMN(_xlpm.ARRAY), 0)))))</f>
        <v/>
      </c>
      <c r="B26" t="str" cm="1">
        <f t="array" ref="B26">IF(A26="","",_xlfn.CHOOSECOLS('Prematch Backend 2A'!26:26,_xlfn.MAKEARRAY(1,A26-2,_xlfn.LAMBDA(_xlpm.r,_xlpm.c,_xlpm.c))))</f>
        <v/>
      </c>
    </row>
    <row r="27" spans="1:2" x14ac:dyDescent="0.2">
      <c r="A27" t="str" cm="1">
        <f t="array" ref="A27">IF(MAX(_xlfn.BYCOL('Prematch Backend 4A'!27:27, _xlfn.LAMBDA(_xlpm.ARRAY,IF(_xlpm.ARRAY="teleOp", COLUMN(_xlpm.ARRAY), 0))))=0,"",MAX(_xlfn.BYCOL('Prematch Backend 4A'!27:27, _xlfn.LAMBDA(_xlpm.ARRAY,IF(_xlpm.ARRAY="teleOp", COLUMN(_xlpm.ARRAY), 0)))))</f>
        <v/>
      </c>
      <c r="B27" t="str" cm="1">
        <f t="array" ref="B27">IF(A27="","",_xlfn.CHOOSECOLS('Prematch Backend 2A'!27:27,_xlfn.MAKEARRAY(1,A27-2,_xlfn.LAMBDA(_xlpm.r,_xlpm.c,_xlpm.c))))</f>
        <v/>
      </c>
    </row>
    <row r="28" spans="1:2" x14ac:dyDescent="0.2">
      <c r="A28" t="str" cm="1">
        <f t="array" ref="A28">IF(MAX(_xlfn.BYCOL('Prematch Backend 4A'!28:28, _xlfn.LAMBDA(_xlpm.ARRAY,IF(_xlpm.ARRAY="teleOp", COLUMN(_xlpm.ARRAY), 0))))=0,"",MAX(_xlfn.BYCOL('Prematch Backend 4A'!28:28, _xlfn.LAMBDA(_xlpm.ARRAY,IF(_xlpm.ARRAY="teleOp", COLUMN(_xlpm.ARRAY), 0)))))</f>
        <v/>
      </c>
      <c r="B28" t="str" cm="1">
        <f t="array" ref="B28">IF(A28="","",_xlfn.CHOOSECOLS('Prematch Backend 2A'!28:28,_xlfn.MAKEARRAY(1,A28-2,_xlfn.LAMBDA(_xlpm.r,_xlpm.c,_xlpm.c))))</f>
        <v/>
      </c>
    </row>
    <row r="29" spans="1:2" x14ac:dyDescent="0.2">
      <c r="A29" t="str" cm="1">
        <f t="array" ref="A29">IF(MAX(_xlfn.BYCOL('Prematch Backend 4A'!29:29, _xlfn.LAMBDA(_xlpm.ARRAY,IF(_xlpm.ARRAY="teleOp", COLUMN(_xlpm.ARRAY), 0))))=0,"",MAX(_xlfn.BYCOL('Prematch Backend 4A'!29:29, _xlfn.LAMBDA(_xlpm.ARRAY,IF(_xlpm.ARRAY="teleOp", COLUMN(_xlpm.ARRAY), 0)))))</f>
        <v/>
      </c>
      <c r="B29" t="str" cm="1">
        <f t="array" ref="B29">IF(A29="","",_xlfn.CHOOSECOLS('Prematch Backend 2A'!29:29,_xlfn.MAKEARRAY(1,A29-2,_xlfn.LAMBDA(_xlpm.r,_xlpm.c,_xlpm.c))))</f>
        <v/>
      </c>
    </row>
    <row r="30" spans="1:2" x14ac:dyDescent="0.2">
      <c r="A30" t="str" cm="1">
        <f t="array" ref="A30">IF(MAX(_xlfn.BYCOL('Prematch Backend 4A'!30:30, _xlfn.LAMBDA(_xlpm.ARRAY,IF(_xlpm.ARRAY="teleOp", COLUMN(_xlpm.ARRAY), 0))))=0,"",MAX(_xlfn.BYCOL('Prematch Backend 4A'!30:30, _xlfn.LAMBDA(_xlpm.ARRAY,IF(_xlpm.ARRAY="teleOp", COLUMN(_xlpm.ARRAY), 0)))))</f>
        <v/>
      </c>
      <c r="B30" t="str" cm="1">
        <f t="array" ref="B30">IF(A30="","",_xlfn.CHOOSECOLS('Prematch Backend 2A'!30:30,_xlfn.MAKEARRAY(1,A30-2,_xlfn.LAMBDA(_xlpm.r,_xlpm.c,_xlpm.c))))</f>
        <v/>
      </c>
    </row>
    <row r="31" spans="1:2" x14ac:dyDescent="0.2">
      <c r="A31" t="str" cm="1">
        <f t="array" ref="A31">IF(MAX(_xlfn.BYCOL('Prematch Backend 4A'!31:31, _xlfn.LAMBDA(_xlpm.ARRAY,IF(_xlpm.ARRAY="teleOp", COLUMN(_xlpm.ARRAY), 0))))=0,"",MAX(_xlfn.BYCOL('Prematch Backend 4A'!31:31, _xlfn.LAMBDA(_xlpm.ARRAY,IF(_xlpm.ARRAY="teleOp", COLUMN(_xlpm.ARRAY), 0)))))</f>
        <v/>
      </c>
      <c r="B31" t="str" cm="1">
        <f t="array" ref="B31">IF(A31="","",_xlfn.CHOOSECOLS('Prematch Backend 2A'!31:31,_xlfn.MAKEARRAY(1,A31-2,_xlfn.LAMBDA(_xlpm.r,_xlpm.c,_xlpm.c))))</f>
        <v/>
      </c>
    </row>
    <row r="32" spans="1:2" x14ac:dyDescent="0.2">
      <c r="A32" t="str" cm="1">
        <f t="array" ref="A32">IF(MAX(_xlfn.BYCOL('Prematch Backend 4A'!32:32, _xlfn.LAMBDA(_xlpm.ARRAY,IF(_xlpm.ARRAY="teleOp", COLUMN(_xlpm.ARRAY), 0))))=0,"",MAX(_xlfn.BYCOL('Prematch Backend 4A'!32:32, _xlfn.LAMBDA(_xlpm.ARRAY,IF(_xlpm.ARRAY="teleOp", COLUMN(_xlpm.ARRAY), 0)))))</f>
        <v/>
      </c>
      <c r="B32" t="str" cm="1">
        <f t="array" ref="B32">IF(A32="","",_xlfn.CHOOSECOLS('Prematch Backend 2A'!32:32,_xlfn.MAKEARRAY(1,A32-2,_xlfn.LAMBDA(_xlpm.r,_xlpm.c,_xlpm.c))))</f>
        <v/>
      </c>
    </row>
    <row r="33" spans="1:2" x14ac:dyDescent="0.2">
      <c r="A33" t="str" cm="1">
        <f t="array" ref="A33">IF(MAX(_xlfn.BYCOL('Prematch Backend 4A'!33:33, _xlfn.LAMBDA(_xlpm.ARRAY,IF(_xlpm.ARRAY="teleOp", COLUMN(_xlpm.ARRAY), 0))))=0,"",MAX(_xlfn.BYCOL('Prematch Backend 4A'!33:33, _xlfn.LAMBDA(_xlpm.ARRAY,IF(_xlpm.ARRAY="teleOp", COLUMN(_xlpm.ARRAY), 0)))))</f>
        <v/>
      </c>
      <c r="B33" t="str" cm="1">
        <f t="array" ref="B33">IF(A33="","",_xlfn.CHOOSECOLS('Prematch Backend 2A'!33:33,_xlfn.MAKEARRAY(1,A33-2,_xlfn.LAMBDA(_xlpm.r,_xlpm.c,_xlpm.c))))</f>
        <v/>
      </c>
    </row>
    <row r="34" spans="1:2" x14ac:dyDescent="0.2">
      <c r="A34" t="str" cm="1">
        <f t="array" ref="A34">IF(MAX(_xlfn.BYCOL('Prematch Backend 4A'!34:34, _xlfn.LAMBDA(_xlpm.ARRAY,IF(_xlpm.ARRAY="teleOp", COLUMN(_xlpm.ARRAY), 0))))=0,"",MAX(_xlfn.BYCOL('Prematch Backend 4A'!34:34, _xlfn.LAMBDA(_xlpm.ARRAY,IF(_xlpm.ARRAY="teleOp", COLUMN(_xlpm.ARRAY), 0)))))</f>
        <v/>
      </c>
      <c r="B34" t="str" cm="1">
        <f t="array" ref="B34">IF(A34="","",_xlfn.CHOOSECOLS('Prematch Backend 2A'!34:34,_xlfn.MAKEARRAY(1,A34-2,_xlfn.LAMBDA(_xlpm.r,_xlpm.c,_xlpm.c))))</f>
        <v/>
      </c>
    </row>
    <row r="35" spans="1:2" x14ac:dyDescent="0.2">
      <c r="A35" t="str" cm="1">
        <f t="array" ref="A35">IF(MAX(_xlfn.BYCOL('Prematch Backend 4A'!35:35, _xlfn.LAMBDA(_xlpm.ARRAY,IF(_xlpm.ARRAY="teleOp", COLUMN(_xlpm.ARRAY), 0))))=0,"",MAX(_xlfn.BYCOL('Prematch Backend 4A'!35:35, _xlfn.LAMBDA(_xlpm.ARRAY,IF(_xlpm.ARRAY="teleOp", COLUMN(_xlpm.ARRAY), 0)))))</f>
        <v/>
      </c>
      <c r="B35" t="str" cm="1">
        <f t="array" ref="B35">IF(A35="","",_xlfn.CHOOSECOLS('Prematch Backend 2A'!35:35,_xlfn.MAKEARRAY(1,A35-2,_xlfn.LAMBDA(_xlpm.r,_xlpm.c,_xlpm.c))))</f>
        <v/>
      </c>
    </row>
    <row r="36" spans="1:2" x14ac:dyDescent="0.2">
      <c r="A36" t="str" cm="1">
        <f t="array" ref="A36">IF(MAX(_xlfn.BYCOL('Prematch Backend 4A'!36:36, _xlfn.LAMBDA(_xlpm.ARRAY,IF(_xlpm.ARRAY="teleOp", COLUMN(_xlpm.ARRAY), 0))))=0,"",MAX(_xlfn.BYCOL('Prematch Backend 4A'!36:36, _xlfn.LAMBDA(_xlpm.ARRAY,IF(_xlpm.ARRAY="teleOp", COLUMN(_xlpm.ARRAY), 0)))))</f>
        <v/>
      </c>
      <c r="B36" t="str" cm="1">
        <f t="array" ref="B36">IF(A36="","",_xlfn.CHOOSECOLS('Prematch Backend 2A'!36:36,_xlfn.MAKEARRAY(1,A36-2,_xlfn.LAMBDA(_xlpm.r,_xlpm.c,_xlpm.c))))</f>
        <v/>
      </c>
    </row>
    <row r="37" spans="1:2" x14ac:dyDescent="0.2">
      <c r="A37" t="str" cm="1">
        <f t="array" ref="A37">IF(MAX(_xlfn.BYCOL('Prematch Backend 4A'!37:37, _xlfn.LAMBDA(_xlpm.ARRAY,IF(_xlpm.ARRAY="teleOp", COLUMN(_xlpm.ARRAY), 0))))=0,"",MAX(_xlfn.BYCOL('Prematch Backend 4A'!37:37, _xlfn.LAMBDA(_xlpm.ARRAY,IF(_xlpm.ARRAY="teleOp", COLUMN(_xlpm.ARRAY), 0)))))</f>
        <v/>
      </c>
      <c r="B37" t="str" cm="1">
        <f t="array" ref="B37">IF(A37="","",_xlfn.CHOOSECOLS('Prematch Backend 2A'!37:37,_xlfn.MAKEARRAY(1,A37-2,_xlfn.LAMBDA(_xlpm.r,_xlpm.c,_xlpm.c))))</f>
        <v/>
      </c>
    </row>
    <row r="38" spans="1:2" x14ac:dyDescent="0.2">
      <c r="A38" t="str" cm="1">
        <f t="array" ref="A38">IF(MAX(_xlfn.BYCOL('Prematch Backend 4A'!38:38, _xlfn.LAMBDA(_xlpm.ARRAY,IF(_xlpm.ARRAY="teleOp", COLUMN(_xlpm.ARRAY), 0))))=0,"",MAX(_xlfn.BYCOL('Prematch Backend 4A'!38:38, _xlfn.LAMBDA(_xlpm.ARRAY,IF(_xlpm.ARRAY="teleOp", COLUMN(_xlpm.ARRAY), 0)))))</f>
        <v/>
      </c>
      <c r="B38" t="str" cm="1">
        <f t="array" ref="B38">IF(A38="","",_xlfn.CHOOSECOLS('Prematch Backend 2A'!38:38,_xlfn.MAKEARRAY(1,A38-2,_xlfn.LAMBDA(_xlpm.r,_xlpm.c,_xlpm.c))))</f>
        <v/>
      </c>
    </row>
    <row r="39" spans="1:2" x14ac:dyDescent="0.2">
      <c r="A39" t="str" cm="1">
        <f t="array" ref="A39">IF(MAX(_xlfn.BYCOL('Prematch Backend 4A'!39:39, _xlfn.LAMBDA(_xlpm.ARRAY,IF(_xlpm.ARRAY="teleOp", COLUMN(_xlpm.ARRAY), 0))))=0,"",MAX(_xlfn.BYCOL('Prematch Backend 4A'!39:39, _xlfn.LAMBDA(_xlpm.ARRAY,IF(_xlpm.ARRAY="teleOp", COLUMN(_xlpm.ARRAY), 0)))))</f>
        <v/>
      </c>
      <c r="B39" t="str" cm="1">
        <f t="array" ref="B39">IF(A39="","",_xlfn.CHOOSECOLS('Prematch Backend 2A'!39:39,_xlfn.MAKEARRAY(1,A39-2,_xlfn.LAMBDA(_xlpm.r,_xlpm.c,_xlpm.c))))</f>
        <v/>
      </c>
    </row>
    <row r="40" spans="1:2" x14ac:dyDescent="0.2">
      <c r="A40" t="str" cm="1">
        <f t="array" ref="A40">IF(MAX(_xlfn.BYCOL('Prematch Backend 4A'!40:40, _xlfn.LAMBDA(_xlpm.ARRAY,IF(_xlpm.ARRAY="teleOp", COLUMN(_xlpm.ARRAY), 0))))=0,"",MAX(_xlfn.BYCOL('Prematch Backend 4A'!40:40, _xlfn.LAMBDA(_xlpm.ARRAY,IF(_xlpm.ARRAY="teleOp", COLUMN(_xlpm.ARRAY), 0)))))</f>
        <v/>
      </c>
      <c r="B40" t="str" cm="1">
        <f t="array" ref="B40">IF(A40="","",_xlfn.CHOOSECOLS('Prematch Backend 2A'!40:40,_xlfn.MAKEARRAY(1,A40-2,_xlfn.LAMBDA(_xlpm.r,_xlpm.c,_xlpm.c))))</f>
        <v/>
      </c>
    </row>
    <row r="41" spans="1:2" x14ac:dyDescent="0.2">
      <c r="A41" t="str" cm="1">
        <f t="array" ref="A41">IF(MAX(_xlfn.BYCOL('Prematch Backend 4A'!41:41, _xlfn.LAMBDA(_xlpm.ARRAY,IF(_xlpm.ARRAY="teleOp", COLUMN(_xlpm.ARRAY), 0))))=0,"",MAX(_xlfn.BYCOL('Prematch Backend 4A'!41:41, _xlfn.LAMBDA(_xlpm.ARRAY,IF(_xlpm.ARRAY="teleOp", COLUMN(_xlpm.ARRAY), 0)))))</f>
        <v/>
      </c>
      <c r="B41" t="str" cm="1">
        <f t="array" ref="B41">IF(A41="","",_xlfn.CHOOSECOLS('Prematch Backend 2A'!41:41,_xlfn.MAKEARRAY(1,A41-2,_xlfn.LAMBDA(_xlpm.r,_xlpm.c,_xlpm.c))))</f>
        <v/>
      </c>
    </row>
    <row r="42" spans="1:2" x14ac:dyDescent="0.2">
      <c r="A42" t="str" cm="1">
        <f t="array" ref="A42">IF(MAX(_xlfn.BYCOL('Prematch Backend 4A'!42:42, _xlfn.LAMBDA(_xlpm.ARRAY,IF(_xlpm.ARRAY="teleOp", COLUMN(_xlpm.ARRAY), 0))))=0,"",MAX(_xlfn.BYCOL('Prematch Backend 4A'!42:42, _xlfn.LAMBDA(_xlpm.ARRAY,IF(_xlpm.ARRAY="teleOp", COLUMN(_xlpm.ARRAY), 0)))))</f>
        <v/>
      </c>
      <c r="B42" t="str" cm="1">
        <f t="array" ref="B42">IF(A42="","",_xlfn.CHOOSECOLS('Prematch Backend 2A'!42:42,_xlfn.MAKEARRAY(1,A42-2,_xlfn.LAMBDA(_xlpm.r,_xlpm.c,_xlpm.c))))</f>
        <v/>
      </c>
    </row>
    <row r="43" spans="1:2" x14ac:dyDescent="0.2">
      <c r="A43" t="str" cm="1">
        <f t="array" ref="A43">IF(MAX(_xlfn.BYCOL('Prematch Backend 4A'!43:43, _xlfn.LAMBDA(_xlpm.ARRAY,IF(_xlpm.ARRAY="teleOp", COLUMN(_xlpm.ARRAY), 0))))=0,"",MAX(_xlfn.BYCOL('Prematch Backend 4A'!43:43, _xlfn.LAMBDA(_xlpm.ARRAY,IF(_xlpm.ARRAY="teleOp", COLUMN(_xlpm.ARRAY), 0)))))</f>
        <v/>
      </c>
      <c r="B43" t="str" cm="1">
        <f t="array" ref="B43">IF(A43="","",_xlfn.CHOOSECOLS('Prematch Backend 2A'!43:43,_xlfn.MAKEARRAY(1,A43-2,_xlfn.LAMBDA(_xlpm.r,_xlpm.c,_xlpm.c))))</f>
        <v/>
      </c>
    </row>
    <row r="44" spans="1:2" x14ac:dyDescent="0.2">
      <c r="A44" t="str" cm="1">
        <f t="array" ref="A44">IF(MAX(_xlfn.BYCOL('Prematch Backend 4A'!44:44, _xlfn.LAMBDA(_xlpm.ARRAY,IF(_xlpm.ARRAY="teleOp", COLUMN(_xlpm.ARRAY), 0))))=0,"",MAX(_xlfn.BYCOL('Prematch Backend 4A'!44:44, _xlfn.LAMBDA(_xlpm.ARRAY,IF(_xlpm.ARRAY="teleOp", COLUMN(_xlpm.ARRAY), 0)))))</f>
        <v/>
      </c>
      <c r="B44" t="str" cm="1">
        <f t="array" ref="B44">IF(A44="","",_xlfn.CHOOSECOLS('Prematch Backend 2A'!44:44,_xlfn.MAKEARRAY(1,A44-2,_xlfn.LAMBDA(_xlpm.r,_xlpm.c,_xlpm.c))))</f>
        <v/>
      </c>
    </row>
    <row r="45" spans="1:2" x14ac:dyDescent="0.2">
      <c r="A45" t="str" cm="1">
        <f t="array" ref="A45">IF(MAX(_xlfn.BYCOL('Prematch Backend 4A'!45:45, _xlfn.LAMBDA(_xlpm.ARRAY,IF(_xlpm.ARRAY="teleOp", COLUMN(_xlpm.ARRAY), 0))))=0,"",MAX(_xlfn.BYCOL('Prematch Backend 4A'!45:45, _xlfn.LAMBDA(_xlpm.ARRAY,IF(_xlpm.ARRAY="teleOp", COLUMN(_xlpm.ARRAY), 0)))))</f>
        <v/>
      </c>
      <c r="B45" t="str" cm="1">
        <f t="array" ref="B45">IF(A45="","",_xlfn.CHOOSECOLS('Prematch Backend 2A'!45:45,_xlfn.MAKEARRAY(1,A45-2,_xlfn.LAMBDA(_xlpm.r,_xlpm.c,_xlpm.c))))</f>
        <v/>
      </c>
    </row>
    <row r="46" spans="1:2" x14ac:dyDescent="0.2">
      <c r="A46" t="str" cm="1">
        <f t="array" ref="A46">IF(MAX(_xlfn.BYCOL('Prematch Backend 4A'!46:46, _xlfn.LAMBDA(_xlpm.ARRAY,IF(_xlpm.ARRAY="teleOp", COLUMN(_xlpm.ARRAY), 0))))=0,"",MAX(_xlfn.BYCOL('Prematch Backend 4A'!46:46, _xlfn.LAMBDA(_xlpm.ARRAY,IF(_xlpm.ARRAY="teleOp", COLUMN(_xlpm.ARRAY), 0)))))</f>
        <v/>
      </c>
      <c r="B46" t="str" cm="1">
        <f t="array" ref="B46">IF(A46="","",_xlfn.CHOOSECOLS('Prematch Backend 2A'!46:46,_xlfn.MAKEARRAY(1,A46-2,_xlfn.LAMBDA(_xlpm.r,_xlpm.c,_xlpm.c))))</f>
        <v/>
      </c>
    </row>
    <row r="47" spans="1:2" x14ac:dyDescent="0.2">
      <c r="A47" t="str" cm="1">
        <f t="array" ref="A47">IF(MAX(_xlfn.BYCOL('Prematch Backend 4A'!47:47, _xlfn.LAMBDA(_xlpm.ARRAY,IF(_xlpm.ARRAY="teleOp", COLUMN(_xlpm.ARRAY), 0))))=0,"",MAX(_xlfn.BYCOL('Prematch Backend 4A'!47:47, _xlfn.LAMBDA(_xlpm.ARRAY,IF(_xlpm.ARRAY="teleOp", COLUMN(_xlpm.ARRAY), 0)))))</f>
        <v/>
      </c>
      <c r="B47" t="str" cm="1">
        <f t="array" ref="B47">IF(A47="","",_xlfn.CHOOSECOLS('Prematch Backend 2A'!47:47,_xlfn.MAKEARRAY(1,A47-2,_xlfn.LAMBDA(_xlpm.r,_xlpm.c,_xlpm.c))))</f>
        <v/>
      </c>
    </row>
    <row r="48" spans="1:2" x14ac:dyDescent="0.2">
      <c r="A48" t="str" cm="1">
        <f t="array" ref="A48">IF(MAX(_xlfn.BYCOL('Prematch Backend 4A'!48:48, _xlfn.LAMBDA(_xlpm.ARRAY,IF(_xlpm.ARRAY="teleOp", COLUMN(_xlpm.ARRAY), 0))))=0,"",MAX(_xlfn.BYCOL('Prematch Backend 4A'!48:48, _xlfn.LAMBDA(_xlpm.ARRAY,IF(_xlpm.ARRAY="teleOp", COLUMN(_xlpm.ARRAY), 0)))))</f>
        <v/>
      </c>
      <c r="B48" t="str" cm="1">
        <f t="array" ref="B48">IF(A48="","",_xlfn.CHOOSECOLS('Prematch Backend 2A'!48:48,_xlfn.MAKEARRAY(1,A48-2,_xlfn.LAMBDA(_xlpm.r,_xlpm.c,_xlpm.c))))</f>
        <v/>
      </c>
    </row>
    <row r="49" spans="1:2" x14ac:dyDescent="0.2">
      <c r="A49" t="str" cm="1">
        <f t="array" ref="A49">IF(MAX(_xlfn.BYCOL('Prematch Backend 4A'!49:49, _xlfn.LAMBDA(_xlpm.ARRAY,IF(_xlpm.ARRAY="teleOp", COLUMN(_xlpm.ARRAY), 0))))=0,"",MAX(_xlfn.BYCOL('Prematch Backend 4A'!49:49, _xlfn.LAMBDA(_xlpm.ARRAY,IF(_xlpm.ARRAY="teleOp", COLUMN(_xlpm.ARRAY), 0)))))</f>
        <v/>
      </c>
      <c r="B49" t="str" cm="1">
        <f t="array" ref="B49">IF(A49="","",_xlfn.CHOOSECOLS('Prematch Backend 2A'!49:49,_xlfn.MAKEARRAY(1,A49-2,_xlfn.LAMBDA(_xlpm.r,_xlpm.c,_xlpm.c))))</f>
        <v/>
      </c>
    </row>
    <row r="50" spans="1:2" x14ac:dyDescent="0.2">
      <c r="A50" t="str" cm="1">
        <f t="array" ref="A50">IF(MAX(_xlfn.BYCOL('Prematch Backend 4A'!50:50, _xlfn.LAMBDA(_xlpm.ARRAY,IF(_xlpm.ARRAY="teleOp", COLUMN(_xlpm.ARRAY), 0))))=0,"",MAX(_xlfn.BYCOL('Prematch Backend 4A'!50:50, _xlfn.LAMBDA(_xlpm.ARRAY,IF(_xlpm.ARRAY="teleOp", COLUMN(_xlpm.ARRAY), 0)))))</f>
        <v/>
      </c>
      <c r="B50" t="str" cm="1">
        <f t="array" ref="B50">IF(A50="","",_xlfn.CHOOSECOLS('Prematch Backend 2A'!50:50,_xlfn.MAKEARRAY(1,A50-2,_xlfn.LAMBDA(_xlpm.r,_xlpm.c,_xlpm.c))))</f>
        <v/>
      </c>
    </row>
    <row r="51" spans="1:2" x14ac:dyDescent="0.2">
      <c r="A51" t="str" cm="1">
        <f t="array" ref="A51">IF(MAX(_xlfn.BYCOL('Prematch Backend 4A'!51:51, _xlfn.LAMBDA(_xlpm.ARRAY,IF(_xlpm.ARRAY="teleOp", COLUMN(_xlpm.ARRAY), 0))))=0,"",MAX(_xlfn.BYCOL('Prematch Backend 4A'!51:51, _xlfn.LAMBDA(_xlpm.ARRAY,IF(_xlpm.ARRAY="teleOp", COLUMN(_xlpm.ARRAY), 0)))))</f>
        <v/>
      </c>
      <c r="B51" t="str" cm="1">
        <f t="array" ref="B51">IF(A51="","",_xlfn.CHOOSECOLS('Prematch Backend 2A'!51:51,_xlfn.MAKEARRAY(1,A51-2,_xlfn.LAMBDA(_xlpm.r,_xlpm.c,_xlpm.c))))</f>
        <v/>
      </c>
    </row>
    <row r="52" spans="1:2" x14ac:dyDescent="0.2">
      <c r="A52" t="str" cm="1">
        <f t="array" ref="A52">IF(MAX(_xlfn.BYCOL('Prematch Backend 4A'!52:52, _xlfn.LAMBDA(_xlpm.ARRAY,IF(_xlpm.ARRAY="teleOp", COLUMN(_xlpm.ARRAY), 0))))=0,"",MAX(_xlfn.BYCOL('Prematch Backend 4A'!52:52, _xlfn.LAMBDA(_xlpm.ARRAY,IF(_xlpm.ARRAY="teleOp", COLUMN(_xlpm.ARRAY), 0)))))</f>
        <v/>
      </c>
      <c r="B52" t="str" cm="1">
        <f t="array" ref="B52">IF(A52="","",_xlfn.CHOOSECOLS('Prematch Backend 2A'!52:52,_xlfn.MAKEARRAY(1,A52-2,_xlfn.LAMBDA(_xlpm.r,_xlpm.c,_xlpm.c))))</f>
        <v/>
      </c>
    </row>
    <row r="53" spans="1:2" x14ac:dyDescent="0.2">
      <c r="A53" t="str" cm="1">
        <f t="array" ref="A53">IF(MAX(_xlfn.BYCOL('Prematch Backend 4A'!53:53, _xlfn.LAMBDA(_xlpm.ARRAY,IF(_xlpm.ARRAY="teleOp", COLUMN(_xlpm.ARRAY), 0))))=0,"",MAX(_xlfn.BYCOL('Prematch Backend 4A'!53:53, _xlfn.LAMBDA(_xlpm.ARRAY,IF(_xlpm.ARRAY="teleOp", COLUMN(_xlpm.ARRAY), 0)))))</f>
        <v/>
      </c>
      <c r="B53" t="str" cm="1">
        <f t="array" ref="B53">IF(A53="","",_xlfn.CHOOSECOLS('Prematch Backend 2A'!53:53,_xlfn.MAKEARRAY(1,A53-2,_xlfn.LAMBDA(_xlpm.r,_xlpm.c,_xlpm.c))))</f>
        <v/>
      </c>
    </row>
    <row r="54" spans="1:2" x14ac:dyDescent="0.2">
      <c r="A54" t="str" cm="1">
        <f t="array" ref="A54">IF(MAX(_xlfn.BYCOL('Prematch Backend 4A'!54:54, _xlfn.LAMBDA(_xlpm.ARRAY,IF(_xlpm.ARRAY="teleOp", COLUMN(_xlpm.ARRAY), 0))))=0,"",MAX(_xlfn.BYCOL('Prematch Backend 4A'!54:54, _xlfn.LAMBDA(_xlpm.ARRAY,IF(_xlpm.ARRAY="teleOp", COLUMN(_xlpm.ARRAY), 0)))))</f>
        <v/>
      </c>
      <c r="B54" t="str" cm="1">
        <f t="array" ref="B54">IF(A54="","",_xlfn.CHOOSECOLS('Prematch Backend 2A'!54:54,_xlfn.MAKEARRAY(1,A54-2,_xlfn.LAMBDA(_xlpm.r,_xlpm.c,_xlpm.c))))</f>
        <v/>
      </c>
    </row>
    <row r="55" spans="1:2" x14ac:dyDescent="0.2">
      <c r="A55" t="str" cm="1">
        <f t="array" ref="A55">IF(MAX(_xlfn.BYCOL('Prematch Backend 4A'!55:55, _xlfn.LAMBDA(_xlpm.ARRAY,IF(_xlpm.ARRAY="teleOp", COLUMN(_xlpm.ARRAY), 0))))=0,"",MAX(_xlfn.BYCOL('Prematch Backend 4A'!55:55, _xlfn.LAMBDA(_xlpm.ARRAY,IF(_xlpm.ARRAY="teleOp", COLUMN(_xlpm.ARRAY), 0)))))</f>
        <v/>
      </c>
      <c r="B55" t="str" cm="1">
        <f t="array" ref="B55">IF(A55="","",_xlfn.CHOOSECOLS('Prematch Backend 2A'!55:55,_xlfn.MAKEARRAY(1,A55-2,_xlfn.LAMBDA(_xlpm.r,_xlpm.c,_xlpm.c))))</f>
        <v/>
      </c>
    </row>
    <row r="56" spans="1:2" x14ac:dyDescent="0.2">
      <c r="A56" t="str" cm="1">
        <f t="array" ref="A56">IF(MAX(_xlfn.BYCOL('Prematch Backend 4A'!56:56, _xlfn.LAMBDA(_xlpm.ARRAY,IF(_xlpm.ARRAY="teleOp", COLUMN(_xlpm.ARRAY), 0))))=0,"",MAX(_xlfn.BYCOL('Prematch Backend 4A'!56:56, _xlfn.LAMBDA(_xlpm.ARRAY,IF(_xlpm.ARRAY="teleOp", COLUMN(_xlpm.ARRAY), 0)))))</f>
        <v/>
      </c>
      <c r="B56" t="str" cm="1">
        <f t="array" ref="B56">IF(A56="","",_xlfn.CHOOSECOLS('Prematch Backend 2A'!56:56,_xlfn.MAKEARRAY(1,A56-2,_xlfn.LAMBDA(_xlpm.r,_xlpm.c,_xlpm.c))))</f>
        <v/>
      </c>
    </row>
    <row r="57" spans="1:2" x14ac:dyDescent="0.2">
      <c r="A57" t="str" cm="1">
        <f t="array" ref="A57">IF(MAX(_xlfn.BYCOL('Prematch Backend 4A'!57:57, _xlfn.LAMBDA(_xlpm.ARRAY,IF(_xlpm.ARRAY="teleOp", COLUMN(_xlpm.ARRAY), 0))))=0,"",MAX(_xlfn.BYCOL('Prematch Backend 4A'!57:57, _xlfn.LAMBDA(_xlpm.ARRAY,IF(_xlpm.ARRAY="teleOp", COLUMN(_xlpm.ARRAY), 0)))))</f>
        <v/>
      </c>
      <c r="B57" t="str" cm="1">
        <f t="array" ref="B57">IF(A57="","",_xlfn.CHOOSECOLS('Prematch Backend 2A'!57:57,_xlfn.MAKEARRAY(1,A57-2,_xlfn.LAMBDA(_xlpm.r,_xlpm.c,_xlpm.c))))</f>
        <v/>
      </c>
    </row>
    <row r="58" spans="1:2" x14ac:dyDescent="0.2">
      <c r="A58" t="str" cm="1">
        <f t="array" ref="A58">IF(MAX(_xlfn.BYCOL('Prematch Backend 4A'!58:58, _xlfn.LAMBDA(_xlpm.ARRAY,IF(_xlpm.ARRAY="teleOp", COLUMN(_xlpm.ARRAY), 0))))=0,"",MAX(_xlfn.BYCOL('Prematch Backend 4A'!58:58, _xlfn.LAMBDA(_xlpm.ARRAY,IF(_xlpm.ARRAY="teleOp", COLUMN(_xlpm.ARRAY), 0)))))</f>
        <v/>
      </c>
      <c r="B58" t="str" cm="1">
        <f t="array" ref="B58">IF(A58="","",_xlfn.CHOOSECOLS('Prematch Backend 2A'!58:58,_xlfn.MAKEARRAY(1,A58-2,_xlfn.LAMBDA(_xlpm.r,_xlpm.c,_xlpm.c))))</f>
        <v/>
      </c>
    </row>
    <row r="59" spans="1:2" x14ac:dyDescent="0.2">
      <c r="A59" t="str" cm="1">
        <f t="array" ref="A59">IF(MAX(_xlfn.BYCOL('Prematch Backend 4A'!59:59, _xlfn.LAMBDA(_xlpm.ARRAY,IF(_xlpm.ARRAY="teleOp", COLUMN(_xlpm.ARRAY), 0))))=0,"",MAX(_xlfn.BYCOL('Prematch Backend 4A'!59:59, _xlfn.LAMBDA(_xlpm.ARRAY,IF(_xlpm.ARRAY="teleOp", COLUMN(_xlpm.ARRAY), 0)))))</f>
        <v/>
      </c>
      <c r="B59" t="str" cm="1">
        <f t="array" ref="B59">IF(A59="","",_xlfn.CHOOSECOLS('Prematch Backend 2A'!59:59,_xlfn.MAKEARRAY(1,A59-2,_xlfn.LAMBDA(_xlpm.r,_xlpm.c,_xlpm.c))))</f>
        <v/>
      </c>
    </row>
    <row r="60" spans="1:2" x14ac:dyDescent="0.2">
      <c r="A60" t="str" cm="1">
        <f t="array" ref="A60">IF(MAX(_xlfn.BYCOL('Prematch Backend 4A'!60:60, _xlfn.LAMBDA(_xlpm.ARRAY,IF(_xlpm.ARRAY="teleOp", COLUMN(_xlpm.ARRAY), 0))))=0,"",MAX(_xlfn.BYCOL('Prematch Backend 4A'!60:60, _xlfn.LAMBDA(_xlpm.ARRAY,IF(_xlpm.ARRAY="teleOp", COLUMN(_xlpm.ARRAY), 0)))))</f>
        <v/>
      </c>
      <c r="B60" t="str" cm="1">
        <f t="array" ref="B60">IF(A60="","",_xlfn.CHOOSECOLS('Prematch Backend 2A'!60:60,_xlfn.MAKEARRAY(1,A60-2,_xlfn.LAMBDA(_xlpm.r,_xlpm.c,_xlpm.c))))</f>
        <v/>
      </c>
    </row>
    <row r="61" spans="1:2" x14ac:dyDescent="0.2">
      <c r="A61" t="str" cm="1">
        <f t="array" ref="A61">IF(MAX(_xlfn.BYCOL('Prematch Backend 4A'!61:61, _xlfn.LAMBDA(_xlpm.ARRAY,IF(_xlpm.ARRAY="teleOp", COLUMN(_xlpm.ARRAY), 0))))=0,"",MAX(_xlfn.BYCOL('Prematch Backend 4A'!61:61, _xlfn.LAMBDA(_xlpm.ARRAY,IF(_xlpm.ARRAY="teleOp", COLUMN(_xlpm.ARRAY), 0)))))</f>
        <v/>
      </c>
      <c r="B61" t="str" cm="1">
        <f t="array" ref="B61">IF(A61="","",_xlfn.CHOOSECOLS('Prematch Backend 2A'!61:61,_xlfn.MAKEARRAY(1,A61-2,_xlfn.LAMBDA(_xlpm.r,_xlpm.c,_xlpm.c))))</f>
        <v/>
      </c>
    </row>
    <row r="62" spans="1:2" x14ac:dyDescent="0.2">
      <c r="A62" t="str" cm="1">
        <f t="array" ref="A62">IF(MAX(_xlfn.BYCOL('Prematch Backend 4A'!62:62, _xlfn.LAMBDA(_xlpm.ARRAY,IF(_xlpm.ARRAY="teleOp", COLUMN(_xlpm.ARRAY), 0))))=0,"",MAX(_xlfn.BYCOL('Prematch Backend 4A'!62:62, _xlfn.LAMBDA(_xlpm.ARRAY,IF(_xlpm.ARRAY="teleOp", COLUMN(_xlpm.ARRAY), 0)))))</f>
        <v/>
      </c>
      <c r="B62" t="str" cm="1">
        <f t="array" ref="B62">IF(A62="","",_xlfn.CHOOSECOLS('Prematch Backend 2A'!62:62,_xlfn.MAKEARRAY(1,A62-2,_xlfn.LAMBDA(_xlpm.r,_xlpm.c,_xlpm.c))))</f>
        <v/>
      </c>
    </row>
    <row r="63" spans="1:2" x14ac:dyDescent="0.2">
      <c r="A63" t="str" cm="1">
        <f t="array" ref="A63">IF(MAX(_xlfn.BYCOL('Prematch Backend 4A'!63:63, _xlfn.LAMBDA(_xlpm.ARRAY,IF(_xlpm.ARRAY="teleOp", COLUMN(_xlpm.ARRAY), 0))))=0,"",MAX(_xlfn.BYCOL('Prematch Backend 4A'!63:63, _xlfn.LAMBDA(_xlpm.ARRAY,IF(_xlpm.ARRAY="teleOp", COLUMN(_xlpm.ARRAY), 0)))))</f>
        <v/>
      </c>
      <c r="B63" t="str" cm="1">
        <f t="array" ref="B63">IF(A63="","",_xlfn.CHOOSECOLS('Prematch Backend 2A'!63:63,_xlfn.MAKEARRAY(1,A63-2,_xlfn.LAMBDA(_xlpm.r,_xlpm.c,_xlpm.c))))</f>
        <v/>
      </c>
    </row>
    <row r="64" spans="1:2" x14ac:dyDescent="0.2">
      <c r="A64" t="str" cm="1">
        <f t="array" ref="A64">IF(MAX(_xlfn.BYCOL('Prematch Backend 4A'!64:64, _xlfn.LAMBDA(_xlpm.ARRAY,IF(_xlpm.ARRAY="teleOp", COLUMN(_xlpm.ARRAY), 0))))=0,"",MAX(_xlfn.BYCOL('Prematch Backend 4A'!64:64, _xlfn.LAMBDA(_xlpm.ARRAY,IF(_xlpm.ARRAY="teleOp", COLUMN(_xlpm.ARRAY), 0)))))</f>
        <v/>
      </c>
      <c r="B64" t="str" cm="1">
        <f t="array" ref="B64">IF(A64="","",_xlfn.CHOOSECOLS('Prematch Backend 2A'!64:64,_xlfn.MAKEARRAY(1,A64-2,_xlfn.LAMBDA(_xlpm.r,_xlpm.c,_xlpm.c))))</f>
        <v/>
      </c>
    </row>
    <row r="65" spans="1:2" x14ac:dyDescent="0.2">
      <c r="A65" t="str" cm="1">
        <f t="array" ref="A65">IF(MAX(_xlfn.BYCOL('Prematch Backend 4A'!65:65, _xlfn.LAMBDA(_xlpm.ARRAY,IF(_xlpm.ARRAY="teleOp", COLUMN(_xlpm.ARRAY), 0))))=0,"",MAX(_xlfn.BYCOL('Prematch Backend 4A'!65:65, _xlfn.LAMBDA(_xlpm.ARRAY,IF(_xlpm.ARRAY="teleOp", COLUMN(_xlpm.ARRAY), 0)))))</f>
        <v/>
      </c>
      <c r="B65" t="str" cm="1">
        <f t="array" ref="B65">IF(A65="","",_xlfn.CHOOSECOLS('Prematch Backend 2A'!65:65,_xlfn.MAKEARRAY(1,A65-2,_xlfn.LAMBDA(_xlpm.r,_xlpm.c,_xlpm.c))))</f>
        <v/>
      </c>
    </row>
    <row r="66" spans="1:2" x14ac:dyDescent="0.2">
      <c r="A66" t="str" cm="1">
        <f t="array" ref="A66">IF(MAX(_xlfn.BYCOL('Prematch Backend 4A'!66:66, _xlfn.LAMBDA(_xlpm.ARRAY,IF(_xlpm.ARRAY="teleOp", COLUMN(_xlpm.ARRAY), 0))))=0,"",MAX(_xlfn.BYCOL('Prematch Backend 4A'!66:66, _xlfn.LAMBDA(_xlpm.ARRAY,IF(_xlpm.ARRAY="teleOp", COLUMN(_xlpm.ARRAY), 0)))))</f>
        <v/>
      </c>
      <c r="B66" t="str" cm="1">
        <f t="array" ref="B66">IF(A66="","",_xlfn.CHOOSECOLS('Prematch Backend 2A'!66:66,_xlfn.MAKEARRAY(1,A66-2,_xlfn.LAMBDA(_xlpm.r,_xlpm.c,_xlpm.c))))</f>
        <v/>
      </c>
    </row>
    <row r="67" spans="1:2" x14ac:dyDescent="0.2">
      <c r="A67" t="str" cm="1">
        <f t="array" ref="A67">IF(MAX(_xlfn.BYCOL('Prematch Backend 4A'!67:67, _xlfn.LAMBDA(_xlpm.ARRAY,IF(_xlpm.ARRAY="teleOp", COLUMN(_xlpm.ARRAY), 0))))=0,"",MAX(_xlfn.BYCOL('Prematch Backend 4A'!67:67, _xlfn.LAMBDA(_xlpm.ARRAY,IF(_xlpm.ARRAY="teleOp", COLUMN(_xlpm.ARRAY), 0)))))</f>
        <v/>
      </c>
      <c r="B67" t="str" cm="1">
        <f t="array" ref="B67">IF(A67="","",_xlfn.CHOOSECOLS('Prematch Backend 2A'!67:67,_xlfn.MAKEARRAY(1,A67-2,_xlfn.LAMBDA(_xlpm.r,_xlpm.c,_xlpm.c))))</f>
        <v/>
      </c>
    </row>
    <row r="68" spans="1:2" x14ac:dyDescent="0.2">
      <c r="A68" t="str" cm="1">
        <f t="array" ref="A68">IF(MAX(_xlfn.BYCOL('Prematch Backend 4A'!68:68, _xlfn.LAMBDA(_xlpm.ARRAY,IF(_xlpm.ARRAY="teleOp", COLUMN(_xlpm.ARRAY), 0))))=0,"",MAX(_xlfn.BYCOL('Prematch Backend 4A'!68:68, _xlfn.LAMBDA(_xlpm.ARRAY,IF(_xlpm.ARRAY="teleOp", COLUMN(_xlpm.ARRAY), 0)))))</f>
        <v/>
      </c>
      <c r="B68" t="str" cm="1">
        <f t="array" ref="B68">IF(A68="","",_xlfn.CHOOSECOLS('Prematch Backend 2A'!68:68,_xlfn.MAKEARRAY(1,A68-2,_xlfn.LAMBDA(_xlpm.r,_xlpm.c,_xlpm.c))))</f>
        <v/>
      </c>
    </row>
    <row r="69" spans="1:2" x14ac:dyDescent="0.2">
      <c r="A69" t="str" cm="1">
        <f t="array" ref="A69">IF(MAX(_xlfn.BYCOL('Prematch Backend 4A'!69:69, _xlfn.LAMBDA(_xlpm.ARRAY,IF(_xlpm.ARRAY="teleOp", COLUMN(_xlpm.ARRAY), 0))))=0,"",MAX(_xlfn.BYCOL('Prematch Backend 4A'!69:69, _xlfn.LAMBDA(_xlpm.ARRAY,IF(_xlpm.ARRAY="teleOp", COLUMN(_xlpm.ARRAY), 0)))))</f>
        <v/>
      </c>
      <c r="B69" t="str" cm="1">
        <f t="array" ref="B69">IF(A69="","",_xlfn.CHOOSECOLS('Prematch Backend 2A'!69:69,_xlfn.MAKEARRAY(1,A69-2,_xlfn.LAMBDA(_xlpm.r,_xlpm.c,_xlpm.c))))</f>
        <v/>
      </c>
    </row>
    <row r="70" spans="1:2" x14ac:dyDescent="0.2">
      <c r="A70" t="str" cm="1">
        <f t="array" ref="A70">IF(MAX(_xlfn.BYCOL('Prematch Backend 4A'!70:70, _xlfn.LAMBDA(_xlpm.ARRAY,IF(_xlpm.ARRAY="teleOp", COLUMN(_xlpm.ARRAY), 0))))=0,"",MAX(_xlfn.BYCOL('Prematch Backend 4A'!70:70, _xlfn.LAMBDA(_xlpm.ARRAY,IF(_xlpm.ARRAY="teleOp", COLUMN(_xlpm.ARRAY), 0)))))</f>
        <v/>
      </c>
      <c r="B70" t="str" cm="1">
        <f t="array" ref="B70">IF(A70="","",_xlfn.CHOOSECOLS('Prematch Backend 2A'!70:70,_xlfn.MAKEARRAY(1,A70-2,_xlfn.LAMBDA(_xlpm.r,_xlpm.c,_xlpm.c))))</f>
        <v/>
      </c>
    </row>
    <row r="71" spans="1:2" x14ac:dyDescent="0.2">
      <c r="A71" t="str" cm="1">
        <f t="array" ref="A71">IF(MAX(_xlfn.BYCOL('Prematch Backend 4A'!71:71, _xlfn.LAMBDA(_xlpm.ARRAY,IF(_xlpm.ARRAY="teleOp", COLUMN(_xlpm.ARRAY), 0))))=0,"",MAX(_xlfn.BYCOL('Prematch Backend 4A'!71:71, _xlfn.LAMBDA(_xlpm.ARRAY,IF(_xlpm.ARRAY="teleOp", COLUMN(_xlpm.ARRAY), 0)))))</f>
        <v/>
      </c>
      <c r="B71" t="str" cm="1">
        <f t="array" ref="B71">IF(A71="","",_xlfn.CHOOSECOLS('Prematch Backend 2A'!71:71,_xlfn.MAKEARRAY(1,A71-2,_xlfn.LAMBDA(_xlpm.r,_xlpm.c,_xlpm.c))))</f>
        <v/>
      </c>
    </row>
    <row r="72" spans="1:2" x14ac:dyDescent="0.2">
      <c r="A72" t="str" cm="1">
        <f t="array" ref="A72">IF(MAX(_xlfn.BYCOL('Prematch Backend 4A'!72:72, _xlfn.LAMBDA(_xlpm.ARRAY,IF(_xlpm.ARRAY="teleOp", COLUMN(_xlpm.ARRAY), 0))))=0,"",MAX(_xlfn.BYCOL('Prematch Backend 4A'!72:72, _xlfn.LAMBDA(_xlpm.ARRAY,IF(_xlpm.ARRAY="teleOp", COLUMN(_xlpm.ARRAY), 0)))))</f>
        <v/>
      </c>
      <c r="B72" t="str" cm="1">
        <f t="array" ref="B72">IF(A72="","",_xlfn.CHOOSECOLS('Prematch Backend 2A'!72:72,_xlfn.MAKEARRAY(1,A72-2,_xlfn.LAMBDA(_xlpm.r,_xlpm.c,_xlpm.c))))</f>
        <v/>
      </c>
    </row>
    <row r="73" spans="1:2" x14ac:dyDescent="0.2">
      <c r="A73" t="str" cm="1">
        <f t="array" ref="A73">IF(MAX(_xlfn.BYCOL('Prematch Backend 4A'!73:73, _xlfn.LAMBDA(_xlpm.ARRAY,IF(_xlpm.ARRAY="teleOp", COLUMN(_xlpm.ARRAY), 0))))=0,"",MAX(_xlfn.BYCOL('Prematch Backend 4A'!73:73, _xlfn.LAMBDA(_xlpm.ARRAY,IF(_xlpm.ARRAY="teleOp", COLUMN(_xlpm.ARRAY), 0)))))</f>
        <v/>
      </c>
      <c r="B73" t="str" cm="1">
        <f t="array" ref="B73">IF(A73="","",_xlfn.CHOOSECOLS('Prematch Backend 2A'!73:73,_xlfn.MAKEARRAY(1,A73-2,_xlfn.LAMBDA(_xlpm.r,_xlpm.c,_xlpm.c))))</f>
        <v/>
      </c>
    </row>
    <row r="74" spans="1:2" x14ac:dyDescent="0.2">
      <c r="A74" t="str" cm="1">
        <f t="array" ref="A74">IF(MAX(_xlfn.BYCOL('Prematch Backend 4A'!74:74, _xlfn.LAMBDA(_xlpm.ARRAY,IF(_xlpm.ARRAY="teleOp", COLUMN(_xlpm.ARRAY), 0))))=0,"",MAX(_xlfn.BYCOL('Prematch Backend 4A'!74:74, _xlfn.LAMBDA(_xlpm.ARRAY,IF(_xlpm.ARRAY="teleOp", COLUMN(_xlpm.ARRAY), 0)))))</f>
        <v/>
      </c>
      <c r="B74" t="str" cm="1">
        <f t="array" ref="B74">IF(A74="","",_xlfn.CHOOSECOLS('Prematch Backend 2A'!74:74,_xlfn.MAKEARRAY(1,A74-2,_xlfn.LAMBDA(_xlpm.r,_xlpm.c,_xlpm.c))))</f>
        <v/>
      </c>
    </row>
    <row r="75" spans="1:2" x14ac:dyDescent="0.2">
      <c r="A75" t="str" cm="1">
        <f t="array" ref="A75">IF(MAX(_xlfn.BYCOL('Prematch Backend 4A'!75:75, _xlfn.LAMBDA(_xlpm.ARRAY,IF(_xlpm.ARRAY="teleOp", COLUMN(_xlpm.ARRAY), 0))))=0,"",MAX(_xlfn.BYCOL('Prematch Backend 4A'!75:75, _xlfn.LAMBDA(_xlpm.ARRAY,IF(_xlpm.ARRAY="teleOp", COLUMN(_xlpm.ARRAY), 0)))))</f>
        <v/>
      </c>
      <c r="B75" t="str" cm="1">
        <f t="array" ref="B75">IF(A75="","",_xlfn.CHOOSECOLS('Prematch Backend 2A'!75:75,_xlfn.MAKEARRAY(1,A75-2,_xlfn.LAMBDA(_xlpm.r,_xlpm.c,_xlpm.c))))</f>
        <v/>
      </c>
    </row>
    <row r="76" spans="1:2" x14ac:dyDescent="0.2">
      <c r="A76" t="str" cm="1">
        <f t="array" ref="A76">IF(MAX(_xlfn.BYCOL('Prematch Backend 4A'!76:76, _xlfn.LAMBDA(_xlpm.ARRAY,IF(_xlpm.ARRAY="teleOp", COLUMN(_xlpm.ARRAY), 0))))=0,"",MAX(_xlfn.BYCOL('Prematch Backend 4A'!76:76, _xlfn.LAMBDA(_xlpm.ARRAY,IF(_xlpm.ARRAY="teleOp", COLUMN(_xlpm.ARRAY), 0)))))</f>
        <v/>
      </c>
      <c r="B76" t="str" cm="1">
        <f t="array" ref="B76">IF(A76="","",_xlfn.CHOOSECOLS('Prematch Backend 2A'!76:76,_xlfn.MAKEARRAY(1,A76-2,_xlfn.LAMBDA(_xlpm.r,_xlpm.c,_xlpm.c))))</f>
        <v/>
      </c>
    </row>
    <row r="77" spans="1:2" x14ac:dyDescent="0.2">
      <c r="A77" t="str" cm="1">
        <f t="array" ref="A77">IF(MAX(_xlfn.BYCOL('Prematch Backend 4A'!77:77, _xlfn.LAMBDA(_xlpm.ARRAY,IF(_xlpm.ARRAY="teleOp", COLUMN(_xlpm.ARRAY), 0))))=0,"",MAX(_xlfn.BYCOL('Prematch Backend 4A'!77:77, _xlfn.LAMBDA(_xlpm.ARRAY,IF(_xlpm.ARRAY="teleOp", COLUMN(_xlpm.ARRAY), 0)))))</f>
        <v/>
      </c>
      <c r="B77" t="str" cm="1">
        <f t="array" ref="B77">IF(A77="","",_xlfn.CHOOSECOLS('Prematch Backend 2A'!77:77,_xlfn.MAKEARRAY(1,A77-2,_xlfn.LAMBDA(_xlpm.r,_xlpm.c,_xlpm.c))))</f>
        <v/>
      </c>
    </row>
    <row r="78" spans="1:2" x14ac:dyDescent="0.2">
      <c r="A78" t="str" cm="1">
        <f t="array" ref="A78">IF(MAX(_xlfn.BYCOL('Prematch Backend 4A'!78:78, _xlfn.LAMBDA(_xlpm.ARRAY,IF(_xlpm.ARRAY="teleOp", COLUMN(_xlpm.ARRAY), 0))))=0,"",MAX(_xlfn.BYCOL('Prematch Backend 4A'!78:78, _xlfn.LAMBDA(_xlpm.ARRAY,IF(_xlpm.ARRAY="teleOp", COLUMN(_xlpm.ARRAY), 0)))))</f>
        <v/>
      </c>
      <c r="B78" t="str" cm="1">
        <f t="array" ref="B78">IF(A78="","",_xlfn.CHOOSECOLS('Prematch Backend 2A'!78:78,_xlfn.MAKEARRAY(1,A78-2,_xlfn.LAMBDA(_xlpm.r,_xlpm.c,_xlpm.c))))</f>
        <v/>
      </c>
    </row>
    <row r="79" spans="1:2" x14ac:dyDescent="0.2">
      <c r="A79" t="str" cm="1">
        <f t="array" ref="A79">IF(MAX(_xlfn.BYCOL('Prematch Backend 4A'!79:79, _xlfn.LAMBDA(_xlpm.ARRAY,IF(_xlpm.ARRAY="teleOp", COLUMN(_xlpm.ARRAY), 0))))=0,"",MAX(_xlfn.BYCOL('Prematch Backend 4A'!79:79, _xlfn.LAMBDA(_xlpm.ARRAY,IF(_xlpm.ARRAY="teleOp", COLUMN(_xlpm.ARRAY), 0)))))</f>
        <v/>
      </c>
      <c r="B79" t="str" cm="1">
        <f t="array" ref="B79">IF(A79="","",_xlfn.CHOOSECOLS('Prematch Backend 2A'!79:79,_xlfn.MAKEARRAY(1,A79-2,_xlfn.LAMBDA(_xlpm.r,_xlpm.c,_xlpm.c))))</f>
        <v/>
      </c>
    </row>
    <row r="80" spans="1:2" x14ac:dyDescent="0.2">
      <c r="A80" t="str" cm="1">
        <f t="array" ref="A80">IF(MAX(_xlfn.BYCOL('Prematch Backend 4A'!80:80, _xlfn.LAMBDA(_xlpm.ARRAY,IF(_xlpm.ARRAY="teleOp", COLUMN(_xlpm.ARRAY), 0))))=0,"",MAX(_xlfn.BYCOL('Prematch Backend 4A'!80:80, _xlfn.LAMBDA(_xlpm.ARRAY,IF(_xlpm.ARRAY="teleOp", COLUMN(_xlpm.ARRAY), 0)))))</f>
        <v/>
      </c>
      <c r="B80" t="str" cm="1">
        <f t="array" ref="B80">IF(A80="","",_xlfn.CHOOSECOLS('Prematch Backend 2A'!80:80,_xlfn.MAKEARRAY(1,A80-2,_xlfn.LAMBDA(_xlpm.r,_xlpm.c,_xlpm.c))))</f>
        <v/>
      </c>
    </row>
    <row r="81" spans="1:2" x14ac:dyDescent="0.2">
      <c r="A81" t="str" cm="1">
        <f t="array" ref="A81">IF(MAX(_xlfn.BYCOL('Prematch Backend 4A'!81:81, _xlfn.LAMBDA(_xlpm.ARRAY,IF(_xlpm.ARRAY="teleOp", COLUMN(_xlpm.ARRAY), 0))))=0,"",MAX(_xlfn.BYCOL('Prematch Backend 4A'!81:81, _xlfn.LAMBDA(_xlpm.ARRAY,IF(_xlpm.ARRAY="teleOp", COLUMN(_xlpm.ARRAY), 0)))))</f>
        <v/>
      </c>
      <c r="B81" t="str" cm="1">
        <f t="array" ref="B81">IF(A81="","",_xlfn.CHOOSECOLS('Prematch Backend 2A'!81:81,_xlfn.MAKEARRAY(1,A81-2,_xlfn.LAMBDA(_xlpm.r,_xlpm.c,_xlpm.c))))</f>
        <v/>
      </c>
    </row>
    <row r="82" spans="1:2" x14ac:dyDescent="0.2">
      <c r="A82" t="str" cm="1">
        <f t="array" ref="A82">IF(MAX(_xlfn.BYCOL('Prematch Backend 4A'!82:82, _xlfn.LAMBDA(_xlpm.ARRAY,IF(_xlpm.ARRAY="teleOp", COLUMN(_xlpm.ARRAY), 0))))=0,"",MAX(_xlfn.BYCOL('Prematch Backend 4A'!82:82, _xlfn.LAMBDA(_xlpm.ARRAY,IF(_xlpm.ARRAY="teleOp", COLUMN(_xlpm.ARRAY), 0)))))</f>
        <v/>
      </c>
      <c r="B82" t="str" cm="1">
        <f t="array" ref="B82">IF(A82="","",_xlfn.CHOOSECOLS('Prematch Backend 2A'!82:82,_xlfn.MAKEARRAY(1,A82-2,_xlfn.LAMBDA(_xlpm.r,_xlpm.c,_xlpm.c))))</f>
        <v/>
      </c>
    </row>
    <row r="83" spans="1:2" x14ac:dyDescent="0.2">
      <c r="A83" t="str" cm="1">
        <f t="array" ref="A83">IF(MAX(_xlfn.BYCOL('Prematch Backend 4A'!83:83, _xlfn.LAMBDA(_xlpm.ARRAY,IF(_xlpm.ARRAY="teleOp", COLUMN(_xlpm.ARRAY), 0))))=0,"",MAX(_xlfn.BYCOL('Prematch Backend 4A'!83:83, _xlfn.LAMBDA(_xlpm.ARRAY,IF(_xlpm.ARRAY="teleOp", COLUMN(_xlpm.ARRAY), 0)))))</f>
        <v/>
      </c>
      <c r="B83" t="str" cm="1">
        <f t="array" ref="B83">IF(A83="","",_xlfn.CHOOSECOLS('Prematch Backend 2A'!83:83,_xlfn.MAKEARRAY(1,A83-2,_xlfn.LAMBDA(_xlpm.r,_xlpm.c,_xlpm.c))))</f>
        <v/>
      </c>
    </row>
    <row r="84" spans="1:2" x14ac:dyDescent="0.2">
      <c r="A84" t="str" cm="1">
        <f t="array" ref="A84">IF(MAX(_xlfn.BYCOL('Prematch Backend 4A'!84:84, _xlfn.LAMBDA(_xlpm.ARRAY,IF(_xlpm.ARRAY="teleOp", COLUMN(_xlpm.ARRAY), 0))))=0,"",MAX(_xlfn.BYCOL('Prematch Backend 4A'!84:84, _xlfn.LAMBDA(_xlpm.ARRAY,IF(_xlpm.ARRAY="teleOp", COLUMN(_xlpm.ARRAY), 0)))))</f>
        <v/>
      </c>
      <c r="B84" t="str" cm="1">
        <f t="array" ref="B84">IF(A84="","",_xlfn.CHOOSECOLS('Prematch Backend 2A'!84:84,_xlfn.MAKEARRAY(1,A84-2,_xlfn.LAMBDA(_xlpm.r,_xlpm.c,_xlpm.c))))</f>
        <v/>
      </c>
    </row>
    <row r="85" spans="1:2" x14ac:dyDescent="0.2">
      <c r="A85" t="str" cm="1">
        <f t="array" ref="A85">IF(MAX(_xlfn.BYCOL('Prematch Backend 4A'!85:85, _xlfn.LAMBDA(_xlpm.ARRAY,IF(_xlpm.ARRAY="teleOp", COLUMN(_xlpm.ARRAY), 0))))=0,"",MAX(_xlfn.BYCOL('Prematch Backend 4A'!85:85, _xlfn.LAMBDA(_xlpm.ARRAY,IF(_xlpm.ARRAY="teleOp", COLUMN(_xlpm.ARRAY), 0)))))</f>
        <v/>
      </c>
      <c r="B85" t="str" cm="1">
        <f t="array" ref="B85">IF(A85="","",_xlfn.CHOOSECOLS('Prematch Backend 2A'!85:85,_xlfn.MAKEARRAY(1,A85-2,_xlfn.LAMBDA(_xlpm.r,_xlpm.c,_xlpm.c))))</f>
        <v/>
      </c>
    </row>
    <row r="86" spans="1:2" x14ac:dyDescent="0.2">
      <c r="A86" t="str" cm="1">
        <f t="array" ref="A86">IF(MAX(_xlfn.BYCOL('Prematch Backend 4A'!86:86, _xlfn.LAMBDA(_xlpm.ARRAY,IF(_xlpm.ARRAY="teleOp", COLUMN(_xlpm.ARRAY), 0))))=0,"",MAX(_xlfn.BYCOL('Prematch Backend 4A'!86:86, _xlfn.LAMBDA(_xlpm.ARRAY,IF(_xlpm.ARRAY="teleOp", COLUMN(_xlpm.ARRAY), 0)))))</f>
        <v/>
      </c>
      <c r="B86" t="str" cm="1">
        <f t="array" ref="B86">IF(A86="","",_xlfn.CHOOSECOLS('Prematch Backend 2A'!86:86,_xlfn.MAKEARRAY(1,A86-2,_xlfn.LAMBDA(_xlpm.r,_xlpm.c,_xlpm.c))))</f>
        <v/>
      </c>
    </row>
    <row r="87" spans="1:2" x14ac:dyDescent="0.2">
      <c r="A87" t="str" cm="1">
        <f t="array" ref="A87">IF(MAX(_xlfn.BYCOL('Prematch Backend 4A'!87:87, _xlfn.LAMBDA(_xlpm.ARRAY,IF(_xlpm.ARRAY="teleOp", COLUMN(_xlpm.ARRAY), 0))))=0,"",MAX(_xlfn.BYCOL('Prematch Backend 4A'!87:87, _xlfn.LAMBDA(_xlpm.ARRAY,IF(_xlpm.ARRAY="teleOp", COLUMN(_xlpm.ARRAY), 0)))))</f>
        <v/>
      </c>
      <c r="B87" t="str" cm="1">
        <f t="array" ref="B87">IF(A87="","",_xlfn.CHOOSECOLS('Prematch Backend 2A'!87:87,_xlfn.MAKEARRAY(1,A87-2,_xlfn.LAMBDA(_xlpm.r,_xlpm.c,_xlpm.c))))</f>
        <v/>
      </c>
    </row>
    <row r="88" spans="1:2" x14ac:dyDescent="0.2">
      <c r="A88" t="str" cm="1">
        <f t="array" ref="A88">IF(MAX(_xlfn.BYCOL('Prematch Backend 4A'!88:88, _xlfn.LAMBDA(_xlpm.ARRAY,IF(_xlpm.ARRAY="teleOp", COLUMN(_xlpm.ARRAY), 0))))=0,"",MAX(_xlfn.BYCOL('Prematch Backend 4A'!88:88, _xlfn.LAMBDA(_xlpm.ARRAY,IF(_xlpm.ARRAY="teleOp", COLUMN(_xlpm.ARRAY), 0)))))</f>
        <v/>
      </c>
      <c r="B88" t="str" cm="1">
        <f t="array" ref="B88">IF(A88="","",_xlfn.CHOOSECOLS('Prematch Backend 2A'!88:88,_xlfn.MAKEARRAY(1,A88-2,_xlfn.LAMBDA(_xlpm.r,_xlpm.c,_xlpm.c))))</f>
        <v/>
      </c>
    </row>
    <row r="89" spans="1:2" x14ac:dyDescent="0.2">
      <c r="A89" t="str" cm="1">
        <f t="array" ref="A89">IF(MAX(_xlfn.BYCOL('Prematch Backend 4A'!89:89, _xlfn.LAMBDA(_xlpm.ARRAY,IF(_xlpm.ARRAY="teleOp", COLUMN(_xlpm.ARRAY), 0))))=0,"",MAX(_xlfn.BYCOL('Prematch Backend 4A'!89:89, _xlfn.LAMBDA(_xlpm.ARRAY,IF(_xlpm.ARRAY="teleOp", COLUMN(_xlpm.ARRAY), 0)))))</f>
        <v/>
      </c>
      <c r="B89" t="str" cm="1">
        <f t="array" ref="B89">IF(A89="","",_xlfn.CHOOSECOLS('Prematch Backend 2A'!89:89,_xlfn.MAKEARRAY(1,A89-2,_xlfn.LAMBDA(_xlpm.r,_xlpm.c,_xlpm.c))))</f>
        <v/>
      </c>
    </row>
    <row r="90" spans="1:2" x14ac:dyDescent="0.2">
      <c r="A90" t="str" cm="1">
        <f t="array" ref="A90">IF(MAX(_xlfn.BYCOL('Prematch Backend 4A'!90:90, _xlfn.LAMBDA(_xlpm.ARRAY,IF(_xlpm.ARRAY="teleOp", COLUMN(_xlpm.ARRAY), 0))))=0,"",MAX(_xlfn.BYCOL('Prematch Backend 4A'!90:90, _xlfn.LAMBDA(_xlpm.ARRAY,IF(_xlpm.ARRAY="teleOp", COLUMN(_xlpm.ARRAY), 0)))))</f>
        <v/>
      </c>
      <c r="B90" t="str" cm="1">
        <f t="array" ref="B90">IF(A90="","",_xlfn.CHOOSECOLS('Prematch Backend 2A'!90:90,_xlfn.MAKEARRAY(1,A90-2,_xlfn.LAMBDA(_xlpm.r,_xlpm.c,_xlpm.c))))</f>
        <v/>
      </c>
    </row>
    <row r="91" spans="1:2" x14ac:dyDescent="0.2">
      <c r="A91" t="str" cm="1">
        <f t="array" ref="A91">IF(MAX(_xlfn.BYCOL('Prematch Backend 4A'!91:91, _xlfn.LAMBDA(_xlpm.ARRAY,IF(_xlpm.ARRAY="teleOp", COLUMN(_xlpm.ARRAY), 0))))=0,"",MAX(_xlfn.BYCOL('Prematch Backend 4A'!91:91, _xlfn.LAMBDA(_xlpm.ARRAY,IF(_xlpm.ARRAY="teleOp", COLUMN(_xlpm.ARRAY), 0)))))</f>
        <v/>
      </c>
      <c r="B91" t="str" cm="1">
        <f t="array" ref="B91">IF(A91="","",_xlfn.CHOOSECOLS('Prematch Backend 2A'!91:91,_xlfn.MAKEARRAY(1,A91-2,_xlfn.LAMBDA(_xlpm.r,_xlpm.c,_xlpm.c))))</f>
        <v/>
      </c>
    </row>
    <row r="92" spans="1:2" x14ac:dyDescent="0.2">
      <c r="A92" t="str" cm="1">
        <f t="array" ref="A92">IF(MAX(_xlfn.BYCOL('Prematch Backend 4A'!92:92, _xlfn.LAMBDA(_xlpm.ARRAY,IF(_xlpm.ARRAY="teleOp", COLUMN(_xlpm.ARRAY), 0))))=0,"",MAX(_xlfn.BYCOL('Prematch Backend 4A'!92:92, _xlfn.LAMBDA(_xlpm.ARRAY,IF(_xlpm.ARRAY="teleOp", COLUMN(_xlpm.ARRAY), 0)))))</f>
        <v/>
      </c>
      <c r="B92" t="str" cm="1">
        <f t="array" ref="B92">IF(A92="","",_xlfn.CHOOSECOLS('Prematch Backend 2A'!92:92,_xlfn.MAKEARRAY(1,A92-2,_xlfn.LAMBDA(_xlpm.r,_xlpm.c,_xlpm.c))))</f>
        <v/>
      </c>
    </row>
    <row r="93" spans="1:2" x14ac:dyDescent="0.2">
      <c r="A93" t="str" cm="1">
        <f t="array" ref="A93">IF(MAX(_xlfn.BYCOL('Prematch Backend 4A'!93:93, _xlfn.LAMBDA(_xlpm.ARRAY,IF(_xlpm.ARRAY="teleOp", COLUMN(_xlpm.ARRAY), 0))))=0,"",MAX(_xlfn.BYCOL('Prematch Backend 4A'!93:93, _xlfn.LAMBDA(_xlpm.ARRAY,IF(_xlpm.ARRAY="teleOp", COLUMN(_xlpm.ARRAY), 0)))))</f>
        <v/>
      </c>
      <c r="B93" t="str" cm="1">
        <f t="array" ref="B93">IF(A93="","",_xlfn.CHOOSECOLS('Prematch Backend 2A'!93:93,_xlfn.MAKEARRAY(1,A93-2,_xlfn.LAMBDA(_xlpm.r,_xlpm.c,_xlpm.c))))</f>
        <v/>
      </c>
    </row>
    <row r="94" spans="1:2" x14ac:dyDescent="0.2">
      <c r="A94" t="str" cm="1">
        <f t="array" ref="A94">IF(MAX(_xlfn.BYCOL('Prematch Backend 4A'!94:94, _xlfn.LAMBDA(_xlpm.ARRAY,IF(_xlpm.ARRAY="teleOp", COLUMN(_xlpm.ARRAY), 0))))=0,"",MAX(_xlfn.BYCOL('Prematch Backend 4A'!94:94, _xlfn.LAMBDA(_xlpm.ARRAY,IF(_xlpm.ARRAY="teleOp", COLUMN(_xlpm.ARRAY), 0)))))</f>
        <v/>
      </c>
      <c r="B94" t="str" cm="1">
        <f t="array" ref="B94">IF(A94="","",_xlfn.CHOOSECOLS('Prematch Backend 2A'!94:94,_xlfn.MAKEARRAY(1,A94-2,_xlfn.LAMBDA(_xlpm.r,_xlpm.c,_xlpm.c))))</f>
        <v/>
      </c>
    </row>
    <row r="95" spans="1:2" x14ac:dyDescent="0.2">
      <c r="A95" t="str" cm="1">
        <f t="array" ref="A95">IF(MAX(_xlfn.BYCOL('Prematch Backend 4A'!95:95, _xlfn.LAMBDA(_xlpm.ARRAY,IF(_xlpm.ARRAY="teleOp", COLUMN(_xlpm.ARRAY), 0))))=0,"",MAX(_xlfn.BYCOL('Prematch Backend 4A'!95:95, _xlfn.LAMBDA(_xlpm.ARRAY,IF(_xlpm.ARRAY="teleOp", COLUMN(_xlpm.ARRAY), 0)))))</f>
        <v/>
      </c>
      <c r="B95" t="str" cm="1">
        <f t="array" ref="B95">IF(A95="","",_xlfn.CHOOSECOLS('Prematch Backend 2A'!95:95,_xlfn.MAKEARRAY(1,A95-2,_xlfn.LAMBDA(_xlpm.r,_xlpm.c,_xlpm.c))))</f>
        <v/>
      </c>
    </row>
    <row r="96" spans="1:2" x14ac:dyDescent="0.2">
      <c r="A96" t="str" cm="1">
        <f t="array" ref="A96">IF(MAX(_xlfn.BYCOL('Prematch Backend 4A'!96:96, _xlfn.LAMBDA(_xlpm.ARRAY,IF(_xlpm.ARRAY="teleOp", COLUMN(_xlpm.ARRAY), 0))))=0,"",MAX(_xlfn.BYCOL('Prematch Backend 4A'!96:96, _xlfn.LAMBDA(_xlpm.ARRAY,IF(_xlpm.ARRAY="teleOp", COLUMN(_xlpm.ARRAY), 0)))))</f>
        <v/>
      </c>
      <c r="B96" t="str" cm="1">
        <f t="array" ref="B96">IF(A96="","",_xlfn.CHOOSECOLS('Prematch Backend 2A'!96:96,_xlfn.MAKEARRAY(1,A96-2,_xlfn.LAMBDA(_xlpm.r,_xlpm.c,_xlpm.c))))</f>
        <v/>
      </c>
    </row>
    <row r="97" spans="1:2" x14ac:dyDescent="0.2">
      <c r="A97" t="str" cm="1">
        <f t="array" ref="A97">IF(MAX(_xlfn.BYCOL('Prematch Backend 4A'!97:97, _xlfn.LAMBDA(_xlpm.ARRAY,IF(_xlpm.ARRAY="teleOp", COLUMN(_xlpm.ARRAY), 0))))=0,"",MAX(_xlfn.BYCOL('Prematch Backend 4A'!97:97, _xlfn.LAMBDA(_xlpm.ARRAY,IF(_xlpm.ARRAY="teleOp", COLUMN(_xlpm.ARRAY), 0)))))</f>
        <v/>
      </c>
      <c r="B97" t="str" cm="1">
        <f t="array" ref="B97">IF(A97="","",_xlfn.CHOOSECOLS('Prematch Backend 2A'!97:97,_xlfn.MAKEARRAY(1,A97-2,_xlfn.LAMBDA(_xlpm.r,_xlpm.c,_xlpm.c))))</f>
        <v/>
      </c>
    </row>
    <row r="98" spans="1:2" x14ac:dyDescent="0.2">
      <c r="A98" t="str" cm="1">
        <f t="array" ref="A98">IF(MAX(_xlfn.BYCOL('Prematch Backend 4A'!98:98, _xlfn.LAMBDA(_xlpm.ARRAY,IF(_xlpm.ARRAY="teleOp", COLUMN(_xlpm.ARRAY), 0))))=0,"",MAX(_xlfn.BYCOL('Prematch Backend 4A'!98:98, _xlfn.LAMBDA(_xlpm.ARRAY,IF(_xlpm.ARRAY="teleOp", COLUMN(_xlpm.ARRAY), 0)))))</f>
        <v/>
      </c>
      <c r="B98" t="str" cm="1">
        <f t="array" ref="B98">IF(A98="","",_xlfn.CHOOSECOLS('Prematch Backend 2A'!98:98,_xlfn.MAKEARRAY(1,A98-2,_xlfn.LAMBDA(_xlpm.r,_xlpm.c,_xlpm.c))))</f>
        <v/>
      </c>
    </row>
    <row r="99" spans="1:2" x14ac:dyDescent="0.2">
      <c r="A99" t="str" cm="1">
        <f t="array" ref="A99">IF(MAX(_xlfn.BYCOL('Prematch Backend 4A'!99:99, _xlfn.LAMBDA(_xlpm.ARRAY,IF(_xlpm.ARRAY="teleOp", COLUMN(_xlpm.ARRAY), 0))))=0,"",MAX(_xlfn.BYCOL('Prematch Backend 4A'!99:99, _xlfn.LAMBDA(_xlpm.ARRAY,IF(_xlpm.ARRAY="teleOp", COLUMN(_xlpm.ARRAY), 0)))))</f>
        <v/>
      </c>
      <c r="B99" t="str" cm="1">
        <f t="array" ref="B99">IF(A99="","",_xlfn.CHOOSECOLS('Prematch Backend 2A'!99:99,_xlfn.MAKEARRAY(1,A99-2,_xlfn.LAMBDA(_xlpm.r,_xlpm.c,_xlpm.c))))</f>
        <v/>
      </c>
    </row>
    <row r="100" spans="1:2" x14ac:dyDescent="0.2">
      <c r="A100" t="str" cm="1">
        <f t="array" ref="A100">IF(MAX(_xlfn.BYCOL('Prematch Backend 4A'!100:100, _xlfn.LAMBDA(_xlpm.ARRAY,IF(_xlpm.ARRAY="teleOp", COLUMN(_xlpm.ARRAY), 0))))=0,"",MAX(_xlfn.BYCOL('Prematch Backend 4A'!100:100, _xlfn.LAMBDA(_xlpm.ARRAY,IF(_xlpm.ARRAY="teleOp", COLUMN(_xlpm.ARRAY), 0)))))</f>
        <v/>
      </c>
      <c r="B100" t="str" cm="1">
        <f t="array" ref="B100">IF(A100="","",_xlfn.CHOOSECOLS('Prematch Backend 2A'!100:100,_xlfn.MAKEARRAY(1,A100-2,_xlfn.LAMBDA(_xlpm.r,_xlpm.c,_xlpm.c))))</f>
        <v/>
      </c>
    </row>
    <row r="101" spans="1:2" x14ac:dyDescent="0.2">
      <c r="A101" t="str" cm="1">
        <f t="array" ref="A101">IF(MAX(_xlfn.BYCOL('Prematch Backend 4A'!101:101, _xlfn.LAMBDA(_xlpm.ARRAY,IF(_xlpm.ARRAY="teleOp", COLUMN(_xlpm.ARRAY), 0))))=0,"",MAX(_xlfn.BYCOL('Prematch Backend 4A'!101:101, _xlfn.LAMBDA(_xlpm.ARRAY,IF(_xlpm.ARRAY="teleOp", COLUMN(_xlpm.ARRAY), 0)))))</f>
        <v/>
      </c>
      <c r="B101" t="str" cm="1">
        <f t="array" ref="B101">IF(A101="","",_xlfn.CHOOSECOLS('Prematch Backend 2A'!101:101,_xlfn.MAKEARRAY(1,A101-2,_xlfn.LAMBDA(_xlpm.r,_xlpm.c,_xlpm.c))))</f>
        <v/>
      </c>
    </row>
    <row r="102" spans="1:2" x14ac:dyDescent="0.2">
      <c r="A102" t="str" cm="1">
        <f t="array" ref="A102">IF(MAX(_xlfn.BYCOL('Prematch Backend 4A'!102:102, _xlfn.LAMBDA(_xlpm.ARRAY,IF(_xlpm.ARRAY="teleOp", COLUMN(_xlpm.ARRAY), 0))))=0,"",MAX(_xlfn.BYCOL('Prematch Backend 4A'!102:102, _xlfn.LAMBDA(_xlpm.ARRAY,IF(_xlpm.ARRAY="teleOp", COLUMN(_xlpm.ARRAY), 0)))))</f>
        <v/>
      </c>
      <c r="B102" t="str" cm="1">
        <f t="array" ref="B102">IF(A102="","",_xlfn.CHOOSECOLS('Prematch Backend 2A'!102:102,_xlfn.MAKEARRAY(1,A102-2,_xlfn.LAMBDA(_xlpm.r,_xlpm.c,_xlpm.c))))</f>
        <v/>
      </c>
    </row>
    <row r="103" spans="1:2" x14ac:dyDescent="0.2">
      <c r="A103" t="str" cm="1">
        <f t="array" ref="A103">IF(MAX(_xlfn.BYCOL('Prematch Backend 4A'!103:103, _xlfn.LAMBDA(_xlpm.ARRAY,IF(_xlpm.ARRAY="teleOp", COLUMN(_xlpm.ARRAY), 0))))=0,"",MAX(_xlfn.BYCOL('Prematch Backend 4A'!103:103, _xlfn.LAMBDA(_xlpm.ARRAY,IF(_xlpm.ARRAY="teleOp", COLUMN(_xlpm.ARRAY), 0)))))</f>
        <v/>
      </c>
      <c r="B103" t="str" cm="1">
        <f t="array" ref="B103">IF(A103="","",_xlfn.CHOOSECOLS('Prematch Backend 2A'!103:103,_xlfn.MAKEARRAY(1,A103-2,_xlfn.LAMBDA(_xlpm.r,_xlpm.c,_xlpm.c))))</f>
        <v/>
      </c>
    </row>
    <row r="104" spans="1:2" x14ac:dyDescent="0.2">
      <c r="A104" t="str" cm="1">
        <f t="array" ref="A104">IF(MAX(_xlfn.BYCOL('Prematch Backend 4A'!104:104, _xlfn.LAMBDA(_xlpm.ARRAY,IF(_xlpm.ARRAY="teleOp", COLUMN(_xlpm.ARRAY), 0))))=0,"",MAX(_xlfn.BYCOL('Prematch Backend 4A'!104:104, _xlfn.LAMBDA(_xlpm.ARRAY,IF(_xlpm.ARRAY="teleOp", COLUMN(_xlpm.ARRAY), 0)))))</f>
        <v/>
      </c>
      <c r="B104" t="str" cm="1">
        <f t="array" ref="B104">IF(A104="","",_xlfn.CHOOSECOLS('Prematch Backend 2A'!104:104,_xlfn.MAKEARRAY(1,A104-2,_xlfn.LAMBDA(_xlpm.r,_xlpm.c,_xlpm.c))))</f>
        <v/>
      </c>
    </row>
    <row r="105" spans="1:2" x14ac:dyDescent="0.2">
      <c r="A105" t="str" cm="1">
        <f t="array" ref="A105">IF(MAX(_xlfn.BYCOL('Prematch Backend 4A'!105:105, _xlfn.LAMBDA(_xlpm.ARRAY,IF(_xlpm.ARRAY="teleOp", COLUMN(_xlpm.ARRAY), 0))))=0,"",MAX(_xlfn.BYCOL('Prematch Backend 4A'!105:105, _xlfn.LAMBDA(_xlpm.ARRAY,IF(_xlpm.ARRAY="teleOp", COLUMN(_xlpm.ARRAY), 0)))))</f>
        <v/>
      </c>
      <c r="B105" t="str" cm="1">
        <f t="array" ref="B105">IF(A105="","",_xlfn.CHOOSECOLS('Prematch Backend 2A'!105:105,_xlfn.MAKEARRAY(1,A105-2,_xlfn.LAMBDA(_xlpm.r,_xlpm.c,_xlpm.c))))</f>
        <v/>
      </c>
    </row>
    <row r="106" spans="1:2" x14ac:dyDescent="0.2">
      <c r="A106" t="str" cm="1">
        <f t="array" ref="A106">IF(MAX(_xlfn.BYCOL('Prematch Backend 4A'!106:106, _xlfn.LAMBDA(_xlpm.ARRAY,IF(_xlpm.ARRAY="teleOp", COLUMN(_xlpm.ARRAY), 0))))=0,"",MAX(_xlfn.BYCOL('Prematch Backend 4A'!106:106, _xlfn.LAMBDA(_xlpm.ARRAY,IF(_xlpm.ARRAY="teleOp", COLUMN(_xlpm.ARRAY), 0)))))</f>
        <v/>
      </c>
      <c r="B106" t="str" cm="1">
        <f t="array" ref="B106">IF(A106="","",_xlfn.CHOOSECOLS('Prematch Backend 2A'!106:106,_xlfn.MAKEARRAY(1,A106-2,_xlfn.LAMBDA(_xlpm.r,_xlpm.c,_xlpm.c))))</f>
        <v/>
      </c>
    </row>
    <row r="107" spans="1:2" x14ac:dyDescent="0.2">
      <c r="A107" t="str" cm="1">
        <f t="array" ref="A107">IF(MAX(_xlfn.BYCOL('Prematch Backend 4A'!107:107, _xlfn.LAMBDA(_xlpm.ARRAY,IF(_xlpm.ARRAY="teleOp", COLUMN(_xlpm.ARRAY), 0))))=0,"",MAX(_xlfn.BYCOL('Prematch Backend 4A'!107:107, _xlfn.LAMBDA(_xlpm.ARRAY,IF(_xlpm.ARRAY="teleOp", COLUMN(_xlpm.ARRAY), 0)))))</f>
        <v/>
      </c>
      <c r="B107" t="str" cm="1">
        <f t="array" ref="B107">IF(A107="","",_xlfn.CHOOSECOLS('Prematch Backend 2A'!107:107,_xlfn.MAKEARRAY(1,A107-2,_xlfn.LAMBDA(_xlpm.r,_xlpm.c,_xlpm.c))))</f>
        <v/>
      </c>
    </row>
    <row r="108" spans="1:2" x14ac:dyDescent="0.2">
      <c r="A108" t="str" cm="1">
        <f t="array" ref="A108">IF(MAX(_xlfn.BYCOL('Prematch Backend 4A'!108:108, _xlfn.LAMBDA(_xlpm.ARRAY,IF(_xlpm.ARRAY="teleOp", COLUMN(_xlpm.ARRAY), 0))))=0,"",MAX(_xlfn.BYCOL('Prematch Backend 4A'!108:108, _xlfn.LAMBDA(_xlpm.ARRAY,IF(_xlpm.ARRAY="teleOp", COLUMN(_xlpm.ARRAY), 0)))))</f>
        <v/>
      </c>
      <c r="B108" t="str" cm="1">
        <f t="array" ref="B108">IF(A108="","",_xlfn.CHOOSECOLS('Prematch Backend 2A'!108:108,_xlfn.MAKEARRAY(1,A108-2,_xlfn.LAMBDA(_xlpm.r,_xlpm.c,_xlpm.c))))</f>
        <v/>
      </c>
    </row>
    <row r="109" spans="1:2" x14ac:dyDescent="0.2">
      <c r="A109" t="str" cm="1">
        <f t="array" ref="A109">IF(MAX(_xlfn.BYCOL('Prematch Backend 4A'!109:109, _xlfn.LAMBDA(_xlpm.ARRAY,IF(_xlpm.ARRAY="teleOp", COLUMN(_xlpm.ARRAY), 0))))=0,"",MAX(_xlfn.BYCOL('Prematch Backend 4A'!109:109, _xlfn.LAMBDA(_xlpm.ARRAY,IF(_xlpm.ARRAY="teleOp", COLUMN(_xlpm.ARRAY), 0)))))</f>
        <v/>
      </c>
      <c r="B109" t="str" cm="1">
        <f t="array" ref="B109">IF(A109="","",_xlfn.CHOOSECOLS('Prematch Backend 2A'!109:109,_xlfn.MAKEARRAY(1,A109-2,_xlfn.LAMBDA(_xlpm.r,_xlpm.c,_xlpm.c))))</f>
        <v/>
      </c>
    </row>
    <row r="110" spans="1:2" x14ac:dyDescent="0.2">
      <c r="A110" t="str" cm="1">
        <f t="array" ref="A110">IF(MAX(_xlfn.BYCOL('Prematch Backend 4A'!110:110, _xlfn.LAMBDA(_xlpm.ARRAY,IF(_xlpm.ARRAY="teleOp", COLUMN(_xlpm.ARRAY), 0))))=0,"",MAX(_xlfn.BYCOL('Prematch Backend 4A'!110:110, _xlfn.LAMBDA(_xlpm.ARRAY,IF(_xlpm.ARRAY="teleOp", COLUMN(_xlpm.ARRAY), 0)))))</f>
        <v/>
      </c>
      <c r="B110" t="str" cm="1">
        <f t="array" ref="B110">IF(A110="","",_xlfn.CHOOSECOLS('Prematch Backend 2A'!110:110,_xlfn.MAKEARRAY(1,A110-2,_xlfn.LAMBDA(_xlpm.r,_xlpm.c,_xlpm.c))))</f>
        <v/>
      </c>
    </row>
    <row r="111" spans="1:2" x14ac:dyDescent="0.2">
      <c r="A111" t="str" cm="1">
        <f t="array" ref="A111">IF(MAX(_xlfn.BYCOL('Prematch Backend 4A'!111:111, _xlfn.LAMBDA(_xlpm.ARRAY,IF(_xlpm.ARRAY="teleOp", COLUMN(_xlpm.ARRAY), 0))))=0,"",MAX(_xlfn.BYCOL('Prematch Backend 4A'!111:111, _xlfn.LAMBDA(_xlpm.ARRAY,IF(_xlpm.ARRAY="teleOp", COLUMN(_xlpm.ARRAY), 0)))))</f>
        <v/>
      </c>
      <c r="B111" t="str" cm="1">
        <f t="array" ref="B111">IF(A111="","",_xlfn.CHOOSECOLS('Prematch Backend 2A'!111:111,_xlfn.MAKEARRAY(1,A111-2,_xlfn.LAMBDA(_xlpm.r,_xlpm.c,_xlpm.c))))</f>
        <v/>
      </c>
    </row>
    <row r="112" spans="1:2" x14ac:dyDescent="0.2">
      <c r="A112" t="str" cm="1">
        <f t="array" ref="A112">IF(MAX(_xlfn.BYCOL('Prematch Backend 4A'!112:112, _xlfn.LAMBDA(_xlpm.ARRAY,IF(_xlpm.ARRAY="teleOp", COLUMN(_xlpm.ARRAY), 0))))=0,"",MAX(_xlfn.BYCOL('Prematch Backend 4A'!112:112, _xlfn.LAMBDA(_xlpm.ARRAY,IF(_xlpm.ARRAY="teleOp", COLUMN(_xlpm.ARRAY), 0)))))</f>
        <v/>
      </c>
      <c r="B112" t="str" cm="1">
        <f t="array" ref="B112">IF(A112="","",_xlfn.CHOOSECOLS('Prematch Backend 2A'!112:112,_xlfn.MAKEARRAY(1,A112-2,_xlfn.LAMBDA(_xlpm.r,_xlpm.c,_xlpm.c))))</f>
        <v/>
      </c>
    </row>
    <row r="113" spans="1:2" x14ac:dyDescent="0.2">
      <c r="A113" t="str" cm="1">
        <f t="array" ref="A113">IF(MAX(_xlfn.BYCOL('Prematch Backend 4A'!113:113, _xlfn.LAMBDA(_xlpm.ARRAY,IF(_xlpm.ARRAY="teleOp", COLUMN(_xlpm.ARRAY), 0))))=0,"",MAX(_xlfn.BYCOL('Prematch Backend 4A'!113:113, _xlfn.LAMBDA(_xlpm.ARRAY,IF(_xlpm.ARRAY="teleOp", COLUMN(_xlpm.ARRAY), 0)))))</f>
        <v/>
      </c>
      <c r="B113" t="str" cm="1">
        <f t="array" ref="B113">IF(A113="","",_xlfn.CHOOSECOLS('Prematch Backend 2A'!113:113,_xlfn.MAKEARRAY(1,A113-2,_xlfn.LAMBDA(_xlpm.r,_xlpm.c,_xlpm.c))))</f>
        <v/>
      </c>
    </row>
    <row r="114" spans="1:2" x14ac:dyDescent="0.2">
      <c r="A114" t="str" cm="1">
        <f t="array" ref="A114">IF(MAX(_xlfn.BYCOL('Prematch Backend 4A'!114:114, _xlfn.LAMBDA(_xlpm.ARRAY,IF(_xlpm.ARRAY="teleOp", COLUMN(_xlpm.ARRAY), 0))))=0,"",MAX(_xlfn.BYCOL('Prematch Backend 4A'!114:114, _xlfn.LAMBDA(_xlpm.ARRAY,IF(_xlpm.ARRAY="teleOp", COLUMN(_xlpm.ARRAY), 0)))))</f>
        <v/>
      </c>
      <c r="B114" t="str" cm="1">
        <f t="array" ref="B114">IF(A114="","",_xlfn.CHOOSECOLS('Prematch Backend 2A'!114:114,_xlfn.MAKEARRAY(1,A114-2,_xlfn.LAMBDA(_xlpm.r,_xlpm.c,_xlpm.c))))</f>
        <v/>
      </c>
    </row>
    <row r="115" spans="1:2" x14ac:dyDescent="0.2">
      <c r="A115" t="str" cm="1">
        <f t="array" ref="A115">IF(MAX(_xlfn.BYCOL('Prematch Backend 4A'!115:115, _xlfn.LAMBDA(_xlpm.ARRAY,IF(_xlpm.ARRAY="teleOp", COLUMN(_xlpm.ARRAY), 0))))=0,"",MAX(_xlfn.BYCOL('Prematch Backend 4A'!115:115, _xlfn.LAMBDA(_xlpm.ARRAY,IF(_xlpm.ARRAY="teleOp", COLUMN(_xlpm.ARRAY), 0)))))</f>
        <v/>
      </c>
      <c r="B115" t="str" cm="1">
        <f t="array" ref="B115">IF(A115="","",_xlfn.CHOOSECOLS('Prematch Backend 2A'!115:115,_xlfn.MAKEARRAY(1,A115-2,_xlfn.LAMBDA(_xlpm.r,_xlpm.c,_xlpm.c))))</f>
        <v/>
      </c>
    </row>
    <row r="116" spans="1:2" x14ac:dyDescent="0.2">
      <c r="A116" t="str" cm="1">
        <f t="array" ref="A116">IF(MAX(_xlfn.BYCOL('Prematch Backend 4A'!116:116, _xlfn.LAMBDA(_xlpm.ARRAY,IF(_xlpm.ARRAY="teleOp", COLUMN(_xlpm.ARRAY), 0))))=0,"",MAX(_xlfn.BYCOL('Prematch Backend 4A'!116:116, _xlfn.LAMBDA(_xlpm.ARRAY,IF(_xlpm.ARRAY="teleOp", COLUMN(_xlpm.ARRAY), 0)))))</f>
        <v/>
      </c>
      <c r="B116" t="str" cm="1">
        <f t="array" ref="B116">IF(A116="","",_xlfn.CHOOSECOLS('Prematch Backend 2A'!116:116,_xlfn.MAKEARRAY(1,A116-2,_xlfn.LAMBDA(_xlpm.r,_xlpm.c,_xlpm.c))))</f>
        <v/>
      </c>
    </row>
    <row r="117" spans="1:2" x14ac:dyDescent="0.2">
      <c r="A117" t="str" cm="1">
        <f t="array" ref="A117">IF(MAX(_xlfn.BYCOL('Prematch Backend 4A'!117:117, _xlfn.LAMBDA(_xlpm.ARRAY,IF(_xlpm.ARRAY="teleOp", COLUMN(_xlpm.ARRAY), 0))))=0,"",MAX(_xlfn.BYCOL('Prematch Backend 4A'!117:117, _xlfn.LAMBDA(_xlpm.ARRAY,IF(_xlpm.ARRAY="teleOp", COLUMN(_xlpm.ARRAY), 0)))))</f>
        <v/>
      </c>
      <c r="B117" t="str" cm="1">
        <f t="array" ref="B117">IF(A117="","",_xlfn.CHOOSECOLS('Prematch Backend 2A'!117:117,_xlfn.MAKEARRAY(1,A117-2,_xlfn.LAMBDA(_xlpm.r,_xlpm.c,_xlpm.c))))</f>
        <v/>
      </c>
    </row>
    <row r="118" spans="1:2" x14ac:dyDescent="0.2">
      <c r="A118" t="str" cm="1">
        <f t="array" ref="A118">IF(MAX(_xlfn.BYCOL('Prematch Backend 4A'!118:118, _xlfn.LAMBDA(_xlpm.ARRAY,IF(_xlpm.ARRAY="teleOp", COLUMN(_xlpm.ARRAY), 0))))=0,"",MAX(_xlfn.BYCOL('Prematch Backend 4A'!118:118, _xlfn.LAMBDA(_xlpm.ARRAY,IF(_xlpm.ARRAY="teleOp", COLUMN(_xlpm.ARRAY), 0)))))</f>
        <v/>
      </c>
      <c r="B118" t="str" cm="1">
        <f t="array" ref="B118">IF(A118="","",_xlfn.CHOOSECOLS('Prematch Backend 2A'!118:118,_xlfn.MAKEARRAY(1,A118-2,_xlfn.LAMBDA(_xlpm.r,_xlpm.c,_xlpm.c))))</f>
        <v/>
      </c>
    </row>
    <row r="119" spans="1:2" x14ac:dyDescent="0.2">
      <c r="A119" t="str" cm="1">
        <f t="array" ref="A119">IF(MAX(_xlfn.BYCOL('Prematch Backend 4A'!119:119, _xlfn.LAMBDA(_xlpm.ARRAY,IF(_xlpm.ARRAY="teleOp", COLUMN(_xlpm.ARRAY), 0))))=0,"",MAX(_xlfn.BYCOL('Prematch Backend 4A'!119:119, _xlfn.LAMBDA(_xlpm.ARRAY,IF(_xlpm.ARRAY="teleOp", COLUMN(_xlpm.ARRAY), 0)))))</f>
        <v/>
      </c>
      <c r="B119" t="str" cm="1">
        <f t="array" ref="B119">IF(A119="","",_xlfn.CHOOSECOLS('Prematch Backend 2A'!119:119,_xlfn.MAKEARRAY(1,A119-2,_xlfn.LAMBDA(_xlpm.r,_xlpm.c,_xlpm.c))))</f>
        <v/>
      </c>
    </row>
    <row r="120" spans="1:2" x14ac:dyDescent="0.2">
      <c r="A120" t="str" cm="1">
        <f t="array" ref="A120">IF(MAX(_xlfn.BYCOL('Prematch Backend 4A'!120:120, _xlfn.LAMBDA(_xlpm.ARRAY,IF(_xlpm.ARRAY="teleOp", COLUMN(_xlpm.ARRAY), 0))))=0,"",MAX(_xlfn.BYCOL('Prematch Backend 4A'!120:120, _xlfn.LAMBDA(_xlpm.ARRAY,IF(_xlpm.ARRAY="teleOp", COLUMN(_xlpm.ARRAY), 0)))))</f>
        <v/>
      </c>
      <c r="B120" t="str" cm="1">
        <f t="array" ref="B120">IF(A120="","",_xlfn.CHOOSECOLS('Prematch Backend 2A'!120:120,_xlfn.MAKEARRAY(1,A120-2,_xlfn.LAMBDA(_xlpm.r,_xlpm.c,_xlpm.c))))</f>
        <v/>
      </c>
    </row>
    <row r="121" spans="1:2" x14ac:dyDescent="0.2">
      <c r="A121" t="str" cm="1">
        <f t="array" ref="A121">IF(MAX(_xlfn.BYCOL('Prematch Backend 4A'!121:121, _xlfn.LAMBDA(_xlpm.ARRAY,IF(_xlpm.ARRAY="teleOp", COLUMN(_xlpm.ARRAY), 0))))=0,"",MAX(_xlfn.BYCOL('Prematch Backend 4A'!121:121, _xlfn.LAMBDA(_xlpm.ARRAY,IF(_xlpm.ARRAY="teleOp", COLUMN(_xlpm.ARRAY), 0)))))</f>
        <v/>
      </c>
      <c r="B121" t="str" cm="1">
        <f t="array" ref="B121">IF(A121="","",_xlfn.CHOOSECOLS('Prematch Backend 2A'!121:121,_xlfn.MAKEARRAY(1,A121-2,_xlfn.LAMBDA(_xlpm.r,_xlpm.c,_xlpm.c))))</f>
        <v/>
      </c>
    </row>
    <row r="122" spans="1:2" x14ac:dyDescent="0.2">
      <c r="A122" t="str" cm="1">
        <f t="array" ref="A122">IF(MAX(_xlfn.BYCOL('Prematch Backend 4A'!122:122, _xlfn.LAMBDA(_xlpm.ARRAY,IF(_xlpm.ARRAY="teleOp", COLUMN(_xlpm.ARRAY), 0))))=0,"",MAX(_xlfn.BYCOL('Prematch Backend 4A'!122:122, _xlfn.LAMBDA(_xlpm.ARRAY,IF(_xlpm.ARRAY="teleOp", COLUMN(_xlpm.ARRAY), 0)))))</f>
        <v/>
      </c>
      <c r="B122" t="str" cm="1">
        <f t="array" ref="B122">IF(A122="","",_xlfn.CHOOSECOLS('Prematch Backend 2A'!122:122,_xlfn.MAKEARRAY(1,A122-2,_xlfn.LAMBDA(_xlpm.r,_xlpm.c,_xlpm.c))))</f>
        <v/>
      </c>
    </row>
    <row r="123" spans="1:2" x14ac:dyDescent="0.2">
      <c r="A123" t="str" cm="1">
        <f t="array" ref="A123">IF(MAX(_xlfn.BYCOL('Prematch Backend 4A'!123:123, _xlfn.LAMBDA(_xlpm.ARRAY,IF(_xlpm.ARRAY="teleOp", COLUMN(_xlpm.ARRAY), 0))))=0,"",MAX(_xlfn.BYCOL('Prematch Backend 4A'!123:123, _xlfn.LAMBDA(_xlpm.ARRAY,IF(_xlpm.ARRAY="teleOp", COLUMN(_xlpm.ARRAY), 0)))))</f>
        <v/>
      </c>
      <c r="B123" t="str" cm="1">
        <f t="array" ref="B123">IF(A123="","",_xlfn.CHOOSECOLS('Prematch Backend 2A'!123:123,_xlfn.MAKEARRAY(1,A123-2,_xlfn.LAMBDA(_xlpm.r,_xlpm.c,_xlpm.c))))</f>
        <v/>
      </c>
    </row>
    <row r="124" spans="1:2" x14ac:dyDescent="0.2">
      <c r="A124" t="str" cm="1">
        <f t="array" ref="A124">IF(MAX(_xlfn.BYCOL('Prematch Backend 4A'!124:124, _xlfn.LAMBDA(_xlpm.ARRAY,IF(_xlpm.ARRAY="teleOp", COLUMN(_xlpm.ARRAY), 0))))=0,"",MAX(_xlfn.BYCOL('Prematch Backend 4A'!124:124, _xlfn.LAMBDA(_xlpm.ARRAY,IF(_xlpm.ARRAY="teleOp", COLUMN(_xlpm.ARRAY), 0)))))</f>
        <v/>
      </c>
      <c r="B124" t="str" cm="1">
        <f t="array" ref="B124">IF(A124="","",_xlfn.CHOOSECOLS('Prematch Backend 2A'!124:124,_xlfn.MAKEARRAY(1,A124-2,_xlfn.LAMBDA(_xlpm.r,_xlpm.c,_xlpm.c))))</f>
        <v/>
      </c>
    </row>
    <row r="125" spans="1:2" x14ac:dyDescent="0.2">
      <c r="A125" t="str" cm="1">
        <f t="array" ref="A125">IF(MAX(_xlfn.BYCOL('Prematch Backend 4A'!125:125, _xlfn.LAMBDA(_xlpm.ARRAY,IF(_xlpm.ARRAY="teleOp", COLUMN(_xlpm.ARRAY), 0))))=0,"",MAX(_xlfn.BYCOL('Prematch Backend 4A'!125:125, _xlfn.LAMBDA(_xlpm.ARRAY,IF(_xlpm.ARRAY="teleOp", COLUMN(_xlpm.ARRAY), 0)))))</f>
        <v/>
      </c>
      <c r="B125" t="str" cm="1">
        <f t="array" ref="B125">IF(A125="","",_xlfn.CHOOSECOLS('Prematch Backend 2A'!125:125,_xlfn.MAKEARRAY(1,A125-2,_xlfn.LAMBDA(_xlpm.r,_xlpm.c,_xlpm.c))))</f>
        <v/>
      </c>
    </row>
    <row r="126" spans="1:2" x14ac:dyDescent="0.2">
      <c r="A126" t="str" cm="1">
        <f t="array" ref="A126">IF(MAX(_xlfn.BYCOL('Prematch Backend 4A'!126:126, _xlfn.LAMBDA(_xlpm.ARRAY,IF(_xlpm.ARRAY="teleOp", COLUMN(_xlpm.ARRAY), 0))))=0,"",MAX(_xlfn.BYCOL('Prematch Backend 4A'!126:126, _xlfn.LAMBDA(_xlpm.ARRAY,IF(_xlpm.ARRAY="teleOp", COLUMN(_xlpm.ARRAY), 0)))))</f>
        <v/>
      </c>
      <c r="B126" t="str" cm="1">
        <f t="array" ref="B126">IF(A126="","",_xlfn.CHOOSECOLS('Prematch Backend 2A'!126:126,_xlfn.MAKEARRAY(1,A126-2,_xlfn.LAMBDA(_xlpm.r,_xlpm.c,_xlpm.c))))</f>
        <v/>
      </c>
    </row>
    <row r="127" spans="1:2" x14ac:dyDescent="0.2">
      <c r="A127" t="str" cm="1">
        <f t="array" ref="A127">IF(MAX(_xlfn.BYCOL('Prematch Backend 4A'!127:127, _xlfn.LAMBDA(_xlpm.ARRAY,IF(_xlpm.ARRAY="teleOp", COLUMN(_xlpm.ARRAY), 0))))=0,"",MAX(_xlfn.BYCOL('Prematch Backend 4A'!127:127, _xlfn.LAMBDA(_xlpm.ARRAY,IF(_xlpm.ARRAY="teleOp", COLUMN(_xlpm.ARRAY), 0)))))</f>
        <v/>
      </c>
      <c r="B127" t="str" cm="1">
        <f t="array" ref="B127">IF(A127="","",_xlfn.CHOOSECOLS('Prematch Backend 2A'!127:127,_xlfn.MAKEARRAY(1,A127-2,_xlfn.LAMBDA(_xlpm.r,_xlpm.c,_xlpm.c))))</f>
        <v/>
      </c>
    </row>
    <row r="128" spans="1:2" x14ac:dyDescent="0.2">
      <c r="A128" t="str" cm="1">
        <f t="array" ref="A128">IF(MAX(_xlfn.BYCOL('Prematch Backend 4A'!128:128, _xlfn.LAMBDA(_xlpm.ARRAY,IF(_xlpm.ARRAY="teleOp", COLUMN(_xlpm.ARRAY), 0))))=0,"",MAX(_xlfn.BYCOL('Prematch Backend 4A'!128:128, _xlfn.LAMBDA(_xlpm.ARRAY,IF(_xlpm.ARRAY="teleOp", COLUMN(_xlpm.ARRAY), 0)))))</f>
        <v/>
      </c>
      <c r="B128" t="str" cm="1">
        <f t="array" ref="B128">IF(A128="","",_xlfn.CHOOSECOLS('Prematch Backend 2A'!128:128,_xlfn.MAKEARRAY(1,A128-2,_xlfn.LAMBDA(_xlpm.r,_xlpm.c,_xlpm.c))))</f>
        <v/>
      </c>
    </row>
    <row r="129" spans="1:2" x14ac:dyDescent="0.2">
      <c r="A129" t="str" cm="1">
        <f t="array" ref="A129">IF(MAX(_xlfn.BYCOL('Prematch Backend 4A'!129:129, _xlfn.LAMBDA(_xlpm.ARRAY,IF(_xlpm.ARRAY="teleOp", COLUMN(_xlpm.ARRAY), 0))))=0,"",MAX(_xlfn.BYCOL('Prematch Backend 4A'!129:129, _xlfn.LAMBDA(_xlpm.ARRAY,IF(_xlpm.ARRAY="teleOp", COLUMN(_xlpm.ARRAY), 0)))))</f>
        <v/>
      </c>
      <c r="B129" t="str" cm="1">
        <f t="array" ref="B129">IF(A129="","",_xlfn.CHOOSECOLS('Prematch Backend 2A'!129:129,_xlfn.MAKEARRAY(1,A129-2,_xlfn.LAMBDA(_xlpm.r,_xlpm.c,_xlpm.c))))</f>
        <v/>
      </c>
    </row>
    <row r="130" spans="1:2" x14ac:dyDescent="0.2">
      <c r="A130" t="str" cm="1">
        <f t="array" ref="A130">IF(MAX(_xlfn.BYCOL('Prematch Backend 4A'!130:130, _xlfn.LAMBDA(_xlpm.ARRAY,IF(_xlpm.ARRAY="teleOp", COLUMN(_xlpm.ARRAY), 0))))=0,"",MAX(_xlfn.BYCOL('Prematch Backend 4A'!130:130, _xlfn.LAMBDA(_xlpm.ARRAY,IF(_xlpm.ARRAY="teleOp", COLUMN(_xlpm.ARRAY), 0)))))</f>
        <v/>
      </c>
      <c r="B130" t="str" cm="1">
        <f t="array" ref="B130">IF(A130="","",_xlfn.CHOOSECOLS('Prematch Backend 2A'!130:130,_xlfn.MAKEARRAY(1,A130-2,_xlfn.LAMBDA(_xlpm.r,_xlpm.c,_xlpm.c))))</f>
        <v/>
      </c>
    </row>
    <row r="131" spans="1:2" x14ac:dyDescent="0.2">
      <c r="A131" t="str" cm="1">
        <f t="array" ref="A131">IF(MAX(_xlfn.BYCOL('Prematch Backend 4A'!131:131, _xlfn.LAMBDA(_xlpm.ARRAY,IF(_xlpm.ARRAY="teleOp", COLUMN(_xlpm.ARRAY), 0))))=0,"",MAX(_xlfn.BYCOL('Prematch Backend 4A'!131:131, _xlfn.LAMBDA(_xlpm.ARRAY,IF(_xlpm.ARRAY="teleOp", COLUMN(_xlpm.ARRAY), 0)))))</f>
        <v/>
      </c>
      <c r="B131" t="str" cm="1">
        <f t="array" ref="B131">IF(A131="","",_xlfn.CHOOSECOLS('Prematch Backend 2A'!131:131,_xlfn.MAKEARRAY(1,A131-2,_xlfn.LAMBDA(_xlpm.r,_xlpm.c,_xlpm.c))))</f>
        <v/>
      </c>
    </row>
    <row r="132" spans="1:2" x14ac:dyDescent="0.2">
      <c r="A132" t="str" cm="1">
        <f t="array" ref="A132">IF(MAX(_xlfn.BYCOL('Prematch Backend 4A'!132:132, _xlfn.LAMBDA(_xlpm.ARRAY,IF(_xlpm.ARRAY="teleOp", COLUMN(_xlpm.ARRAY), 0))))=0,"",MAX(_xlfn.BYCOL('Prematch Backend 4A'!132:132, _xlfn.LAMBDA(_xlpm.ARRAY,IF(_xlpm.ARRAY="teleOp", COLUMN(_xlpm.ARRAY), 0)))))</f>
        <v/>
      </c>
      <c r="B132" t="str" cm="1">
        <f t="array" ref="B132">IF(A132="","",_xlfn.CHOOSECOLS('Prematch Backend 2A'!132:132,_xlfn.MAKEARRAY(1,A132-2,_xlfn.LAMBDA(_xlpm.r,_xlpm.c,_xlpm.c))))</f>
        <v/>
      </c>
    </row>
    <row r="133" spans="1:2" x14ac:dyDescent="0.2">
      <c r="A133" t="str" cm="1">
        <f t="array" ref="A133">IF(MAX(_xlfn.BYCOL('Prematch Backend 4A'!133:133, _xlfn.LAMBDA(_xlpm.ARRAY,IF(_xlpm.ARRAY="teleOp", COLUMN(_xlpm.ARRAY), 0))))=0,"",MAX(_xlfn.BYCOL('Prematch Backend 4A'!133:133, _xlfn.LAMBDA(_xlpm.ARRAY,IF(_xlpm.ARRAY="teleOp", COLUMN(_xlpm.ARRAY), 0)))))</f>
        <v/>
      </c>
      <c r="B133" t="str" cm="1">
        <f t="array" ref="B133">IF(A133="","",_xlfn.CHOOSECOLS('Prematch Backend 2A'!133:133,_xlfn.MAKEARRAY(1,A133-2,_xlfn.LAMBDA(_xlpm.r,_xlpm.c,_xlpm.c))))</f>
        <v/>
      </c>
    </row>
    <row r="134" spans="1:2" x14ac:dyDescent="0.2">
      <c r="A134" t="str" cm="1">
        <f t="array" ref="A134">IF(MAX(_xlfn.BYCOL('Prematch Backend 4A'!134:134, _xlfn.LAMBDA(_xlpm.ARRAY,IF(_xlpm.ARRAY="teleOp", COLUMN(_xlpm.ARRAY), 0))))=0,"",MAX(_xlfn.BYCOL('Prematch Backend 4A'!134:134, _xlfn.LAMBDA(_xlpm.ARRAY,IF(_xlpm.ARRAY="teleOp", COLUMN(_xlpm.ARRAY), 0)))))</f>
        <v/>
      </c>
      <c r="B134" t="str" cm="1">
        <f t="array" ref="B134">IF(A134="","",_xlfn.CHOOSECOLS('Prematch Backend 2A'!134:134,_xlfn.MAKEARRAY(1,A134-2,_xlfn.LAMBDA(_xlpm.r,_xlpm.c,_xlpm.c))))</f>
        <v/>
      </c>
    </row>
    <row r="135" spans="1:2" x14ac:dyDescent="0.2">
      <c r="A135" t="str" cm="1">
        <f t="array" ref="A135">IF(MAX(_xlfn.BYCOL('Prematch Backend 4A'!135:135, _xlfn.LAMBDA(_xlpm.ARRAY,IF(_xlpm.ARRAY="teleOp", COLUMN(_xlpm.ARRAY), 0))))=0,"",MAX(_xlfn.BYCOL('Prematch Backend 4A'!135:135, _xlfn.LAMBDA(_xlpm.ARRAY,IF(_xlpm.ARRAY="teleOp", COLUMN(_xlpm.ARRAY), 0)))))</f>
        <v/>
      </c>
      <c r="B135" t="str" cm="1">
        <f t="array" ref="B135">IF(A135="","",_xlfn.CHOOSECOLS('Prematch Backend 2A'!135:135,_xlfn.MAKEARRAY(1,A135-2,_xlfn.LAMBDA(_xlpm.r,_xlpm.c,_xlpm.c))))</f>
        <v/>
      </c>
    </row>
    <row r="136" spans="1:2" x14ac:dyDescent="0.2">
      <c r="A136" t="str" cm="1">
        <f t="array" ref="A136">IF(MAX(_xlfn.BYCOL('Prematch Backend 4A'!136:136, _xlfn.LAMBDA(_xlpm.ARRAY,IF(_xlpm.ARRAY="teleOp", COLUMN(_xlpm.ARRAY), 0))))=0,"",MAX(_xlfn.BYCOL('Prematch Backend 4A'!136:136, _xlfn.LAMBDA(_xlpm.ARRAY,IF(_xlpm.ARRAY="teleOp", COLUMN(_xlpm.ARRAY), 0)))))</f>
        <v/>
      </c>
      <c r="B136" t="str" cm="1">
        <f t="array" ref="B136">IF(A136="","",_xlfn.CHOOSECOLS('Prematch Backend 2A'!136:136,_xlfn.MAKEARRAY(1,A136-2,_xlfn.LAMBDA(_xlpm.r,_xlpm.c,_xlpm.c))))</f>
        <v/>
      </c>
    </row>
    <row r="137" spans="1:2" x14ac:dyDescent="0.2">
      <c r="A137" t="str" cm="1">
        <f t="array" ref="A137">IF(MAX(_xlfn.BYCOL('Prematch Backend 4A'!137:137, _xlfn.LAMBDA(_xlpm.ARRAY,IF(_xlpm.ARRAY="teleOp", COLUMN(_xlpm.ARRAY), 0))))=0,"",MAX(_xlfn.BYCOL('Prematch Backend 4A'!137:137, _xlfn.LAMBDA(_xlpm.ARRAY,IF(_xlpm.ARRAY="teleOp", COLUMN(_xlpm.ARRAY), 0)))))</f>
        <v/>
      </c>
      <c r="B137" t="str" cm="1">
        <f t="array" ref="B137">IF(A137="","",_xlfn.CHOOSECOLS('Prematch Backend 2A'!137:137,_xlfn.MAKEARRAY(1,A137-2,_xlfn.LAMBDA(_xlpm.r,_xlpm.c,_xlpm.c))))</f>
        <v/>
      </c>
    </row>
    <row r="138" spans="1:2" x14ac:dyDescent="0.2">
      <c r="A138" t="str" cm="1">
        <f t="array" ref="A138">IF(MAX(_xlfn.BYCOL('Prematch Backend 4A'!138:138, _xlfn.LAMBDA(_xlpm.ARRAY,IF(_xlpm.ARRAY="teleOp", COLUMN(_xlpm.ARRAY), 0))))=0,"",MAX(_xlfn.BYCOL('Prematch Backend 4A'!138:138, _xlfn.LAMBDA(_xlpm.ARRAY,IF(_xlpm.ARRAY="teleOp", COLUMN(_xlpm.ARRAY), 0)))))</f>
        <v/>
      </c>
      <c r="B138" t="str" cm="1">
        <f t="array" ref="B138">IF(A138="","",_xlfn.CHOOSECOLS('Prematch Backend 2A'!138:138,_xlfn.MAKEARRAY(1,A138-2,_xlfn.LAMBDA(_xlpm.r,_xlpm.c,_xlpm.c))))</f>
        <v/>
      </c>
    </row>
    <row r="139" spans="1:2" x14ac:dyDescent="0.2">
      <c r="A139" t="str" cm="1">
        <f t="array" ref="A139">IF(MAX(_xlfn.BYCOL('Prematch Backend 4A'!139:139, _xlfn.LAMBDA(_xlpm.ARRAY,IF(_xlpm.ARRAY="teleOp", COLUMN(_xlpm.ARRAY), 0))))=0,"",MAX(_xlfn.BYCOL('Prematch Backend 4A'!139:139, _xlfn.LAMBDA(_xlpm.ARRAY,IF(_xlpm.ARRAY="teleOp", COLUMN(_xlpm.ARRAY), 0)))))</f>
        <v/>
      </c>
      <c r="B139" t="str" cm="1">
        <f t="array" ref="B139">IF(A139="","",_xlfn.CHOOSECOLS('Prematch Backend 2A'!139:139,_xlfn.MAKEARRAY(1,A139-2,_xlfn.LAMBDA(_xlpm.r,_xlpm.c,_xlpm.c))))</f>
        <v/>
      </c>
    </row>
    <row r="140" spans="1:2" x14ac:dyDescent="0.2">
      <c r="A140" t="str" cm="1">
        <f t="array" ref="A140">IF(MAX(_xlfn.BYCOL('Prematch Backend 4A'!140:140, _xlfn.LAMBDA(_xlpm.ARRAY,IF(_xlpm.ARRAY="teleOp", COLUMN(_xlpm.ARRAY), 0))))=0,"",MAX(_xlfn.BYCOL('Prematch Backend 4A'!140:140, _xlfn.LAMBDA(_xlpm.ARRAY,IF(_xlpm.ARRAY="teleOp", COLUMN(_xlpm.ARRAY), 0)))))</f>
        <v/>
      </c>
      <c r="B140" t="str" cm="1">
        <f t="array" ref="B140">IF(A140="","",_xlfn.CHOOSECOLS('Prematch Backend 2A'!140:140,_xlfn.MAKEARRAY(1,A140-2,_xlfn.LAMBDA(_xlpm.r,_xlpm.c,_xlpm.c))))</f>
        <v/>
      </c>
    </row>
    <row r="141" spans="1:2" x14ac:dyDescent="0.2">
      <c r="B141" t="str" cm="1">
        <f t="array" ref="B141">IF(A141="","",_xlfn.CHOOSECOLS('Prematch Backend 2A'!141:141,_xlfn.MAKEARRAY(1,A141-2,_xlfn.LAMBDA(_xlpm.r,_xlpm.c,_xlpm.c))))</f>
        <v/>
      </c>
    </row>
    <row r="142" spans="1:2" x14ac:dyDescent="0.2">
      <c r="B142" t="str" cm="1">
        <f t="array" ref="B142">IF(A142="","",_xlfn.CHOOSECOLS('Prematch Backend 2A'!142:142,_xlfn.MAKEARRAY(1,A142-2,_xlfn.LAMBDA(_xlpm.r,_xlpm.c,_xlpm.c))))</f>
        <v/>
      </c>
    </row>
    <row r="143" spans="1:2" x14ac:dyDescent="0.2">
      <c r="B143" t="str" cm="1">
        <f t="array" ref="B143">IF(A143="","",_xlfn.CHOOSECOLS('Prematch Backend 2A'!143:143,_xlfn.MAKEARRAY(1,A143-2,_xlfn.LAMBDA(_xlpm.r,_xlpm.c,_xlpm.c))))</f>
        <v/>
      </c>
    </row>
    <row r="144" spans="1:2" x14ac:dyDescent="0.2">
      <c r="B144" t="str" cm="1">
        <f t="array" ref="B144">IF(A144="","",_xlfn.CHOOSECOLS('Prematch Backend 2A'!144:144,_xlfn.MAKEARRAY(1,A144-2,_xlfn.LAMBDA(_xlpm.r,_xlpm.c,_xlpm.c))))</f>
        <v/>
      </c>
    </row>
    <row r="145" spans="2:2" x14ac:dyDescent="0.2">
      <c r="B145" t="str" cm="1">
        <f t="array" ref="B145">IF(A145="","",_xlfn.CHOOSECOLS('Prematch Backend 2A'!145:145,_xlfn.MAKEARRAY(1,A145-2,_xlfn.LAMBDA(_xlpm.r,_xlpm.c,_xlpm.c))))</f>
        <v/>
      </c>
    </row>
    <row r="146" spans="2:2" x14ac:dyDescent="0.2">
      <c r="B146" t="str" cm="1">
        <f t="array" ref="B146">IF(A146="","",_xlfn.CHOOSECOLS('Prematch Backend 2A'!146:146,_xlfn.MAKEARRAY(1,A146-2,_xlfn.LAMBDA(_xlpm.r,_xlpm.c,_xlpm.c))))</f>
        <v/>
      </c>
    </row>
    <row r="147" spans="2:2" x14ac:dyDescent="0.2">
      <c r="B147" t="str" cm="1">
        <f t="array" ref="B147">IF(A147="","",_xlfn.CHOOSECOLS('Prematch Backend 2A'!147:147,_xlfn.MAKEARRAY(1,A147-2,_xlfn.LAMBDA(_xlpm.r,_xlpm.c,_xlpm.c))))</f>
        <v/>
      </c>
    </row>
    <row r="148" spans="2:2" x14ac:dyDescent="0.2">
      <c r="B148" t="str" cm="1">
        <f t="array" ref="B148">IF(A148="","",_xlfn.CHOOSECOLS('Prematch Backend 2A'!148:148,_xlfn.MAKEARRAY(1,A148-2,_xlfn.LAMBDA(_xlpm.r,_xlpm.c,_xlpm.c))))</f>
        <v/>
      </c>
    </row>
    <row r="149" spans="2:2" x14ac:dyDescent="0.2">
      <c r="B149" t="str" cm="1">
        <f t="array" ref="B149">IF(A149="","",_xlfn.CHOOSECOLS('Prematch Backend 2A'!149:149,_xlfn.MAKEARRAY(1,A149-2,_xlfn.LAMBDA(_xlpm.r,_xlpm.c,_xlpm.c))))</f>
        <v/>
      </c>
    </row>
    <row r="150" spans="2:2" x14ac:dyDescent="0.2">
      <c r="B150" t="str" cm="1">
        <f t="array" ref="B150">IF(A150="","",_xlfn.CHOOSECOLS('Prematch Backend 2A'!150:150,_xlfn.MAKEARRAY(1,A150-2,_xlfn.LAMBDA(_xlpm.r,_xlpm.c,_xlpm.c))))</f>
        <v/>
      </c>
    </row>
    <row r="151" spans="2:2" x14ac:dyDescent="0.2">
      <c r="B151" t="str" cm="1">
        <f t="array" ref="B151">IF(A151="","",_xlfn.CHOOSECOLS('Prematch Backend 2A'!151:151,_xlfn.MAKEARRAY(1,A151-2,_xlfn.LAMBDA(_xlpm.r,_xlpm.c,_xlpm.c))))</f>
        <v/>
      </c>
    </row>
    <row r="152" spans="2:2" x14ac:dyDescent="0.2">
      <c r="B152" t="str" cm="1">
        <f t="array" ref="B152">IF(A152="","",_xlfn.CHOOSECOLS('Prematch Backend 2A'!152:152,_xlfn.MAKEARRAY(1,A152-2,_xlfn.LAMBDA(_xlpm.r,_xlpm.c,_xlpm.c))))</f>
        <v/>
      </c>
    </row>
    <row r="153" spans="2:2" x14ac:dyDescent="0.2">
      <c r="B153" t="str" cm="1">
        <f t="array" ref="B153">IF(A153="","",_xlfn.CHOOSECOLS('Prematch Backend 2A'!153:153,_xlfn.MAKEARRAY(1,A153-2,_xlfn.LAMBDA(_xlpm.r,_xlpm.c,_xlpm.c))))</f>
        <v/>
      </c>
    </row>
    <row r="154" spans="2:2" x14ac:dyDescent="0.2">
      <c r="B154" t="str" cm="1">
        <f t="array" ref="B154">IF(A154="","",_xlfn.CHOOSECOLS('Prematch Backend 2A'!154:154,_xlfn.MAKEARRAY(1,A154-2,_xlfn.LAMBDA(_xlpm.r,_xlpm.c,_xlpm.c))))</f>
        <v/>
      </c>
    </row>
    <row r="155" spans="2:2" x14ac:dyDescent="0.2">
      <c r="B155" t="str" cm="1">
        <f t="array" ref="B155">IF(A155="","",_xlfn.CHOOSECOLS('Prematch Backend 2A'!155:155,_xlfn.MAKEARRAY(1,A155-2,_xlfn.LAMBDA(_xlpm.r,_xlpm.c,_xlpm.c))))</f>
        <v/>
      </c>
    </row>
    <row r="156" spans="2:2" x14ac:dyDescent="0.2">
      <c r="B156" t="str" cm="1">
        <f t="array" ref="B156">IF(A156="","",_xlfn.CHOOSECOLS('Prematch Backend 2A'!156:156,_xlfn.MAKEARRAY(1,A156-2,_xlfn.LAMBDA(_xlpm.r,_xlpm.c,_xlpm.c))))</f>
        <v/>
      </c>
    </row>
    <row r="157" spans="2:2" x14ac:dyDescent="0.2">
      <c r="B157" t="str" cm="1">
        <f t="array" ref="B157">IF(A157="","",_xlfn.CHOOSECOLS('Prematch Backend 2A'!157:157,_xlfn.MAKEARRAY(1,A157-2,_xlfn.LAMBDA(_xlpm.r,_xlpm.c,_xlpm.c))))</f>
        <v/>
      </c>
    </row>
    <row r="158" spans="2:2" x14ac:dyDescent="0.2">
      <c r="B158" t="str" cm="1">
        <f t="array" ref="B158">IF(A158="","",_xlfn.CHOOSECOLS('Prematch Backend 2A'!158:158,_xlfn.MAKEARRAY(1,A158-2,_xlfn.LAMBDA(_xlpm.r,_xlpm.c,_xlpm.c))))</f>
        <v/>
      </c>
    </row>
    <row r="159" spans="2:2" x14ac:dyDescent="0.2">
      <c r="B159" t="str" cm="1">
        <f t="array" ref="B159">IF(A159="","",_xlfn.CHOOSECOLS('Prematch Backend 2A'!159:159,_xlfn.MAKEARRAY(1,A159-2,_xlfn.LAMBDA(_xlpm.r,_xlpm.c,_xlpm.c))))</f>
        <v/>
      </c>
    </row>
    <row r="160" spans="2:2" x14ac:dyDescent="0.2">
      <c r="B160" t="str" cm="1">
        <f t="array" ref="B160">IF(A160="","",_xlfn.CHOOSECOLS('Prematch Backend 2A'!160:160,_xlfn.MAKEARRAY(1,A160-2,_xlfn.LAMBDA(_xlpm.r,_xlpm.c,_xlpm.c))))</f>
        <v/>
      </c>
    </row>
    <row r="161" spans="2:2" x14ac:dyDescent="0.2">
      <c r="B161" t="str" cm="1">
        <f t="array" ref="B161">IF(A161="","",_xlfn.CHOOSECOLS('Prematch Backend 2A'!161:161,_xlfn.MAKEARRAY(1,A161-2,_xlfn.LAMBDA(_xlpm.r,_xlpm.c,_xlpm.c))))</f>
        <v/>
      </c>
    </row>
    <row r="162" spans="2:2" x14ac:dyDescent="0.2">
      <c r="B162" t="str" cm="1">
        <f t="array" ref="B162">IF(A162="","",_xlfn.CHOOSECOLS('Prematch Backend 2A'!162:162,_xlfn.MAKEARRAY(1,A162-2,_xlfn.LAMBDA(_xlpm.r,_xlpm.c,_xlpm.c))))</f>
        <v/>
      </c>
    </row>
    <row r="163" spans="2:2" x14ac:dyDescent="0.2">
      <c r="B163" t="str" cm="1">
        <f t="array" ref="B163">IF(A163="","",_xlfn.CHOOSECOLS('Prematch Backend 2A'!163:163,_xlfn.MAKEARRAY(1,A163-2,_xlfn.LAMBDA(_xlpm.r,_xlpm.c,_xlpm.c))))</f>
        <v/>
      </c>
    </row>
    <row r="164" spans="2:2" x14ac:dyDescent="0.2">
      <c r="B164" t="str" cm="1">
        <f t="array" ref="B164">IF(A164="","",_xlfn.CHOOSECOLS('Prematch Backend 2A'!164:164,_xlfn.MAKEARRAY(1,A164-2,_xlfn.LAMBDA(_xlpm.r,_xlpm.c,_xlpm.c))))</f>
        <v/>
      </c>
    </row>
    <row r="165" spans="2:2" x14ac:dyDescent="0.2">
      <c r="B165" t="str" cm="1">
        <f t="array" ref="B165">IF(A165="","",_xlfn.CHOOSECOLS('Prematch Backend 2A'!165:165,_xlfn.MAKEARRAY(1,A165-2,_xlfn.LAMBDA(_xlpm.r,_xlpm.c,_xlpm.c))))</f>
        <v/>
      </c>
    </row>
    <row r="166" spans="2:2" x14ac:dyDescent="0.2">
      <c r="B166" t="str" cm="1">
        <f t="array" ref="B166">IF(A166="","",_xlfn.CHOOSECOLS('Prematch Backend 2A'!166:166,_xlfn.MAKEARRAY(1,A166-2,_xlfn.LAMBDA(_xlpm.r,_xlpm.c,_xlpm.c))))</f>
        <v/>
      </c>
    </row>
    <row r="167" spans="2:2" x14ac:dyDescent="0.2">
      <c r="B167" t="str" cm="1">
        <f t="array" ref="B167">IF(A167="","",_xlfn.CHOOSECOLS('Prematch Backend 2A'!167:167,_xlfn.MAKEARRAY(1,A167-2,_xlfn.LAMBDA(_xlpm.r,_xlpm.c,_xlpm.c))))</f>
        <v/>
      </c>
    </row>
    <row r="168" spans="2:2" x14ac:dyDescent="0.2">
      <c r="B168" t="str" cm="1">
        <f t="array" ref="B168">IF(A168="","",_xlfn.CHOOSECOLS('Prematch Backend 2A'!168:168,_xlfn.MAKEARRAY(1,A168-2,_xlfn.LAMBDA(_xlpm.r,_xlpm.c,_xlpm.c))))</f>
        <v/>
      </c>
    </row>
    <row r="169" spans="2:2" x14ac:dyDescent="0.2">
      <c r="B169" t="str" cm="1">
        <f t="array" ref="B169">IF(A169="","",_xlfn.CHOOSECOLS('Prematch Backend 2A'!169:169,_xlfn.MAKEARRAY(1,A169-2,_xlfn.LAMBDA(_xlpm.r,_xlpm.c,_xlpm.c))))</f>
        <v/>
      </c>
    </row>
    <row r="170" spans="2:2" x14ac:dyDescent="0.2">
      <c r="B170" t="str" cm="1">
        <f t="array" ref="B170">IF(A170="","",_xlfn.CHOOSECOLS('Prematch Backend 2A'!170:170,_xlfn.MAKEARRAY(1,A170-2,_xlfn.LAMBDA(_xlpm.r,_xlpm.c,_xlpm.c))))</f>
        <v/>
      </c>
    </row>
    <row r="171" spans="2:2" x14ac:dyDescent="0.2">
      <c r="B171" t="str" cm="1">
        <f t="array" ref="B171">IF(A171="","",_xlfn.CHOOSECOLS('Prematch Backend 2A'!171:171,_xlfn.MAKEARRAY(1,A171-2,_xlfn.LAMBDA(_xlpm.r,_xlpm.c,_xlpm.c))))</f>
        <v/>
      </c>
    </row>
    <row r="172" spans="2:2" x14ac:dyDescent="0.2">
      <c r="B172" t="str" cm="1">
        <f t="array" ref="B172">IF(A172="","",_xlfn.CHOOSECOLS('Prematch Backend 2A'!172:172,_xlfn.MAKEARRAY(1,A172-2,_xlfn.LAMBDA(_xlpm.r,_xlpm.c,_xlpm.c))))</f>
        <v/>
      </c>
    </row>
    <row r="173" spans="2:2" x14ac:dyDescent="0.2">
      <c r="B173" t="str" cm="1">
        <f t="array" ref="B173">IF(A173="","",_xlfn.CHOOSECOLS('Prematch Backend 2A'!173:173,_xlfn.MAKEARRAY(1,A173-2,_xlfn.LAMBDA(_xlpm.r,_xlpm.c,_xlpm.c))))</f>
        <v/>
      </c>
    </row>
    <row r="174" spans="2:2" x14ac:dyDescent="0.2">
      <c r="B174" t="str" cm="1">
        <f t="array" ref="B174">IF(A174="","",_xlfn.CHOOSECOLS('Prematch Backend 2A'!174:174,_xlfn.MAKEARRAY(1,A174-2,_xlfn.LAMBDA(_xlpm.r,_xlpm.c,_xlpm.c))))</f>
        <v/>
      </c>
    </row>
    <row r="175" spans="2:2" x14ac:dyDescent="0.2">
      <c r="B175" t="str" cm="1">
        <f t="array" ref="B175">IF(A175="","",_xlfn.CHOOSECOLS('Prematch Backend 2A'!175:175,_xlfn.MAKEARRAY(1,A175-2,_xlfn.LAMBDA(_xlpm.r,_xlpm.c,_xlpm.c))))</f>
        <v/>
      </c>
    </row>
    <row r="176" spans="2:2" x14ac:dyDescent="0.2">
      <c r="B176" t="str" cm="1">
        <f t="array" ref="B176">IF(A176="","",_xlfn.CHOOSECOLS('Prematch Backend 2A'!176:176,_xlfn.MAKEARRAY(1,A176-2,_xlfn.LAMBDA(_xlpm.r,_xlpm.c,_xlpm.c))))</f>
        <v/>
      </c>
    </row>
    <row r="177" spans="2:2" x14ac:dyDescent="0.2">
      <c r="B177" t="str" cm="1">
        <f t="array" ref="B177">IF(A177="","",_xlfn.CHOOSECOLS('Prematch Backend 2A'!177:177,_xlfn.MAKEARRAY(1,A177-2,_xlfn.LAMBDA(_xlpm.r,_xlpm.c,_xlpm.c))))</f>
        <v/>
      </c>
    </row>
    <row r="178" spans="2:2" x14ac:dyDescent="0.2">
      <c r="B178" t="str" cm="1">
        <f t="array" ref="B178">IF(A178="","",_xlfn.CHOOSECOLS('Prematch Backend 2A'!178:178,_xlfn.MAKEARRAY(1,A178-2,_xlfn.LAMBDA(_xlpm.r,_xlpm.c,_xlpm.c))))</f>
        <v/>
      </c>
    </row>
    <row r="179" spans="2:2" x14ac:dyDescent="0.2">
      <c r="B179" t="str" cm="1">
        <f t="array" ref="B179">IF(A179="","",_xlfn.CHOOSECOLS('Prematch Backend 2A'!179:179,_xlfn.MAKEARRAY(1,A179-2,_xlfn.LAMBDA(_xlpm.r,_xlpm.c,_xlpm.c))))</f>
        <v/>
      </c>
    </row>
    <row r="180" spans="2:2" x14ac:dyDescent="0.2">
      <c r="B180" t="str" cm="1">
        <f t="array" ref="B180">IF(A180="","",_xlfn.CHOOSECOLS('Prematch Backend 2A'!180:180,_xlfn.MAKEARRAY(1,A180-2,_xlfn.LAMBDA(_xlpm.r,_xlpm.c,_xlpm.c))))</f>
        <v/>
      </c>
    </row>
    <row r="181" spans="2:2" x14ac:dyDescent="0.2">
      <c r="B181" t="str" cm="1">
        <f t="array" ref="B181">IF(A181="","",_xlfn.CHOOSECOLS('Prematch Backend 2A'!181:181,_xlfn.MAKEARRAY(1,A181-2,_xlfn.LAMBDA(_xlpm.r,_xlpm.c,_xlpm.c))))</f>
        <v/>
      </c>
    </row>
    <row r="182" spans="2:2" x14ac:dyDescent="0.2">
      <c r="B182" t="str" cm="1">
        <f t="array" ref="B182">IF(A182="","",_xlfn.CHOOSECOLS('Prematch Backend 2A'!182:182,_xlfn.MAKEARRAY(1,A182-2,_xlfn.LAMBDA(_xlpm.r,_xlpm.c,_xlpm.c))))</f>
        <v/>
      </c>
    </row>
    <row r="183" spans="2:2" x14ac:dyDescent="0.2">
      <c r="B183" t="str" cm="1">
        <f t="array" ref="B183">IF(A183="","",_xlfn.CHOOSECOLS('Prematch Backend 2A'!183:183,_xlfn.MAKEARRAY(1,A183-2,_xlfn.LAMBDA(_xlpm.r,_xlpm.c,_xlpm.c))))</f>
        <v/>
      </c>
    </row>
    <row r="184" spans="2:2" x14ac:dyDescent="0.2">
      <c r="B184" t="str" cm="1">
        <f t="array" ref="B184">IF(A184="","",_xlfn.CHOOSECOLS('Prematch Backend 2A'!184:184,_xlfn.MAKEARRAY(1,A184-2,_xlfn.LAMBDA(_xlpm.r,_xlpm.c,_xlpm.c))))</f>
        <v/>
      </c>
    </row>
    <row r="185" spans="2:2" x14ac:dyDescent="0.2">
      <c r="B185" t="str" cm="1">
        <f t="array" ref="B185">IF(A185="","",_xlfn.CHOOSECOLS('Prematch Backend 2A'!185:185,_xlfn.MAKEARRAY(1,A185-2,_xlfn.LAMBDA(_xlpm.r,_xlpm.c,_xlpm.c))))</f>
        <v/>
      </c>
    </row>
    <row r="186" spans="2:2" x14ac:dyDescent="0.2">
      <c r="B186" t="str" cm="1">
        <f t="array" ref="B186">IF(A186="","",_xlfn.CHOOSECOLS('Prematch Backend 2A'!186:186,_xlfn.MAKEARRAY(1,A186-2,_xlfn.LAMBDA(_xlpm.r,_xlpm.c,_xlpm.c))))</f>
        <v/>
      </c>
    </row>
    <row r="187" spans="2:2" x14ac:dyDescent="0.2">
      <c r="B187" t="str" cm="1">
        <f t="array" ref="B187">IF(A187="","",_xlfn.CHOOSECOLS('Prematch Backend 2A'!187:187,_xlfn.MAKEARRAY(1,A187-2,_xlfn.LAMBDA(_xlpm.r,_xlpm.c,_xlpm.c))))</f>
        <v/>
      </c>
    </row>
    <row r="188" spans="2:2" x14ac:dyDescent="0.2">
      <c r="B188" t="str" cm="1">
        <f t="array" ref="B188">IF(A188="","",_xlfn.CHOOSECOLS('Prematch Backend 2A'!188:188,_xlfn.MAKEARRAY(1,A188-2,_xlfn.LAMBDA(_xlpm.r,_xlpm.c,_xlpm.c))))</f>
        <v/>
      </c>
    </row>
    <row r="189" spans="2:2" x14ac:dyDescent="0.2">
      <c r="B189" t="str" cm="1">
        <f t="array" ref="B189">IF(A189="","",_xlfn.CHOOSECOLS('Prematch Backend 2A'!189:189,_xlfn.MAKEARRAY(1,A189-2,_xlfn.LAMBDA(_xlpm.r,_xlpm.c,_xlpm.c))))</f>
        <v/>
      </c>
    </row>
    <row r="190" spans="2:2" x14ac:dyDescent="0.2">
      <c r="B190" t="str" cm="1">
        <f t="array" ref="B190">IF(A190="","",_xlfn.CHOOSECOLS('Prematch Backend 2A'!190:190,_xlfn.MAKEARRAY(1,A190-2,_xlfn.LAMBDA(_xlpm.r,_xlpm.c,_xlpm.c))))</f>
        <v/>
      </c>
    </row>
    <row r="191" spans="2:2" x14ac:dyDescent="0.2">
      <c r="B191" t="str" cm="1">
        <f t="array" ref="B191">IF(A191="","",_xlfn.CHOOSECOLS('Prematch Backend 2A'!191:191,_xlfn.MAKEARRAY(1,A191-2,_xlfn.LAMBDA(_xlpm.r,_xlpm.c,_xlpm.c))))</f>
        <v/>
      </c>
    </row>
    <row r="192" spans="2:2" x14ac:dyDescent="0.2">
      <c r="B192" t="str" cm="1">
        <f t="array" ref="B192">IF(A192="","",_xlfn.CHOOSECOLS('Prematch Backend 2A'!192:192,_xlfn.MAKEARRAY(1,A192-2,_xlfn.LAMBDA(_xlpm.r,_xlpm.c,_xlpm.c))))</f>
        <v/>
      </c>
    </row>
    <row r="193" spans="2:2" x14ac:dyDescent="0.2">
      <c r="B193" t="str" cm="1">
        <f t="array" ref="B193">IF(A193="","",_xlfn.CHOOSECOLS('Prematch Backend 2A'!193:193,_xlfn.MAKEARRAY(1,A193-2,_xlfn.LAMBDA(_xlpm.r,_xlpm.c,_xlpm.c))))</f>
        <v/>
      </c>
    </row>
    <row r="194" spans="2:2" x14ac:dyDescent="0.2">
      <c r="B194" t="str" cm="1">
        <f t="array" ref="B194">IF(A194="","",_xlfn.CHOOSECOLS('Prematch Backend 2A'!194:194,_xlfn.MAKEARRAY(1,A194-2,_xlfn.LAMBDA(_xlpm.r,_xlpm.c,_xlpm.c))))</f>
        <v/>
      </c>
    </row>
    <row r="195" spans="2:2" x14ac:dyDescent="0.2">
      <c r="B195" t="str" cm="1">
        <f t="array" ref="B195">IF(A195="","",_xlfn.CHOOSECOLS('Prematch Backend 2A'!195:195,_xlfn.MAKEARRAY(1,A195-2,_xlfn.LAMBDA(_xlpm.r,_xlpm.c,_xlpm.c))))</f>
        <v/>
      </c>
    </row>
    <row r="196" spans="2:2" x14ac:dyDescent="0.2">
      <c r="B196" t="str" cm="1">
        <f t="array" ref="B196">IF(A196="","",_xlfn.CHOOSECOLS('Prematch Backend 2A'!196:196,_xlfn.MAKEARRAY(1,A196-2,_xlfn.LAMBDA(_xlpm.r,_xlpm.c,_xlpm.c))))</f>
        <v/>
      </c>
    </row>
    <row r="197" spans="2:2" x14ac:dyDescent="0.2">
      <c r="B197" t="str" cm="1">
        <f t="array" ref="B197">IF(A197="","",_xlfn.CHOOSECOLS('Prematch Backend 2A'!197:197,_xlfn.MAKEARRAY(1,A197-2,_xlfn.LAMBDA(_xlpm.r,_xlpm.c,_xlpm.c))))</f>
        <v/>
      </c>
    </row>
    <row r="198" spans="2:2" x14ac:dyDescent="0.2">
      <c r="B198" t="str" cm="1">
        <f t="array" ref="B198">IF(A198="","",_xlfn.CHOOSECOLS('Prematch Backend 2A'!198:198,_xlfn.MAKEARRAY(1,A198-2,_xlfn.LAMBDA(_xlpm.r,_xlpm.c,_xlpm.c))))</f>
        <v/>
      </c>
    </row>
    <row r="199" spans="2:2" x14ac:dyDescent="0.2">
      <c r="B199" t="str" cm="1">
        <f t="array" ref="B199">IF(A199="","",_xlfn.CHOOSECOLS('Prematch Backend 2A'!199:199,_xlfn.MAKEARRAY(1,A199-2,_xlfn.LAMBDA(_xlpm.r,_xlpm.c,_xlpm.c))))</f>
        <v/>
      </c>
    </row>
    <row r="200" spans="2:2" x14ac:dyDescent="0.2">
      <c r="B200" t="str" cm="1">
        <f t="array" ref="B200">IF(A200="","",_xlfn.CHOOSECOLS('Prematch Backend 2A'!200:200,_xlfn.MAKEARRAY(1,A200-2,_xlfn.LAMBDA(_xlpm.r,_xlpm.c,_xlpm.c))))</f>
        <v/>
      </c>
    </row>
    <row r="201" spans="2:2" x14ac:dyDescent="0.2">
      <c r="B201" t="str" cm="1">
        <f t="array" ref="B201">IF(A201="","",_xlfn.CHOOSECOLS('Prematch Backend 2A'!201:201,_xlfn.MAKEARRAY(1,A201-2,_xlfn.LAMBDA(_xlpm.r,_xlpm.c,_xlpm.c))))</f>
        <v/>
      </c>
    </row>
    <row r="202" spans="2:2" x14ac:dyDescent="0.2">
      <c r="B202" t="str" cm="1">
        <f t="array" ref="B202">IF(A202="","",_xlfn.CHOOSECOLS('Prematch Backend 2A'!202:202,_xlfn.MAKEARRAY(1,A202-2,_xlfn.LAMBDA(_xlpm.r,_xlpm.c,_xlpm.c))))</f>
        <v/>
      </c>
    </row>
    <row r="203" spans="2:2" x14ac:dyDescent="0.2">
      <c r="B203" t="str" cm="1">
        <f t="array" ref="B203">IF(A203="","",_xlfn.CHOOSECOLS('Prematch Backend 2A'!203:203,_xlfn.MAKEARRAY(1,A203-2,_xlfn.LAMBDA(_xlpm.r,_xlpm.c,_xlpm.c))))</f>
        <v/>
      </c>
    </row>
    <row r="204" spans="2:2" x14ac:dyDescent="0.2">
      <c r="B204" t="str" cm="1">
        <f t="array" ref="B204">IF(A204="","",_xlfn.CHOOSECOLS('Prematch Backend 2A'!204:204,_xlfn.MAKEARRAY(1,A204-2,_xlfn.LAMBDA(_xlpm.r,_xlpm.c,_xlpm.c))))</f>
        <v/>
      </c>
    </row>
    <row r="205" spans="2:2" x14ac:dyDescent="0.2">
      <c r="B205" t="str" cm="1">
        <f t="array" ref="B205">IF(A205="","",_xlfn.CHOOSECOLS('Prematch Backend 2A'!205:205,_xlfn.MAKEARRAY(1,A205-2,_xlfn.LAMBDA(_xlpm.r,_xlpm.c,_xlpm.c))))</f>
        <v/>
      </c>
    </row>
    <row r="206" spans="2:2" x14ac:dyDescent="0.2">
      <c r="B206" t="str" cm="1">
        <f t="array" ref="B206">IF(A206="","",_xlfn.CHOOSECOLS('Prematch Backend 2A'!206:206,_xlfn.MAKEARRAY(1,A206-2,_xlfn.LAMBDA(_xlpm.r,_xlpm.c,_xlpm.c))))</f>
        <v/>
      </c>
    </row>
    <row r="207" spans="2:2" x14ac:dyDescent="0.2">
      <c r="B207" t="str" cm="1">
        <f t="array" ref="B207">IF(A207="","",_xlfn.CHOOSECOLS('Prematch Backend 2A'!207:207,_xlfn.MAKEARRAY(1,A207-2,_xlfn.LAMBDA(_xlpm.r,_xlpm.c,_xlpm.c))))</f>
        <v/>
      </c>
    </row>
    <row r="208" spans="2:2" x14ac:dyDescent="0.2">
      <c r="B208" t="str" cm="1">
        <f t="array" ref="B208">IF(A208="","",_xlfn.CHOOSECOLS('Prematch Backend 2A'!208:208,_xlfn.MAKEARRAY(1,A208-2,_xlfn.LAMBDA(_xlpm.r,_xlpm.c,_xlpm.c))))</f>
        <v/>
      </c>
    </row>
    <row r="209" spans="2:2" x14ac:dyDescent="0.2">
      <c r="B209" t="str" cm="1">
        <f t="array" ref="B209">IF(A209="","",_xlfn.CHOOSECOLS('Prematch Backend 2A'!209:209,_xlfn.MAKEARRAY(1,A209-2,_xlfn.LAMBDA(_xlpm.r,_xlpm.c,_xlpm.c))))</f>
        <v/>
      </c>
    </row>
    <row r="210" spans="2:2" x14ac:dyDescent="0.2">
      <c r="B210" t="str" cm="1">
        <f t="array" ref="B210">IF(A210="","",_xlfn.CHOOSECOLS('Prematch Backend 2A'!210:210,_xlfn.MAKEARRAY(1,A210-2,_xlfn.LAMBDA(_xlpm.r,_xlpm.c,_xlpm.c))))</f>
        <v/>
      </c>
    </row>
    <row r="211" spans="2:2" x14ac:dyDescent="0.2">
      <c r="B211" t="str" cm="1">
        <f t="array" ref="B211">IF(A211="","",_xlfn.CHOOSECOLS('Prematch Backend 2A'!211:211,_xlfn.MAKEARRAY(1,A211-2,_xlfn.LAMBDA(_xlpm.r,_xlpm.c,_xlpm.c))))</f>
        <v/>
      </c>
    </row>
    <row r="212" spans="2:2" x14ac:dyDescent="0.2">
      <c r="B212" t="str" cm="1">
        <f t="array" ref="B212">IF(A212="","",_xlfn.CHOOSECOLS('Prematch Backend 2A'!212:212,_xlfn.MAKEARRAY(1,A212-2,_xlfn.LAMBDA(_xlpm.r,_xlpm.c,_xlpm.c))))</f>
        <v/>
      </c>
    </row>
    <row r="213" spans="2:2" x14ac:dyDescent="0.2">
      <c r="B213" t="str" cm="1">
        <f t="array" ref="B213">IF(A213="","",_xlfn.CHOOSECOLS('Prematch Backend 2A'!213:213,_xlfn.MAKEARRAY(1,A213-2,_xlfn.LAMBDA(_xlpm.r,_xlpm.c,_xlpm.c))))</f>
        <v/>
      </c>
    </row>
    <row r="214" spans="2:2" x14ac:dyDescent="0.2">
      <c r="B214" t="str" cm="1">
        <f t="array" ref="B214">IF(A214="","",_xlfn.CHOOSECOLS('Prematch Backend 2A'!214:214,_xlfn.MAKEARRAY(1,A214-2,_xlfn.LAMBDA(_xlpm.r,_xlpm.c,_xlpm.c))))</f>
        <v/>
      </c>
    </row>
    <row r="215" spans="2:2" x14ac:dyDescent="0.2">
      <c r="B215" t="str" cm="1">
        <f t="array" ref="B215">IF(A215="","",_xlfn.CHOOSECOLS('Prematch Backend 2A'!215:215,_xlfn.MAKEARRAY(1,A215-2,_xlfn.LAMBDA(_xlpm.r,_xlpm.c,_xlpm.c))))</f>
        <v/>
      </c>
    </row>
    <row r="216" spans="2:2" x14ac:dyDescent="0.2">
      <c r="B216" t="str" cm="1">
        <f t="array" ref="B216">IF(A216="","",_xlfn.CHOOSECOLS('Prematch Backend 2A'!216:216,_xlfn.MAKEARRAY(1,A216-2,_xlfn.LAMBDA(_xlpm.r,_xlpm.c,_xlpm.c))))</f>
        <v/>
      </c>
    </row>
    <row r="217" spans="2:2" x14ac:dyDescent="0.2">
      <c r="B217" t="str" cm="1">
        <f t="array" ref="B217">IF(A217="","",_xlfn.CHOOSECOLS('Prematch Backend 2A'!217:217,_xlfn.MAKEARRAY(1,A217-2,_xlfn.LAMBDA(_xlpm.r,_xlpm.c,_xlpm.c))))</f>
        <v/>
      </c>
    </row>
    <row r="218" spans="2:2" x14ac:dyDescent="0.2">
      <c r="B218" t="str" cm="1">
        <f t="array" ref="B218">IF(A218="","",_xlfn.CHOOSECOLS('Prematch Backend 2A'!218:218,_xlfn.MAKEARRAY(1,A218-2,_xlfn.LAMBDA(_xlpm.r,_xlpm.c,_xlpm.c))))</f>
        <v/>
      </c>
    </row>
    <row r="219" spans="2:2" x14ac:dyDescent="0.2">
      <c r="B219" t="str" cm="1">
        <f t="array" ref="B219">IF(A219="","",_xlfn.CHOOSECOLS('Prematch Backend 2A'!219:219,_xlfn.MAKEARRAY(1,A219-2,_xlfn.LAMBDA(_xlpm.r,_xlpm.c,_xlpm.c))))</f>
        <v/>
      </c>
    </row>
    <row r="220" spans="2:2" x14ac:dyDescent="0.2">
      <c r="B220" t="str" cm="1">
        <f t="array" ref="B220">IF(A220="","",_xlfn.CHOOSECOLS('Prematch Backend 2A'!220:220,_xlfn.MAKEARRAY(1,A220-2,_xlfn.LAMBDA(_xlpm.r,_xlpm.c,_xlpm.c))))</f>
        <v/>
      </c>
    </row>
    <row r="221" spans="2:2" x14ac:dyDescent="0.2">
      <c r="B221" t="str" cm="1">
        <f t="array" ref="B221">IF(A221="","",_xlfn.CHOOSECOLS('Prematch Backend 2A'!221:221,_xlfn.MAKEARRAY(1,A221-2,_xlfn.LAMBDA(_xlpm.r,_xlpm.c,_xlpm.c))))</f>
        <v/>
      </c>
    </row>
    <row r="222" spans="2:2" x14ac:dyDescent="0.2">
      <c r="B222" t="str" cm="1">
        <f t="array" ref="B222">IF(A222="","",_xlfn.CHOOSECOLS('Prematch Backend 2A'!222:222,_xlfn.MAKEARRAY(1,A222-2,_xlfn.LAMBDA(_xlpm.r,_xlpm.c,_xlpm.c))))</f>
        <v/>
      </c>
    </row>
    <row r="223" spans="2:2" x14ac:dyDescent="0.2">
      <c r="B223" t="str" cm="1">
        <f t="array" ref="B223">IF(A223="","",_xlfn.CHOOSECOLS('Prematch Backend 2A'!223:223,_xlfn.MAKEARRAY(1,A223-2,_xlfn.LAMBDA(_xlpm.r,_xlpm.c,_xlpm.c))))</f>
        <v/>
      </c>
    </row>
    <row r="224" spans="2:2" x14ac:dyDescent="0.2">
      <c r="B224" t="str" cm="1">
        <f t="array" ref="B224">IF(A224="","",_xlfn.CHOOSECOLS('Prematch Backend 2A'!224:224,_xlfn.MAKEARRAY(1,A224-2,_xlfn.LAMBDA(_xlpm.r,_xlpm.c,_xlpm.c))))</f>
        <v/>
      </c>
    </row>
    <row r="225" spans="2:2" x14ac:dyDescent="0.2">
      <c r="B225" t="str" cm="1">
        <f t="array" ref="B225">IF(A225="","",_xlfn.CHOOSECOLS('Prematch Backend 2A'!225:225,_xlfn.MAKEARRAY(1,A225-2,_xlfn.LAMBDA(_xlpm.r,_xlpm.c,_xlpm.c))))</f>
        <v/>
      </c>
    </row>
    <row r="226" spans="2:2" x14ac:dyDescent="0.2">
      <c r="B226" t="str" cm="1">
        <f t="array" ref="B226">IF(A226="","",_xlfn.CHOOSECOLS('Prematch Backend 2A'!226:226,_xlfn.MAKEARRAY(1,A226-2,_xlfn.LAMBDA(_xlpm.r,_xlpm.c,_xlpm.c))))</f>
        <v/>
      </c>
    </row>
    <row r="227" spans="2:2" x14ac:dyDescent="0.2">
      <c r="B227" t="str" cm="1">
        <f t="array" ref="B227">IF(A227="","",_xlfn.CHOOSECOLS('Prematch Backend 2A'!227:227,_xlfn.MAKEARRAY(1,A227-2,_xlfn.LAMBDA(_xlpm.r,_xlpm.c,_xlpm.c))))</f>
        <v/>
      </c>
    </row>
    <row r="228" spans="2:2" x14ac:dyDescent="0.2">
      <c r="B228" t="str" cm="1">
        <f t="array" ref="B228">IF(A228="","",_xlfn.CHOOSECOLS('Prematch Backend 2A'!228:228,_xlfn.MAKEARRAY(1,A228-2,_xlfn.LAMBDA(_xlpm.r,_xlpm.c,_xlpm.c))))</f>
        <v/>
      </c>
    </row>
    <row r="229" spans="2:2" x14ac:dyDescent="0.2">
      <c r="B229" t="str" cm="1">
        <f t="array" ref="B229">IF(A229="","",_xlfn.CHOOSECOLS('Prematch Backend 2A'!229:229,_xlfn.MAKEARRAY(1,A229-2,_xlfn.LAMBDA(_xlpm.r,_xlpm.c,_xlpm.c))))</f>
        <v/>
      </c>
    </row>
    <row r="230" spans="2:2" x14ac:dyDescent="0.2">
      <c r="B230" t="str" cm="1">
        <f t="array" ref="B230">IF(A230="","",_xlfn.CHOOSECOLS('Prematch Backend 2A'!230:230,_xlfn.MAKEARRAY(1,A230-2,_xlfn.LAMBDA(_xlpm.r,_xlpm.c,_xlpm.c))))</f>
        <v/>
      </c>
    </row>
    <row r="231" spans="2:2" x14ac:dyDescent="0.2">
      <c r="B231" t="str" cm="1">
        <f t="array" ref="B231">IF(A231="","",_xlfn.CHOOSECOLS('Prematch Backend 2A'!231:231,_xlfn.MAKEARRAY(1,A231-2,_xlfn.LAMBDA(_xlpm.r,_xlpm.c,_xlpm.c))))</f>
        <v/>
      </c>
    </row>
    <row r="232" spans="2:2" x14ac:dyDescent="0.2">
      <c r="B232" t="str" cm="1">
        <f t="array" ref="B232">IF(A232="","",_xlfn.CHOOSECOLS('Prematch Backend 2A'!232:232,_xlfn.MAKEARRAY(1,A232-2,_xlfn.LAMBDA(_xlpm.r,_xlpm.c,_xlpm.c))))</f>
        <v/>
      </c>
    </row>
    <row r="233" spans="2:2" x14ac:dyDescent="0.2">
      <c r="B233" t="str" cm="1">
        <f t="array" ref="B233">IF(A233="","",_xlfn.CHOOSECOLS('Prematch Backend 2A'!233:233,_xlfn.MAKEARRAY(1,A233-2,_xlfn.LAMBDA(_xlpm.r,_xlpm.c,_xlpm.c))))</f>
        <v/>
      </c>
    </row>
    <row r="234" spans="2:2" x14ac:dyDescent="0.2">
      <c r="B234" t="str" cm="1">
        <f t="array" ref="B234">IF(A234="","",_xlfn.CHOOSECOLS('Prematch Backend 2A'!234:234,_xlfn.MAKEARRAY(1,A234-2,_xlfn.LAMBDA(_xlpm.r,_xlpm.c,_xlpm.c))))</f>
        <v/>
      </c>
    </row>
    <row r="235" spans="2:2" x14ac:dyDescent="0.2">
      <c r="B235" t="str" cm="1">
        <f t="array" ref="B235">IF(A235="","",_xlfn.CHOOSECOLS('Prematch Backend 2A'!235:235,_xlfn.MAKEARRAY(1,A235-2,_xlfn.LAMBDA(_xlpm.r,_xlpm.c,_xlpm.c))))</f>
        <v/>
      </c>
    </row>
    <row r="236" spans="2:2" x14ac:dyDescent="0.2">
      <c r="B236" t="str" cm="1">
        <f t="array" ref="B236">IF(A236="","",_xlfn.CHOOSECOLS('Prematch Backend 2A'!236:236,_xlfn.MAKEARRAY(1,A236-2,_xlfn.LAMBDA(_xlpm.r,_xlpm.c,_xlpm.c))))</f>
        <v/>
      </c>
    </row>
    <row r="237" spans="2:2" x14ac:dyDescent="0.2">
      <c r="B237" t="str" cm="1">
        <f t="array" ref="B237">IF(A237="","",_xlfn.CHOOSECOLS('Prematch Backend 2A'!237:237,_xlfn.MAKEARRAY(1,A237-2,_xlfn.LAMBDA(_xlpm.r,_xlpm.c,_xlpm.c))))</f>
        <v/>
      </c>
    </row>
    <row r="238" spans="2:2" x14ac:dyDescent="0.2">
      <c r="B238" t="str" cm="1">
        <f t="array" ref="B238">IF(A238="","",_xlfn.CHOOSECOLS('Prematch Backend 2A'!238:238,_xlfn.MAKEARRAY(1,A238-2,_xlfn.LAMBDA(_xlpm.r,_xlpm.c,_xlpm.c))))</f>
        <v/>
      </c>
    </row>
    <row r="239" spans="2:2" x14ac:dyDescent="0.2">
      <c r="B239" t="str" cm="1">
        <f t="array" ref="B239">IF(A239="","",_xlfn.CHOOSECOLS('Prematch Backend 2A'!239:239,_xlfn.MAKEARRAY(1,A239-2,_xlfn.LAMBDA(_xlpm.r,_xlpm.c,_xlpm.c))))</f>
        <v/>
      </c>
    </row>
    <row r="240" spans="2:2" x14ac:dyDescent="0.2">
      <c r="B240" t="str" cm="1">
        <f t="array" ref="B240">IF(A240="","",_xlfn.CHOOSECOLS('Prematch Backend 2A'!240:240,_xlfn.MAKEARRAY(1,A240-2,_xlfn.LAMBDA(_xlpm.r,_xlpm.c,_xlpm.c))))</f>
        <v/>
      </c>
    </row>
    <row r="241" spans="2:2" x14ac:dyDescent="0.2">
      <c r="B241" t="str" cm="1">
        <f t="array" ref="B241">IF(A241="","",_xlfn.CHOOSECOLS('Prematch Backend 2A'!241:241,_xlfn.MAKEARRAY(1,A241-2,_xlfn.LAMBDA(_xlpm.r,_xlpm.c,_xlpm.c))))</f>
        <v/>
      </c>
    </row>
    <row r="242" spans="2:2" x14ac:dyDescent="0.2">
      <c r="B242" t="str" cm="1">
        <f t="array" ref="B242">IF(A242="","",_xlfn.CHOOSECOLS('Prematch Backend 2A'!242:242,_xlfn.MAKEARRAY(1,A242-2,_xlfn.LAMBDA(_xlpm.r,_xlpm.c,_xlpm.c))))</f>
        <v/>
      </c>
    </row>
    <row r="243" spans="2:2" x14ac:dyDescent="0.2">
      <c r="B243" t="str" cm="1">
        <f t="array" ref="B243">IF(A243="","",_xlfn.CHOOSECOLS('Prematch Backend 2A'!243:243,_xlfn.MAKEARRAY(1,A243-2,_xlfn.LAMBDA(_xlpm.r,_xlpm.c,_xlpm.c))))</f>
        <v/>
      </c>
    </row>
    <row r="244" spans="2:2" x14ac:dyDescent="0.2">
      <c r="B244" t="str" cm="1">
        <f t="array" ref="B244">IF(A244="","",_xlfn.CHOOSECOLS('Prematch Backend 2A'!244:244,_xlfn.MAKEARRAY(1,A244-2,_xlfn.LAMBDA(_xlpm.r,_xlpm.c,_xlpm.c))))</f>
        <v/>
      </c>
    </row>
    <row r="245" spans="2:2" x14ac:dyDescent="0.2">
      <c r="B245" t="str" cm="1">
        <f t="array" ref="B245">IF(A245="","",_xlfn.CHOOSECOLS('Prematch Backend 2A'!245:245,_xlfn.MAKEARRAY(1,A245-2,_xlfn.LAMBDA(_xlpm.r,_xlpm.c,_xlpm.c))))</f>
        <v/>
      </c>
    </row>
    <row r="246" spans="2:2" x14ac:dyDescent="0.2">
      <c r="B246" t="str" cm="1">
        <f t="array" ref="B246">IF(A246="","",_xlfn.CHOOSECOLS('Prematch Backend 2A'!246:246,_xlfn.MAKEARRAY(1,A246-2,_xlfn.LAMBDA(_xlpm.r,_xlpm.c,_xlpm.c))))</f>
        <v/>
      </c>
    </row>
    <row r="247" spans="2:2" x14ac:dyDescent="0.2">
      <c r="B247" t="str" cm="1">
        <f t="array" ref="B247">IF(A247="","",_xlfn.CHOOSECOLS('Prematch Backend 2A'!247:247,_xlfn.MAKEARRAY(1,A247-2,_xlfn.LAMBDA(_xlpm.r,_xlpm.c,_xlpm.c))))</f>
        <v/>
      </c>
    </row>
    <row r="248" spans="2:2" x14ac:dyDescent="0.2">
      <c r="B248" t="str" cm="1">
        <f t="array" ref="B248">IF(A248="","",_xlfn.CHOOSECOLS('Prematch Backend 2A'!248:248,_xlfn.MAKEARRAY(1,A248-2,_xlfn.LAMBDA(_xlpm.r,_xlpm.c,_xlpm.c))))</f>
        <v/>
      </c>
    </row>
    <row r="249" spans="2:2" x14ac:dyDescent="0.2">
      <c r="B249" t="str" cm="1">
        <f t="array" ref="B249">IF(A249="","",_xlfn.CHOOSECOLS('Prematch Backend 2A'!249:249,_xlfn.MAKEARRAY(1,A249-2,_xlfn.LAMBDA(_xlpm.r,_xlpm.c,_xlpm.c))))</f>
        <v/>
      </c>
    </row>
    <row r="250" spans="2:2" x14ac:dyDescent="0.2">
      <c r="B250" t="str" cm="1">
        <f t="array" ref="B250">IF(A250="","",_xlfn.CHOOSECOLS('Prematch Backend 2A'!250:250,_xlfn.MAKEARRAY(1,A250-2,_xlfn.LAMBDA(_xlpm.r,_xlpm.c,_xlpm.c))))</f>
        <v/>
      </c>
    </row>
    <row r="251" spans="2:2" x14ac:dyDescent="0.2">
      <c r="B251" t="str" cm="1">
        <f t="array" ref="B251">IF(A251="","",_xlfn.CHOOSECOLS('Prematch Backend 2A'!251:251,_xlfn.MAKEARRAY(1,A251-2,_xlfn.LAMBDA(_xlpm.r,_xlpm.c,_xlpm.c))))</f>
        <v/>
      </c>
    </row>
    <row r="252" spans="2:2" x14ac:dyDescent="0.2">
      <c r="B252" t="str" cm="1">
        <f t="array" ref="B252">IF(A252="","",_xlfn.CHOOSECOLS('Prematch Backend 2A'!252:252,_xlfn.MAKEARRAY(1,A252-2,_xlfn.LAMBDA(_xlpm.r,_xlpm.c,_xlpm.c))))</f>
        <v/>
      </c>
    </row>
    <row r="253" spans="2:2" x14ac:dyDescent="0.2">
      <c r="B253" t="str" cm="1">
        <f t="array" ref="B253">IF(A253="","",_xlfn.CHOOSECOLS('Prematch Backend 2A'!253:253,_xlfn.MAKEARRAY(1,A253-2,_xlfn.LAMBDA(_xlpm.r,_xlpm.c,_xlpm.c))))</f>
        <v/>
      </c>
    </row>
    <row r="254" spans="2:2" x14ac:dyDescent="0.2">
      <c r="B254" t="str" cm="1">
        <f t="array" ref="B254">IF(A254="","",_xlfn.CHOOSECOLS('Prematch Backend 2A'!254:254,_xlfn.MAKEARRAY(1,A254-2,_xlfn.LAMBDA(_xlpm.r,_xlpm.c,_xlpm.c))))</f>
        <v/>
      </c>
    </row>
    <row r="255" spans="2:2" x14ac:dyDescent="0.2">
      <c r="B255" t="str" cm="1">
        <f t="array" ref="B255">IF(A255="","",_xlfn.CHOOSECOLS('Prematch Backend 2A'!255:255,_xlfn.MAKEARRAY(1,A255-2,_xlfn.LAMBDA(_xlpm.r,_xlpm.c,_xlpm.c))))</f>
        <v/>
      </c>
    </row>
    <row r="256" spans="2:2" x14ac:dyDescent="0.2">
      <c r="B256" t="str" cm="1">
        <f t="array" ref="B256">IF(A256="","",_xlfn.CHOOSECOLS('Prematch Backend 2A'!256:256,_xlfn.MAKEARRAY(1,A256-2,_xlfn.LAMBDA(_xlpm.r,_xlpm.c,_xlpm.c))))</f>
        <v/>
      </c>
    </row>
    <row r="257" spans="2:2" x14ac:dyDescent="0.2">
      <c r="B257" t="str" cm="1">
        <f t="array" ref="B257">IF(A257="","",_xlfn.CHOOSECOLS('Prematch Backend 2A'!257:257,_xlfn.MAKEARRAY(1,A257-2,_xlfn.LAMBDA(_xlpm.r,_xlpm.c,_xlpm.c))))</f>
        <v/>
      </c>
    </row>
    <row r="258" spans="2:2" x14ac:dyDescent="0.2">
      <c r="B258" t="str" cm="1">
        <f t="array" ref="B258">IF(A258="","",_xlfn.CHOOSECOLS('Prematch Backend 2A'!258:258,_xlfn.MAKEARRAY(1,A258-2,_xlfn.LAMBDA(_xlpm.r,_xlpm.c,_xlpm.c))))</f>
        <v/>
      </c>
    </row>
    <row r="259" spans="2:2" x14ac:dyDescent="0.2">
      <c r="B259" t="str" cm="1">
        <f t="array" ref="B259">IF(A259="","",_xlfn.CHOOSECOLS('Prematch Backend 2A'!259:259,_xlfn.MAKEARRAY(1,A259-2,_xlfn.LAMBDA(_xlpm.r,_xlpm.c,_xlpm.c))))</f>
        <v/>
      </c>
    </row>
    <row r="260" spans="2:2" x14ac:dyDescent="0.2">
      <c r="B260" t="str" cm="1">
        <f t="array" ref="B260">IF(A260="","",_xlfn.CHOOSECOLS('Prematch Backend 2A'!260:260,_xlfn.MAKEARRAY(1,A260-2,_xlfn.LAMBDA(_xlpm.r,_xlpm.c,_xlpm.c))))</f>
        <v/>
      </c>
    </row>
    <row r="261" spans="2:2" x14ac:dyDescent="0.2">
      <c r="B261" t="str" cm="1">
        <f t="array" ref="B261">IF(A261="","",_xlfn.CHOOSECOLS('Prematch Backend 2A'!261:261,_xlfn.MAKEARRAY(1,A261-2,_xlfn.LAMBDA(_xlpm.r,_xlpm.c,_xlpm.c))))</f>
        <v/>
      </c>
    </row>
    <row r="262" spans="2:2" x14ac:dyDescent="0.2">
      <c r="B262" t="str" cm="1">
        <f t="array" ref="B262">IF(A262="","",_xlfn.CHOOSECOLS('Prematch Backend 2A'!262:262,_xlfn.MAKEARRAY(1,A262-2,_xlfn.LAMBDA(_xlpm.r,_xlpm.c,_xlpm.c))))</f>
        <v/>
      </c>
    </row>
    <row r="263" spans="2:2" x14ac:dyDescent="0.2">
      <c r="B263" t="str" cm="1">
        <f t="array" ref="B263">IF(A263="","",_xlfn.CHOOSECOLS('Prematch Backend 2A'!263:263,_xlfn.MAKEARRAY(1,A263-2,_xlfn.LAMBDA(_xlpm.r,_xlpm.c,_xlpm.c))))</f>
        <v/>
      </c>
    </row>
    <row r="264" spans="2:2" x14ac:dyDescent="0.2">
      <c r="B264" t="str" cm="1">
        <f t="array" ref="B264">IF(A264="","",_xlfn.CHOOSECOLS('Prematch Backend 2A'!264:264,_xlfn.MAKEARRAY(1,A264-2,_xlfn.LAMBDA(_xlpm.r,_xlpm.c,_xlpm.c))))</f>
        <v/>
      </c>
    </row>
    <row r="265" spans="2:2" x14ac:dyDescent="0.2">
      <c r="B265" t="str" cm="1">
        <f t="array" ref="B265">IF(A265="","",_xlfn.CHOOSECOLS('Prematch Backend 2A'!265:265,_xlfn.MAKEARRAY(1,A265-2,_xlfn.LAMBDA(_xlpm.r,_xlpm.c,_xlpm.c))))</f>
        <v/>
      </c>
    </row>
    <row r="266" spans="2:2" x14ac:dyDescent="0.2">
      <c r="B266" t="str" cm="1">
        <f t="array" ref="B266">IF(A266="","",_xlfn.CHOOSECOLS('Prematch Backend 2A'!266:266,_xlfn.MAKEARRAY(1,A266-2,_xlfn.LAMBDA(_xlpm.r,_xlpm.c,_xlpm.c))))</f>
        <v/>
      </c>
    </row>
    <row r="267" spans="2:2" x14ac:dyDescent="0.2">
      <c r="B267" t="str" cm="1">
        <f t="array" ref="B267">IF(A267="","",_xlfn.CHOOSECOLS('Prematch Backend 2A'!267:267,_xlfn.MAKEARRAY(1,A267-2,_xlfn.LAMBDA(_xlpm.r,_xlpm.c,_xlpm.c))))</f>
        <v/>
      </c>
    </row>
    <row r="268" spans="2:2" x14ac:dyDescent="0.2">
      <c r="B268" t="str" cm="1">
        <f t="array" ref="B268">IF(A268="","",_xlfn.CHOOSECOLS('Prematch Backend 2A'!268:268,_xlfn.MAKEARRAY(1,A268-2,_xlfn.LAMBDA(_xlpm.r,_xlpm.c,_xlpm.c))))</f>
        <v/>
      </c>
    </row>
    <row r="269" spans="2:2" x14ac:dyDescent="0.2">
      <c r="B269" t="str" cm="1">
        <f t="array" ref="B269">IF(A269="","",_xlfn.CHOOSECOLS('Prematch Backend 2A'!269:269,_xlfn.MAKEARRAY(1,A269-2,_xlfn.LAMBDA(_xlpm.r,_xlpm.c,_xlpm.c))))</f>
        <v/>
      </c>
    </row>
    <row r="270" spans="2:2" x14ac:dyDescent="0.2">
      <c r="B270" t="str" cm="1">
        <f t="array" ref="B270">IF(A270="","",_xlfn.CHOOSECOLS('Prematch Backend 2A'!270:270,_xlfn.MAKEARRAY(1,A270-2,_xlfn.LAMBDA(_xlpm.r,_xlpm.c,_xlpm.c))))</f>
        <v/>
      </c>
    </row>
    <row r="271" spans="2:2" x14ac:dyDescent="0.2">
      <c r="B271" t="str" cm="1">
        <f t="array" ref="B271">IF(A271="","",_xlfn.CHOOSECOLS('Prematch Backend 2A'!271:271,_xlfn.MAKEARRAY(1,A271-2,_xlfn.LAMBDA(_xlpm.r,_xlpm.c,_xlpm.c))))</f>
        <v/>
      </c>
    </row>
    <row r="272" spans="2:2" x14ac:dyDescent="0.2">
      <c r="B272" t="str" cm="1">
        <f t="array" ref="B272">IF(A272="","",_xlfn.CHOOSECOLS('Prematch Backend 2A'!272:272,_xlfn.MAKEARRAY(1,A272-2,_xlfn.LAMBDA(_xlpm.r,_xlpm.c,_xlpm.c))))</f>
        <v/>
      </c>
    </row>
    <row r="273" spans="2:2" x14ac:dyDescent="0.2">
      <c r="B273" t="str" cm="1">
        <f t="array" ref="B273">IF(A273="","",_xlfn.CHOOSECOLS('Prematch Backend 2A'!273:273,_xlfn.MAKEARRAY(1,A273-2,_xlfn.LAMBDA(_xlpm.r,_xlpm.c,_xlpm.c))))</f>
        <v/>
      </c>
    </row>
    <row r="274" spans="2:2" x14ac:dyDescent="0.2">
      <c r="B274" t="str" cm="1">
        <f t="array" ref="B274">IF(A274="","",_xlfn.CHOOSECOLS('Prematch Backend 2A'!274:274,_xlfn.MAKEARRAY(1,A274-2,_xlfn.LAMBDA(_xlpm.r,_xlpm.c,_xlpm.c))))</f>
        <v/>
      </c>
    </row>
    <row r="275" spans="2:2" x14ac:dyDescent="0.2">
      <c r="B275" t="str" cm="1">
        <f t="array" ref="B275">IF(A275="","",_xlfn.CHOOSECOLS('Prematch Backend 2A'!275:275,_xlfn.MAKEARRAY(1,A275-2,_xlfn.LAMBDA(_xlpm.r,_xlpm.c,_xlpm.c))))</f>
        <v/>
      </c>
    </row>
    <row r="276" spans="2:2" x14ac:dyDescent="0.2">
      <c r="B276" t="str" cm="1">
        <f t="array" ref="B276">IF(A276="","",_xlfn.CHOOSECOLS('Prematch Backend 2A'!276:276,_xlfn.MAKEARRAY(1,A276-2,_xlfn.LAMBDA(_xlpm.r,_xlpm.c,_xlpm.c))))</f>
        <v/>
      </c>
    </row>
    <row r="277" spans="2:2" x14ac:dyDescent="0.2">
      <c r="B277" t="str" cm="1">
        <f t="array" ref="B277">IF(A277="","",_xlfn.CHOOSECOLS('Prematch Backend 2A'!277:277,_xlfn.MAKEARRAY(1,A277-2,_xlfn.LAMBDA(_xlpm.r,_xlpm.c,_xlpm.c))))</f>
        <v/>
      </c>
    </row>
    <row r="278" spans="2:2" x14ac:dyDescent="0.2">
      <c r="B278" t="str" cm="1">
        <f t="array" ref="B278">IF(A278="","",_xlfn.CHOOSECOLS('Prematch Backend 2A'!278:278,_xlfn.MAKEARRAY(1,A278-2,_xlfn.LAMBDA(_xlpm.r,_xlpm.c,_xlpm.c))))</f>
        <v/>
      </c>
    </row>
    <row r="279" spans="2:2" x14ac:dyDescent="0.2">
      <c r="B279" t="str" cm="1">
        <f t="array" ref="B279">IF(A279="","",_xlfn.CHOOSECOLS('Prematch Backend 2A'!279:279,_xlfn.MAKEARRAY(1,A279-2,_xlfn.LAMBDA(_xlpm.r,_xlpm.c,_xlpm.c))))</f>
        <v/>
      </c>
    </row>
    <row r="280" spans="2:2" x14ac:dyDescent="0.2">
      <c r="B280" t="str" cm="1">
        <f t="array" ref="B280">IF(A280="","",_xlfn.CHOOSECOLS('Prematch Backend 2A'!280:280,_xlfn.MAKEARRAY(1,A280-2,_xlfn.LAMBDA(_xlpm.r,_xlpm.c,_xlpm.c))))</f>
        <v/>
      </c>
    </row>
    <row r="281" spans="2:2" x14ac:dyDescent="0.2">
      <c r="B281" t="str" cm="1">
        <f t="array" ref="B281">IF(A281="","",_xlfn.CHOOSECOLS('Prematch Backend 2A'!281:281,_xlfn.MAKEARRAY(1,A281-2,_xlfn.LAMBDA(_xlpm.r,_xlpm.c,_xlpm.c))))</f>
        <v/>
      </c>
    </row>
    <row r="282" spans="2:2" x14ac:dyDescent="0.2">
      <c r="B282" t="str" cm="1">
        <f t="array" ref="B282">IF(A282="","",_xlfn.CHOOSECOLS('Prematch Backend 2A'!282:282,_xlfn.MAKEARRAY(1,A282-2,_xlfn.LAMBDA(_xlpm.r,_xlpm.c,_xlpm.c))))</f>
        <v/>
      </c>
    </row>
    <row r="283" spans="2:2" x14ac:dyDescent="0.2">
      <c r="B283" t="str" cm="1">
        <f t="array" ref="B283">IF(A283="","",_xlfn.CHOOSECOLS('Prematch Backend 2A'!283:283,_xlfn.MAKEARRAY(1,A283-2,_xlfn.LAMBDA(_xlpm.r,_xlpm.c,_xlpm.c))))</f>
        <v/>
      </c>
    </row>
    <row r="284" spans="2:2" x14ac:dyDescent="0.2">
      <c r="B284" t="str" cm="1">
        <f t="array" ref="B284">IF(A284="","",_xlfn.CHOOSECOLS('Prematch Backend 2A'!284:284,_xlfn.MAKEARRAY(1,A284-2,_xlfn.LAMBDA(_xlpm.r,_xlpm.c,_xlpm.c))))</f>
        <v/>
      </c>
    </row>
    <row r="285" spans="2:2" x14ac:dyDescent="0.2">
      <c r="B285" t="str" cm="1">
        <f t="array" ref="B285">IF(A285="","",_xlfn.CHOOSECOLS('Prematch Backend 2A'!285:285,_xlfn.MAKEARRAY(1,A285-2,_xlfn.LAMBDA(_xlpm.r,_xlpm.c,_xlpm.c))))</f>
        <v/>
      </c>
    </row>
    <row r="286" spans="2:2" x14ac:dyDescent="0.2">
      <c r="B286" t="str" cm="1">
        <f t="array" ref="B286">IF(A286="","",_xlfn.CHOOSECOLS('Prematch Backend 2A'!286:286,_xlfn.MAKEARRAY(1,A286-2,_xlfn.LAMBDA(_xlpm.r,_xlpm.c,_xlpm.c))))</f>
        <v/>
      </c>
    </row>
    <row r="287" spans="2:2" x14ac:dyDescent="0.2">
      <c r="B287" t="str" cm="1">
        <f t="array" ref="B287">IF(A287="","",_xlfn.CHOOSECOLS('Prematch Backend 2A'!287:287,_xlfn.MAKEARRAY(1,A287-2,_xlfn.LAMBDA(_xlpm.r,_xlpm.c,_xlpm.c))))</f>
        <v/>
      </c>
    </row>
    <row r="288" spans="2:2" x14ac:dyDescent="0.2">
      <c r="B288" t="str" cm="1">
        <f t="array" ref="B288">IF(A288="","",_xlfn.CHOOSECOLS('Prematch Backend 2A'!288:288,_xlfn.MAKEARRAY(1,A288-2,_xlfn.LAMBDA(_xlpm.r,_xlpm.c,_xlpm.c))))</f>
        <v/>
      </c>
    </row>
    <row r="289" spans="2:2" x14ac:dyDescent="0.2">
      <c r="B289" t="str" cm="1">
        <f t="array" ref="B289">IF(A289="","",_xlfn.CHOOSECOLS('Prematch Backend 2A'!289:289,_xlfn.MAKEARRAY(1,A289-2,_xlfn.LAMBDA(_xlpm.r,_xlpm.c,_xlpm.c))))</f>
        <v/>
      </c>
    </row>
    <row r="290" spans="2:2" x14ac:dyDescent="0.2">
      <c r="B290" t="str" cm="1">
        <f t="array" ref="B290">IF(A290="","",_xlfn.CHOOSECOLS('Prematch Backend 2A'!290:290,_xlfn.MAKEARRAY(1,A290-2,_xlfn.LAMBDA(_xlpm.r,_xlpm.c,_xlpm.c))))</f>
        <v/>
      </c>
    </row>
    <row r="291" spans="2:2" x14ac:dyDescent="0.2">
      <c r="B291" t="str" cm="1">
        <f t="array" ref="B291">IF(A291="","",_xlfn.CHOOSECOLS('Prematch Backend 2A'!291:291,_xlfn.MAKEARRAY(1,A291-2,_xlfn.LAMBDA(_xlpm.r,_xlpm.c,_xlpm.c))))</f>
        <v/>
      </c>
    </row>
    <row r="292" spans="2:2" x14ac:dyDescent="0.2">
      <c r="B292" t="str" cm="1">
        <f t="array" ref="B292">IF(A292="","",_xlfn.CHOOSECOLS('Prematch Backend 2A'!292:292,_xlfn.MAKEARRAY(1,A292-2,_xlfn.LAMBDA(_xlpm.r,_xlpm.c,_xlpm.c))))</f>
        <v/>
      </c>
    </row>
    <row r="293" spans="2:2" x14ac:dyDescent="0.2">
      <c r="B293" t="str" cm="1">
        <f t="array" ref="B293">IF(A293="","",_xlfn.CHOOSECOLS('Prematch Backend 2A'!293:293,_xlfn.MAKEARRAY(1,A293-2,_xlfn.LAMBDA(_xlpm.r,_xlpm.c,_xlpm.c))))</f>
        <v/>
      </c>
    </row>
    <row r="294" spans="2:2" x14ac:dyDescent="0.2">
      <c r="B294" t="str" cm="1">
        <f t="array" ref="B294">IF(A294="","",_xlfn.CHOOSECOLS('Prematch Backend 2A'!294:294,_xlfn.MAKEARRAY(1,A294-2,_xlfn.LAMBDA(_xlpm.r,_xlpm.c,_xlpm.c))))</f>
        <v/>
      </c>
    </row>
    <row r="295" spans="2:2" x14ac:dyDescent="0.2">
      <c r="B295" t="str" cm="1">
        <f t="array" ref="B295">IF(A295="","",_xlfn.CHOOSECOLS('Prematch Backend 2A'!295:295,_xlfn.MAKEARRAY(1,A295-2,_xlfn.LAMBDA(_xlpm.r,_xlpm.c,_xlpm.c))))</f>
        <v/>
      </c>
    </row>
    <row r="296" spans="2:2" x14ac:dyDescent="0.2">
      <c r="B296" t="str" cm="1">
        <f t="array" ref="B296">IF(A296="","",_xlfn.CHOOSECOLS('Prematch Backend 2A'!296:296,_xlfn.MAKEARRAY(1,A296-2,_xlfn.LAMBDA(_xlpm.r,_xlpm.c,_xlpm.c))))</f>
        <v/>
      </c>
    </row>
    <row r="297" spans="2:2" x14ac:dyDescent="0.2">
      <c r="B297" t="str" cm="1">
        <f t="array" ref="B297">IF(A297="","",_xlfn.CHOOSECOLS('Prematch Backend 2A'!297:297,_xlfn.MAKEARRAY(1,A297-2,_xlfn.LAMBDA(_xlpm.r,_xlpm.c,_xlpm.c))))</f>
        <v/>
      </c>
    </row>
    <row r="298" spans="2:2" x14ac:dyDescent="0.2">
      <c r="B298" t="str" cm="1">
        <f t="array" ref="B298">IF(A298="","",_xlfn.CHOOSECOLS('Prematch Backend 2A'!298:298,_xlfn.MAKEARRAY(1,A298-2,_xlfn.LAMBDA(_xlpm.r,_xlpm.c,_xlpm.c))))</f>
        <v/>
      </c>
    </row>
    <row r="299" spans="2:2" x14ac:dyDescent="0.2">
      <c r="B299" t="str" cm="1">
        <f t="array" ref="B299">IF(A299="","",_xlfn.CHOOSECOLS('Prematch Backend 2A'!299:299,_xlfn.MAKEARRAY(1,A299-2,_xlfn.LAMBDA(_xlpm.r,_xlpm.c,_xlpm.c))))</f>
        <v/>
      </c>
    </row>
    <row r="300" spans="2:2" x14ac:dyDescent="0.2">
      <c r="B300" t="str" cm="1">
        <f t="array" ref="B300">IF(A300="","",_xlfn.CHOOSECOLS('Prematch Backend 2A'!300:300,_xlfn.MAKEARRAY(1,A300-2,_xlfn.LAMBDA(_xlpm.r,_xlpm.c,_xlpm.c))))</f>
        <v/>
      </c>
    </row>
    <row r="301" spans="2:2" x14ac:dyDescent="0.2">
      <c r="B301" t="str" cm="1">
        <f t="array" ref="B301">IF(A301="","",_xlfn.CHOOSECOLS('Prematch Backend 2A'!301:301,_xlfn.MAKEARRAY(1,A301-2,_xlfn.LAMBDA(_xlpm.r,_xlpm.c,_xlpm.c))))</f>
        <v/>
      </c>
    </row>
    <row r="302" spans="2:2" x14ac:dyDescent="0.2">
      <c r="B302" t="str" cm="1">
        <f t="array" ref="B302">IF(A302="","",_xlfn.CHOOSECOLS('Prematch Backend 2A'!302:302,_xlfn.MAKEARRAY(1,A302-2,_xlfn.LAMBDA(_xlpm.r,_xlpm.c,_xlpm.c))))</f>
        <v/>
      </c>
    </row>
    <row r="303" spans="2:2" x14ac:dyDescent="0.2">
      <c r="B303" t="str" cm="1">
        <f t="array" ref="B303">IF(A303="","",_xlfn.CHOOSECOLS('Prematch Backend 2A'!303:303,_xlfn.MAKEARRAY(1,A303-2,_xlfn.LAMBDA(_xlpm.r,_xlpm.c,_xlpm.c))))</f>
        <v/>
      </c>
    </row>
    <row r="304" spans="2:2" x14ac:dyDescent="0.2">
      <c r="B304" t="str" cm="1">
        <f t="array" ref="B304">IF(A304="","",_xlfn.CHOOSECOLS('Prematch Backend 2A'!304:304,_xlfn.MAKEARRAY(1,A304-2,_xlfn.LAMBDA(_xlpm.r,_xlpm.c,_xlpm.c))))</f>
        <v/>
      </c>
    </row>
    <row r="305" spans="2:2" x14ac:dyDescent="0.2">
      <c r="B305" t="str" cm="1">
        <f t="array" ref="B305">IF(A305="","",_xlfn.CHOOSECOLS('Prematch Backend 2A'!305:305,_xlfn.MAKEARRAY(1,A305-2,_xlfn.LAMBDA(_xlpm.r,_xlpm.c,_xlpm.c))))</f>
        <v/>
      </c>
    </row>
    <row r="306" spans="2:2" x14ac:dyDescent="0.2">
      <c r="B306" t="str" cm="1">
        <f t="array" ref="B306">IF(A306="","",_xlfn.CHOOSECOLS('Prematch Backend 2A'!306:306,_xlfn.MAKEARRAY(1,A306-2,_xlfn.LAMBDA(_xlpm.r,_xlpm.c,_xlpm.c))))</f>
        <v/>
      </c>
    </row>
    <row r="307" spans="2:2" x14ac:dyDescent="0.2">
      <c r="B307" t="str" cm="1">
        <f t="array" ref="B307">IF(A307="","",_xlfn.CHOOSECOLS('Prematch Backend 2A'!307:307,_xlfn.MAKEARRAY(1,A307-2,_xlfn.LAMBDA(_xlpm.r,_xlpm.c,_xlpm.c))))</f>
        <v/>
      </c>
    </row>
    <row r="308" spans="2:2" x14ac:dyDescent="0.2">
      <c r="B308" t="str" cm="1">
        <f t="array" ref="B308">IF(A308="","",_xlfn.CHOOSECOLS('Prematch Backend 2A'!308:308,_xlfn.MAKEARRAY(1,A308-2,_xlfn.LAMBDA(_xlpm.r,_xlpm.c,_xlpm.c))))</f>
        <v/>
      </c>
    </row>
    <row r="309" spans="2:2" x14ac:dyDescent="0.2">
      <c r="B309" t="str" cm="1">
        <f t="array" ref="B309">IF(A309="","",_xlfn.CHOOSECOLS('Prematch Backend 2A'!309:309,_xlfn.MAKEARRAY(1,A309-2,_xlfn.LAMBDA(_xlpm.r,_xlpm.c,_xlpm.c))))</f>
        <v/>
      </c>
    </row>
    <row r="310" spans="2:2" x14ac:dyDescent="0.2">
      <c r="B310" t="str" cm="1">
        <f t="array" ref="B310">IF(A310="","",_xlfn.CHOOSECOLS('Prematch Backend 2A'!310:310,_xlfn.MAKEARRAY(1,A310-2,_xlfn.LAMBDA(_xlpm.r,_xlpm.c,_xlpm.c))))</f>
        <v/>
      </c>
    </row>
    <row r="311" spans="2:2" x14ac:dyDescent="0.2">
      <c r="B311" t="str" cm="1">
        <f t="array" ref="B311">IF(A311="","",_xlfn.CHOOSECOLS('Prematch Backend 2A'!311:311,_xlfn.MAKEARRAY(1,A311-2,_xlfn.LAMBDA(_xlpm.r,_xlpm.c,_xlpm.c))))</f>
        <v/>
      </c>
    </row>
    <row r="312" spans="2:2" x14ac:dyDescent="0.2">
      <c r="B312" t="str" cm="1">
        <f t="array" ref="B312">IF(A312="","",_xlfn.CHOOSECOLS('Prematch Backend 2A'!312:312,_xlfn.MAKEARRAY(1,A312-2,_xlfn.LAMBDA(_xlpm.r,_xlpm.c,_xlpm.c))))</f>
        <v/>
      </c>
    </row>
    <row r="313" spans="2:2" x14ac:dyDescent="0.2">
      <c r="B313" t="str" cm="1">
        <f t="array" ref="B313">IF(A313="","",_xlfn.CHOOSECOLS('Prematch Backend 2A'!313:313,_xlfn.MAKEARRAY(1,A313-2,_xlfn.LAMBDA(_xlpm.r,_xlpm.c,_xlpm.c))))</f>
        <v/>
      </c>
    </row>
    <row r="314" spans="2:2" x14ac:dyDescent="0.2">
      <c r="B314" t="str" cm="1">
        <f t="array" ref="B314">IF(A314="","",_xlfn.CHOOSECOLS('Prematch Backend 2A'!314:314,_xlfn.MAKEARRAY(1,A314-2,_xlfn.LAMBDA(_xlpm.r,_xlpm.c,_xlpm.c))))</f>
        <v/>
      </c>
    </row>
    <row r="315" spans="2:2" x14ac:dyDescent="0.2">
      <c r="B315" t="str" cm="1">
        <f t="array" ref="B315">IF(A315="","",_xlfn.CHOOSECOLS('Prematch Backend 2A'!315:315,_xlfn.MAKEARRAY(1,A315-2,_xlfn.LAMBDA(_xlpm.r,_xlpm.c,_xlpm.c))))</f>
        <v/>
      </c>
    </row>
    <row r="316" spans="2:2" x14ac:dyDescent="0.2">
      <c r="B316" t="str" cm="1">
        <f t="array" ref="B316">IF(A316="","",_xlfn.CHOOSECOLS('Prematch Backend 2A'!316:316,_xlfn.MAKEARRAY(1,A316-2,_xlfn.LAMBDA(_xlpm.r,_xlpm.c,_xlpm.c))))</f>
        <v/>
      </c>
    </row>
    <row r="317" spans="2:2" x14ac:dyDescent="0.2">
      <c r="B317" t="str" cm="1">
        <f t="array" ref="B317">IF(A317="","",_xlfn.CHOOSECOLS('Prematch Backend 2A'!317:317,_xlfn.MAKEARRAY(1,A317-2,_xlfn.LAMBDA(_xlpm.r,_xlpm.c,_xlpm.c))))</f>
        <v/>
      </c>
    </row>
    <row r="318" spans="2:2" x14ac:dyDescent="0.2">
      <c r="B318" t="str" cm="1">
        <f t="array" ref="B318">IF(A318="","",_xlfn.CHOOSECOLS('Prematch Backend 2A'!318:318,_xlfn.MAKEARRAY(1,A318-2,_xlfn.LAMBDA(_xlpm.r,_xlpm.c,_xlpm.c))))</f>
        <v/>
      </c>
    </row>
    <row r="319" spans="2:2" x14ac:dyDescent="0.2">
      <c r="B319" t="str" cm="1">
        <f t="array" ref="B319">IF(A319="","",_xlfn.CHOOSECOLS('Prematch Backend 2A'!319:319,_xlfn.MAKEARRAY(1,A319-2,_xlfn.LAMBDA(_xlpm.r,_xlpm.c,_xlpm.c))))</f>
        <v/>
      </c>
    </row>
    <row r="320" spans="2:2" x14ac:dyDescent="0.2">
      <c r="B320" t="str" cm="1">
        <f t="array" ref="B320">IF(A320="","",_xlfn.CHOOSECOLS('Prematch Backend 2A'!320:320,_xlfn.MAKEARRAY(1,A320-2,_xlfn.LAMBDA(_xlpm.r,_xlpm.c,_xlpm.c))))</f>
        <v/>
      </c>
    </row>
    <row r="321" spans="2:2" x14ac:dyDescent="0.2">
      <c r="B321" t="str" cm="1">
        <f t="array" ref="B321">IF(A321="","",_xlfn.CHOOSECOLS('Prematch Backend 2A'!321:321,_xlfn.MAKEARRAY(1,A321-2,_xlfn.LAMBDA(_xlpm.r,_xlpm.c,_xlpm.c))))</f>
        <v/>
      </c>
    </row>
    <row r="322" spans="2:2" x14ac:dyDescent="0.2">
      <c r="B322" t="str" cm="1">
        <f t="array" ref="B322">IF(A322="","",_xlfn.CHOOSECOLS('Prematch Backend 2A'!322:322,_xlfn.MAKEARRAY(1,A322-2,_xlfn.LAMBDA(_xlpm.r,_xlpm.c,_xlpm.c))))</f>
        <v/>
      </c>
    </row>
    <row r="323" spans="2:2" x14ac:dyDescent="0.2">
      <c r="B323" t="str" cm="1">
        <f t="array" ref="B323">IF(A323="","",_xlfn.CHOOSECOLS('Prematch Backend 2A'!323:323,_xlfn.MAKEARRAY(1,A323-2,_xlfn.LAMBDA(_xlpm.r,_xlpm.c,_xlpm.c))))</f>
        <v/>
      </c>
    </row>
    <row r="324" spans="2:2" x14ac:dyDescent="0.2">
      <c r="B324" t="str" cm="1">
        <f t="array" ref="B324">IF(A324="","",_xlfn.CHOOSECOLS('Prematch Backend 2A'!324:324,_xlfn.MAKEARRAY(1,A324-2,_xlfn.LAMBDA(_xlpm.r,_xlpm.c,_xlpm.c))))</f>
        <v/>
      </c>
    </row>
    <row r="325" spans="2:2" x14ac:dyDescent="0.2">
      <c r="B325" t="str" cm="1">
        <f t="array" ref="B325">IF(A325="","",_xlfn.CHOOSECOLS('Prematch Backend 2A'!325:325,_xlfn.MAKEARRAY(1,A325-2,_xlfn.LAMBDA(_xlpm.r,_xlpm.c,_xlpm.c))))</f>
        <v/>
      </c>
    </row>
    <row r="326" spans="2:2" x14ac:dyDescent="0.2">
      <c r="B326" t="str" cm="1">
        <f t="array" ref="B326">IF(A326="","",_xlfn.CHOOSECOLS('Prematch Backend 2A'!326:326,_xlfn.MAKEARRAY(1,A326-2,_xlfn.LAMBDA(_xlpm.r,_xlpm.c,_xlpm.c))))</f>
        <v/>
      </c>
    </row>
    <row r="327" spans="2:2" x14ac:dyDescent="0.2">
      <c r="B327" t="str" cm="1">
        <f t="array" ref="B327">IF(A327="","",_xlfn.CHOOSECOLS('Prematch Backend 2A'!327:327,_xlfn.MAKEARRAY(1,A327-2,_xlfn.LAMBDA(_xlpm.r,_xlpm.c,_xlpm.c))))</f>
        <v/>
      </c>
    </row>
    <row r="328" spans="2:2" x14ac:dyDescent="0.2">
      <c r="B328" t="str" cm="1">
        <f t="array" ref="B328">IF(A328="","",_xlfn.CHOOSECOLS('Prematch Backend 2A'!328:328,_xlfn.MAKEARRAY(1,A328-2,_xlfn.LAMBDA(_xlpm.r,_xlpm.c,_xlpm.c))))</f>
        <v/>
      </c>
    </row>
    <row r="329" spans="2:2" x14ac:dyDescent="0.2">
      <c r="B329" t="str" cm="1">
        <f t="array" ref="B329">IF(A329="","",_xlfn.CHOOSECOLS('Prematch Backend 2A'!329:329,_xlfn.MAKEARRAY(1,A329-2,_xlfn.LAMBDA(_xlpm.r,_xlpm.c,_xlpm.c))))</f>
        <v/>
      </c>
    </row>
    <row r="330" spans="2:2" x14ac:dyDescent="0.2">
      <c r="B330" t="str" cm="1">
        <f t="array" ref="B330">IF(A330="","",_xlfn.CHOOSECOLS('Prematch Backend 2A'!330:330,_xlfn.MAKEARRAY(1,A330-2,_xlfn.LAMBDA(_xlpm.r,_xlpm.c,_xlpm.c))))</f>
        <v/>
      </c>
    </row>
    <row r="331" spans="2:2" x14ac:dyDescent="0.2">
      <c r="B331" t="str" cm="1">
        <f t="array" ref="B331">IF(A331="","",_xlfn.CHOOSECOLS('Prematch Backend 2A'!331:331,_xlfn.MAKEARRAY(1,A331-2,_xlfn.LAMBDA(_xlpm.r,_xlpm.c,_xlpm.c))))</f>
        <v/>
      </c>
    </row>
    <row r="332" spans="2:2" x14ac:dyDescent="0.2">
      <c r="B332" t="str" cm="1">
        <f t="array" ref="B332">IF(A332="","",_xlfn.CHOOSECOLS('Prematch Backend 2A'!332:332,_xlfn.MAKEARRAY(1,A332-2,_xlfn.LAMBDA(_xlpm.r,_xlpm.c,_xlpm.c))))</f>
        <v/>
      </c>
    </row>
    <row r="333" spans="2:2" x14ac:dyDescent="0.2">
      <c r="B333" t="str" cm="1">
        <f t="array" ref="B333">IF(A333="","",_xlfn.CHOOSECOLS('Prematch Backend 2A'!333:333,_xlfn.MAKEARRAY(1,A333-2,_xlfn.LAMBDA(_xlpm.r,_xlpm.c,_xlpm.c))))</f>
        <v/>
      </c>
    </row>
    <row r="334" spans="2:2" x14ac:dyDescent="0.2">
      <c r="B334" t="str" cm="1">
        <f t="array" ref="B334">IF(A334="","",_xlfn.CHOOSECOLS('Prematch Backend 2A'!334:334,_xlfn.MAKEARRAY(1,A334-2,_xlfn.LAMBDA(_xlpm.r,_xlpm.c,_xlpm.c))))</f>
        <v/>
      </c>
    </row>
    <row r="335" spans="2:2" x14ac:dyDescent="0.2">
      <c r="B335" t="str" cm="1">
        <f t="array" ref="B335">IF(A335="","",_xlfn.CHOOSECOLS('Prematch Backend 2A'!335:335,_xlfn.MAKEARRAY(1,A335-2,_xlfn.LAMBDA(_xlpm.r,_xlpm.c,_xlpm.c))))</f>
        <v/>
      </c>
    </row>
    <row r="336" spans="2:2" x14ac:dyDescent="0.2">
      <c r="B336" t="str" cm="1">
        <f t="array" ref="B336">IF(A336="","",_xlfn.CHOOSECOLS('Prematch Backend 2A'!336:336,_xlfn.MAKEARRAY(1,A336-2,_xlfn.LAMBDA(_xlpm.r,_xlpm.c,_xlpm.c))))</f>
        <v/>
      </c>
    </row>
    <row r="337" spans="2:2" x14ac:dyDescent="0.2">
      <c r="B337" t="str" cm="1">
        <f t="array" ref="B337">IF(A337="","",_xlfn.CHOOSECOLS('Prematch Backend 2A'!337:337,_xlfn.MAKEARRAY(1,A337-2,_xlfn.LAMBDA(_xlpm.r,_xlpm.c,_xlpm.c))))</f>
        <v/>
      </c>
    </row>
    <row r="338" spans="2:2" x14ac:dyDescent="0.2">
      <c r="B338" t="str" cm="1">
        <f t="array" ref="B338">IF(A338="","",_xlfn.CHOOSECOLS('Prematch Backend 2A'!338:338,_xlfn.MAKEARRAY(1,A338-2,_xlfn.LAMBDA(_xlpm.r,_xlpm.c,_xlpm.c))))</f>
        <v/>
      </c>
    </row>
    <row r="339" spans="2:2" x14ac:dyDescent="0.2">
      <c r="B339" t="str" cm="1">
        <f t="array" ref="B339">IF(A339="","",_xlfn.CHOOSECOLS('Prematch Backend 2A'!339:339,_xlfn.MAKEARRAY(1,A339-2,_xlfn.LAMBDA(_xlpm.r,_xlpm.c,_xlpm.c))))</f>
        <v/>
      </c>
    </row>
    <row r="340" spans="2:2" x14ac:dyDescent="0.2">
      <c r="B340" t="str" cm="1">
        <f t="array" ref="B340">IF(A340="","",_xlfn.CHOOSECOLS('Prematch Backend 2A'!340:340,_xlfn.MAKEARRAY(1,A340-2,_xlfn.LAMBDA(_xlpm.r,_xlpm.c,_xlpm.c))))</f>
        <v/>
      </c>
    </row>
    <row r="341" spans="2:2" x14ac:dyDescent="0.2">
      <c r="B341" t="str" cm="1">
        <f t="array" ref="B341">IF(A341="","",_xlfn.CHOOSECOLS('Prematch Backend 2A'!341:341,_xlfn.MAKEARRAY(1,A341-2,_xlfn.LAMBDA(_xlpm.r,_xlpm.c,_xlpm.c))))</f>
        <v/>
      </c>
    </row>
    <row r="342" spans="2:2" x14ac:dyDescent="0.2">
      <c r="B342" t="str" cm="1">
        <f t="array" ref="B342">IF(A342="","",_xlfn.CHOOSECOLS('Prematch Backend 2A'!342:342,_xlfn.MAKEARRAY(1,A342-2,_xlfn.LAMBDA(_xlpm.r,_xlpm.c,_xlpm.c))))</f>
        <v/>
      </c>
    </row>
    <row r="343" spans="2:2" x14ac:dyDescent="0.2">
      <c r="B343" t="str" cm="1">
        <f t="array" ref="B343">IF(A343="","",_xlfn.CHOOSECOLS('Prematch Backend 2A'!343:343,_xlfn.MAKEARRAY(1,A343-2,_xlfn.LAMBDA(_xlpm.r,_xlpm.c,_xlpm.c))))</f>
        <v/>
      </c>
    </row>
    <row r="344" spans="2:2" x14ac:dyDescent="0.2">
      <c r="B344" t="str" cm="1">
        <f t="array" ref="B344">IF(A344="","",_xlfn.CHOOSECOLS('Prematch Backend 2A'!344:344,_xlfn.MAKEARRAY(1,A344-2,_xlfn.LAMBDA(_xlpm.r,_xlpm.c,_xlpm.c))))</f>
        <v/>
      </c>
    </row>
    <row r="345" spans="2:2" x14ac:dyDescent="0.2">
      <c r="B345" t="str" cm="1">
        <f t="array" ref="B345">IF(A345="","",_xlfn.CHOOSECOLS('Prematch Backend 2A'!345:345,_xlfn.MAKEARRAY(1,A345-2,_xlfn.LAMBDA(_xlpm.r,_xlpm.c,_xlpm.c))))</f>
        <v/>
      </c>
    </row>
    <row r="346" spans="2:2" x14ac:dyDescent="0.2">
      <c r="B346" t="str" cm="1">
        <f t="array" ref="B346">IF(A346="","",_xlfn.CHOOSECOLS('Prematch Backend 2A'!346:346,_xlfn.MAKEARRAY(1,A346-2,_xlfn.LAMBDA(_xlpm.r,_xlpm.c,_xlpm.c))))</f>
        <v/>
      </c>
    </row>
    <row r="347" spans="2:2" x14ac:dyDescent="0.2">
      <c r="B347" t="str" cm="1">
        <f t="array" ref="B347">IF(A347="","",_xlfn.CHOOSECOLS('Prematch Backend 2A'!347:347,_xlfn.MAKEARRAY(1,A347-2,_xlfn.LAMBDA(_xlpm.r,_xlpm.c,_xlpm.c))))</f>
        <v/>
      </c>
    </row>
    <row r="348" spans="2:2" x14ac:dyDescent="0.2">
      <c r="B348" t="str" cm="1">
        <f t="array" ref="B348">IF(A348="","",_xlfn.CHOOSECOLS('Prematch Backend 2A'!348:348,_xlfn.MAKEARRAY(1,A348-2,_xlfn.LAMBDA(_xlpm.r,_xlpm.c,_xlpm.c))))</f>
        <v/>
      </c>
    </row>
    <row r="349" spans="2:2" x14ac:dyDescent="0.2">
      <c r="B349" t="str" cm="1">
        <f t="array" ref="B349">IF(A349="","",_xlfn.CHOOSECOLS('Prematch Backend 2A'!349:349,_xlfn.MAKEARRAY(1,A349-2,_xlfn.LAMBDA(_xlpm.r,_xlpm.c,_xlpm.c))))</f>
        <v/>
      </c>
    </row>
    <row r="350" spans="2:2" x14ac:dyDescent="0.2">
      <c r="B350" t="str" cm="1">
        <f t="array" ref="B350">IF(A350="","",_xlfn.CHOOSECOLS('Prematch Backend 2A'!350:350,_xlfn.MAKEARRAY(1,A350-2,_xlfn.LAMBDA(_xlpm.r,_xlpm.c,_xlpm.c))))</f>
        <v/>
      </c>
    </row>
    <row r="351" spans="2:2" x14ac:dyDescent="0.2">
      <c r="B351" t="str" cm="1">
        <f t="array" ref="B351">IF(A351="","",_xlfn.CHOOSECOLS('Prematch Backend 2A'!351:351,_xlfn.MAKEARRAY(1,A351-2,_xlfn.LAMBDA(_xlpm.r,_xlpm.c,_xlpm.c))))</f>
        <v/>
      </c>
    </row>
    <row r="352" spans="2:2" x14ac:dyDescent="0.2">
      <c r="B352" t="str" cm="1">
        <f t="array" ref="B352">IF(A352="","",_xlfn.CHOOSECOLS('Prematch Backend 2A'!352:352,_xlfn.MAKEARRAY(1,A352-2,_xlfn.LAMBDA(_xlpm.r,_xlpm.c,_xlpm.c))))</f>
        <v/>
      </c>
    </row>
    <row r="353" spans="2:2" x14ac:dyDescent="0.2">
      <c r="B353" t="str" cm="1">
        <f t="array" ref="B353">IF(A353="","",_xlfn.CHOOSECOLS('Prematch Backend 2A'!353:353,_xlfn.MAKEARRAY(1,A353-2,_xlfn.LAMBDA(_xlpm.r,_xlpm.c,_xlpm.c))))</f>
        <v/>
      </c>
    </row>
    <row r="354" spans="2:2" x14ac:dyDescent="0.2">
      <c r="B354" t="str" cm="1">
        <f t="array" ref="B354">IF(A354="","",_xlfn.CHOOSECOLS('Prematch Backend 2A'!354:354,_xlfn.MAKEARRAY(1,A354-2,_xlfn.LAMBDA(_xlpm.r,_xlpm.c,_xlpm.c))))</f>
        <v/>
      </c>
    </row>
    <row r="355" spans="2:2" x14ac:dyDescent="0.2">
      <c r="B355" t="str" cm="1">
        <f t="array" ref="B355">IF(A355="","",_xlfn.CHOOSECOLS('Prematch Backend 2A'!355:355,_xlfn.MAKEARRAY(1,A355-2,_xlfn.LAMBDA(_xlpm.r,_xlpm.c,_xlpm.c))))</f>
        <v/>
      </c>
    </row>
    <row r="356" spans="2:2" x14ac:dyDescent="0.2">
      <c r="B356" t="str" cm="1">
        <f t="array" ref="B356">IF(A356="","",_xlfn.CHOOSECOLS('Prematch Backend 2A'!356:356,_xlfn.MAKEARRAY(1,A356-2,_xlfn.LAMBDA(_xlpm.r,_xlpm.c,_xlpm.c))))</f>
        <v/>
      </c>
    </row>
    <row r="357" spans="2:2" x14ac:dyDescent="0.2">
      <c r="B357" t="str" cm="1">
        <f t="array" ref="B357">IF(A357="","",_xlfn.CHOOSECOLS('Prematch Backend 2A'!357:357,_xlfn.MAKEARRAY(1,A357-2,_xlfn.LAMBDA(_xlpm.r,_xlpm.c,_xlpm.c))))</f>
        <v/>
      </c>
    </row>
    <row r="358" spans="2:2" x14ac:dyDescent="0.2">
      <c r="B358" t="str" cm="1">
        <f t="array" ref="B358">IF(A358="","",_xlfn.CHOOSECOLS('Prematch Backend 2A'!358:358,_xlfn.MAKEARRAY(1,A358-2,_xlfn.LAMBDA(_xlpm.r,_xlpm.c,_xlpm.c))))</f>
        <v/>
      </c>
    </row>
    <row r="359" spans="2:2" x14ac:dyDescent="0.2">
      <c r="B359" t="str" cm="1">
        <f t="array" ref="B359">IF(A359="","",_xlfn.CHOOSECOLS('Prematch Backend 2A'!359:359,_xlfn.MAKEARRAY(1,A359-2,_xlfn.LAMBDA(_xlpm.r,_xlpm.c,_xlpm.c))))</f>
        <v/>
      </c>
    </row>
    <row r="360" spans="2:2" x14ac:dyDescent="0.2">
      <c r="B360" t="str" cm="1">
        <f t="array" ref="B360">IF(A360="","",_xlfn.CHOOSECOLS('Prematch Backend 2A'!360:360,_xlfn.MAKEARRAY(1,A360-2,_xlfn.LAMBDA(_xlpm.r,_xlpm.c,_xlpm.c))))</f>
        <v/>
      </c>
    </row>
    <row r="361" spans="2:2" x14ac:dyDescent="0.2">
      <c r="B361" t="str" cm="1">
        <f t="array" ref="B361">IF(A361="","",_xlfn.CHOOSECOLS('Prematch Backend 2A'!361:361,_xlfn.MAKEARRAY(1,A361-2,_xlfn.LAMBDA(_xlpm.r,_xlpm.c,_xlpm.c))))</f>
        <v/>
      </c>
    </row>
    <row r="362" spans="2:2" x14ac:dyDescent="0.2">
      <c r="B362" t="str" cm="1">
        <f t="array" ref="B362">IF(A362="","",_xlfn.CHOOSECOLS('Prematch Backend 2A'!362:362,_xlfn.MAKEARRAY(1,A362-2,_xlfn.LAMBDA(_xlpm.r,_xlpm.c,_xlpm.c))))</f>
        <v/>
      </c>
    </row>
    <row r="363" spans="2:2" x14ac:dyDescent="0.2">
      <c r="B363" t="str" cm="1">
        <f t="array" ref="B363">IF(A363="","",_xlfn.CHOOSECOLS('Prematch Backend 2A'!363:363,_xlfn.MAKEARRAY(1,A363-2,_xlfn.LAMBDA(_xlpm.r,_xlpm.c,_xlpm.c))))</f>
        <v/>
      </c>
    </row>
    <row r="364" spans="2:2" x14ac:dyDescent="0.2">
      <c r="B364" t="str" cm="1">
        <f t="array" ref="B364">IF(A364="","",_xlfn.CHOOSECOLS('Prematch Backend 2A'!364:364,_xlfn.MAKEARRAY(1,A364-2,_xlfn.LAMBDA(_xlpm.r,_xlpm.c,_xlpm.c))))</f>
        <v/>
      </c>
    </row>
    <row r="365" spans="2:2" x14ac:dyDescent="0.2">
      <c r="B365" t="str" cm="1">
        <f t="array" ref="B365">IF(A365="","",_xlfn.CHOOSECOLS('Prematch Backend 2A'!365:365,_xlfn.MAKEARRAY(1,A365-2,_xlfn.LAMBDA(_xlpm.r,_xlpm.c,_xlpm.c))))</f>
        <v/>
      </c>
    </row>
    <row r="366" spans="2:2" x14ac:dyDescent="0.2">
      <c r="B366" t="str" cm="1">
        <f t="array" ref="B366">IF(A366="","",_xlfn.CHOOSECOLS('Prematch Backend 2A'!366:366,_xlfn.MAKEARRAY(1,A366-2,_xlfn.LAMBDA(_xlpm.r,_xlpm.c,_xlpm.c))))</f>
        <v/>
      </c>
    </row>
    <row r="367" spans="2:2" x14ac:dyDescent="0.2">
      <c r="B367" t="str" cm="1">
        <f t="array" ref="B367">IF(A367="","",_xlfn.CHOOSECOLS('Prematch Backend 2A'!367:367,_xlfn.MAKEARRAY(1,A367-2,_xlfn.LAMBDA(_xlpm.r,_xlpm.c,_xlpm.c))))</f>
        <v/>
      </c>
    </row>
    <row r="368" spans="2:2" x14ac:dyDescent="0.2">
      <c r="B368" t="str" cm="1">
        <f t="array" ref="B368">IF(A368="","",_xlfn.CHOOSECOLS('Prematch Backend 2A'!368:368,_xlfn.MAKEARRAY(1,A368-2,_xlfn.LAMBDA(_xlpm.r,_xlpm.c,_xlpm.c))))</f>
        <v/>
      </c>
    </row>
    <row r="369" spans="2:2" x14ac:dyDescent="0.2">
      <c r="B369" t="str" cm="1">
        <f t="array" ref="B369">IF(A369="","",_xlfn.CHOOSECOLS('Prematch Backend 2A'!369:369,_xlfn.MAKEARRAY(1,A369-2,_xlfn.LAMBDA(_xlpm.r,_xlpm.c,_xlpm.c))))</f>
        <v/>
      </c>
    </row>
    <row r="370" spans="2:2" x14ac:dyDescent="0.2">
      <c r="B370" t="str" cm="1">
        <f t="array" ref="B370">IF(A370="","",_xlfn.CHOOSECOLS('Prematch Backend 2A'!370:370,_xlfn.MAKEARRAY(1,A370-2,_xlfn.LAMBDA(_xlpm.r,_xlpm.c,_xlpm.c))))</f>
        <v/>
      </c>
    </row>
    <row r="371" spans="2:2" x14ac:dyDescent="0.2">
      <c r="B371" t="str" cm="1">
        <f t="array" ref="B371">IF(A371="","",_xlfn.CHOOSECOLS('Prematch Backend 2A'!371:371,_xlfn.MAKEARRAY(1,A371-2,_xlfn.LAMBDA(_xlpm.r,_xlpm.c,_xlpm.c))))</f>
        <v/>
      </c>
    </row>
    <row r="372" spans="2:2" x14ac:dyDescent="0.2">
      <c r="B372" t="str" cm="1">
        <f t="array" ref="B372">IF(A372="","",_xlfn.CHOOSECOLS('Prematch Backend 2A'!372:372,_xlfn.MAKEARRAY(1,A372-2,_xlfn.LAMBDA(_xlpm.r,_xlpm.c,_xlpm.c))))</f>
        <v/>
      </c>
    </row>
    <row r="373" spans="2:2" x14ac:dyDescent="0.2">
      <c r="B373" t="str" cm="1">
        <f t="array" ref="B373">IF(A373="","",_xlfn.CHOOSECOLS('Prematch Backend 2A'!373:373,_xlfn.MAKEARRAY(1,A373-2,_xlfn.LAMBDA(_xlpm.r,_xlpm.c,_xlpm.c))))</f>
        <v/>
      </c>
    </row>
    <row r="374" spans="2:2" x14ac:dyDescent="0.2">
      <c r="B374" t="str" cm="1">
        <f t="array" ref="B374">IF(A374="","",_xlfn.CHOOSECOLS('Prematch Backend 2A'!374:374,_xlfn.MAKEARRAY(1,A374-2,_xlfn.LAMBDA(_xlpm.r,_xlpm.c,_xlpm.c))))</f>
        <v/>
      </c>
    </row>
    <row r="375" spans="2:2" x14ac:dyDescent="0.2">
      <c r="B375" t="str" cm="1">
        <f t="array" ref="B375">IF(A375="","",_xlfn.CHOOSECOLS('Prematch Backend 2A'!375:375,_xlfn.MAKEARRAY(1,A375-2,_xlfn.LAMBDA(_xlpm.r,_xlpm.c,_xlpm.c))))</f>
        <v/>
      </c>
    </row>
    <row r="376" spans="2:2" x14ac:dyDescent="0.2">
      <c r="B376" t="str" cm="1">
        <f t="array" ref="B376">IF(A376="","",_xlfn.CHOOSECOLS('Prematch Backend 2A'!376:376,_xlfn.MAKEARRAY(1,A376-2,_xlfn.LAMBDA(_xlpm.r,_xlpm.c,_xlpm.c))))</f>
        <v/>
      </c>
    </row>
    <row r="377" spans="2:2" x14ac:dyDescent="0.2">
      <c r="B377" t="str" cm="1">
        <f t="array" ref="B377">IF(A377="","",_xlfn.CHOOSECOLS('Prematch Backend 2A'!377:377,_xlfn.MAKEARRAY(1,A377-2,_xlfn.LAMBDA(_xlpm.r,_xlpm.c,_xlpm.c))))</f>
        <v/>
      </c>
    </row>
    <row r="378" spans="2:2" x14ac:dyDescent="0.2">
      <c r="B378" t="str" cm="1">
        <f t="array" ref="B378">IF(A378="","",_xlfn.CHOOSECOLS('Prematch Backend 2A'!378:378,_xlfn.MAKEARRAY(1,A378-2,_xlfn.LAMBDA(_xlpm.r,_xlpm.c,_xlpm.c))))</f>
        <v/>
      </c>
    </row>
    <row r="379" spans="2:2" x14ac:dyDescent="0.2">
      <c r="B379" t="str" cm="1">
        <f t="array" ref="B379">IF(A379="","",_xlfn.CHOOSECOLS('Prematch Backend 2A'!379:379,_xlfn.MAKEARRAY(1,A379-2,_xlfn.LAMBDA(_xlpm.r,_xlpm.c,_xlpm.c))))</f>
        <v/>
      </c>
    </row>
    <row r="380" spans="2:2" x14ac:dyDescent="0.2">
      <c r="B380" t="str" cm="1">
        <f t="array" ref="B380">IF(A380="","",_xlfn.CHOOSECOLS('Prematch Backend 2A'!380:380,_xlfn.MAKEARRAY(1,A380-2,_xlfn.LAMBDA(_xlpm.r,_xlpm.c,_xlpm.c))))</f>
        <v/>
      </c>
    </row>
    <row r="381" spans="2:2" x14ac:dyDescent="0.2">
      <c r="B381" t="str" cm="1">
        <f t="array" ref="B381">IF(A381="","",_xlfn.CHOOSECOLS('Prematch Backend 2A'!381:381,_xlfn.MAKEARRAY(1,A381-2,_xlfn.LAMBDA(_xlpm.r,_xlpm.c,_xlpm.c))))</f>
        <v/>
      </c>
    </row>
    <row r="382" spans="2:2" x14ac:dyDescent="0.2">
      <c r="B382" t="str" cm="1">
        <f t="array" ref="B382">IF(A382="","",_xlfn.CHOOSECOLS('Prematch Backend 2A'!382:382,_xlfn.MAKEARRAY(1,A382-2,_xlfn.LAMBDA(_xlpm.r,_xlpm.c,_xlpm.c))))</f>
        <v/>
      </c>
    </row>
    <row r="383" spans="2:2" x14ac:dyDescent="0.2">
      <c r="B383" t="str" cm="1">
        <f t="array" ref="B383">IF(A383="","",_xlfn.CHOOSECOLS('Prematch Backend 2A'!383:383,_xlfn.MAKEARRAY(1,A383-2,_xlfn.LAMBDA(_xlpm.r,_xlpm.c,_xlpm.c))))</f>
        <v/>
      </c>
    </row>
    <row r="384" spans="2:2" x14ac:dyDescent="0.2">
      <c r="B384" t="str" cm="1">
        <f t="array" ref="B384">IF(A384="","",_xlfn.CHOOSECOLS('Prematch Backend 2A'!384:384,_xlfn.MAKEARRAY(1,A384-2,_xlfn.LAMBDA(_xlpm.r,_xlpm.c,_xlpm.c))))</f>
        <v/>
      </c>
    </row>
    <row r="385" spans="2:2" x14ac:dyDescent="0.2">
      <c r="B385" t="str" cm="1">
        <f t="array" ref="B385">IF(A385="","",_xlfn.CHOOSECOLS('Prematch Backend 2A'!385:385,_xlfn.MAKEARRAY(1,A385-2,_xlfn.LAMBDA(_xlpm.r,_xlpm.c,_xlpm.c))))</f>
        <v/>
      </c>
    </row>
    <row r="386" spans="2:2" x14ac:dyDescent="0.2">
      <c r="B386" t="str" cm="1">
        <f t="array" ref="B386">IF(A386="","",_xlfn.CHOOSECOLS('Prematch Backend 2A'!386:386,_xlfn.MAKEARRAY(1,A386-2,_xlfn.LAMBDA(_xlpm.r,_xlpm.c,_xlpm.c))))</f>
        <v/>
      </c>
    </row>
    <row r="387" spans="2:2" x14ac:dyDescent="0.2">
      <c r="B387" t="str" cm="1">
        <f t="array" ref="B387">IF(A387="","",_xlfn.CHOOSECOLS('Prematch Backend 2A'!387:387,_xlfn.MAKEARRAY(1,A387-2,_xlfn.LAMBDA(_xlpm.r,_xlpm.c,_xlpm.c))))</f>
        <v/>
      </c>
    </row>
    <row r="388" spans="2:2" x14ac:dyDescent="0.2">
      <c r="B388" t="str" cm="1">
        <f t="array" ref="B388">IF(A388="","",_xlfn.CHOOSECOLS('Prematch Backend 2A'!388:388,_xlfn.MAKEARRAY(1,A388-2,_xlfn.LAMBDA(_xlpm.r,_xlpm.c,_xlpm.c))))</f>
        <v/>
      </c>
    </row>
    <row r="389" spans="2:2" x14ac:dyDescent="0.2">
      <c r="B389" t="str" cm="1">
        <f t="array" ref="B389">IF(A389="","",_xlfn.CHOOSECOLS('Prematch Backend 2A'!389:389,_xlfn.MAKEARRAY(1,A389-2,_xlfn.LAMBDA(_xlpm.r,_xlpm.c,_xlpm.c))))</f>
        <v/>
      </c>
    </row>
    <row r="390" spans="2:2" x14ac:dyDescent="0.2">
      <c r="B390" t="str" cm="1">
        <f t="array" ref="B390">IF(A390="","",_xlfn.CHOOSECOLS('Prematch Backend 2A'!390:390,_xlfn.MAKEARRAY(1,A390-2,_xlfn.LAMBDA(_xlpm.r,_xlpm.c,_xlpm.c))))</f>
        <v/>
      </c>
    </row>
    <row r="391" spans="2:2" x14ac:dyDescent="0.2">
      <c r="B391" t="str" cm="1">
        <f t="array" ref="B391">IF(A391="","",_xlfn.CHOOSECOLS('Prematch Backend 2A'!391:391,_xlfn.MAKEARRAY(1,A391-2,_xlfn.LAMBDA(_xlpm.r,_xlpm.c,_xlpm.c))))</f>
        <v/>
      </c>
    </row>
    <row r="392" spans="2:2" x14ac:dyDescent="0.2">
      <c r="B392" t="str" cm="1">
        <f t="array" ref="B392">IF(A392="","",_xlfn.CHOOSECOLS('Prematch Backend 2A'!392:392,_xlfn.MAKEARRAY(1,A392-2,_xlfn.LAMBDA(_xlpm.r,_xlpm.c,_xlpm.c))))</f>
        <v/>
      </c>
    </row>
    <row r="393" spans="2:2" x14ac:dyDescent="0.2">
      <c r="B393" t="str" cm="1">
        <f t="array" ref="B393">IF(A393="","",_xlfn.CHOOSECOLS('Prematch Backend 2A'!393:393,_xlfn.MAKEARRAY(1,A393-2,_xlfn.LAMBDA(_xlpm.r,_xlpm.c,_xlpm.c))))</f>
        <v/>
      </c>
    </row>
    <row r="394" spans="2:2" x14ac:dyDescent="0.2">
      <c r="B394" t="str" cm="1">
        <f t="array" ref="B394">IF(A394="","",_xlfn.CHOOSECOLS('Prematch Backend 2A'!394:394,_xlfn.MAKEARRAY(1,A394-2,_xlfn.LAMBDA(_xlpm.r,_xlpm.c,_xlpm.c))))</f>
        <v/>
      </c>
    </row>
    <row r="395" spans="2:2" x14ac:dyDescent="0.2">
      <c r="B395" t="str" cm="1">
        <f t="array" ref="B395">IF(A395="","",_xlfn.CHOOSECOLS('Prematch Backend 2A'!395:395,_xlfn.MAKEARRAY(1,A395-2,_xlfn.LAMBDA(_xlpm.r,_xlpm.c,_xlpm.c))))</f>
        <v/>
      </c>
    </row>
    <row r="396" spans="2:2" x14ac:dyDescent="0.2">
      <c r="B396" t="str" cm="1">
        <f t="array" ref="B396">IF(A396="","",_xlfn.CHOOSECOLS('Prematch Backend 2A'!396:396,_xlfn.MAKEARRAY(1,A396-2,_xlfn.LAMBDA(_xlpm.r,_xlpm.c,_xlpm.c))))</f>
        <v/>
      </c>
    </row>
    <row r="397" spans="2:2" x14ac:dyDescent="0.2">
      <c r="B397" t="str" cm="1">
        <f t="array" ref="B397">IF(A397="","",_xlfn.CHOOSECOLS('Prematch Backend 2A'!397:397,_xlfn.MAKEARRAY(1,A397-2,_xlfn.LAMBDA(_xlpm.r,_xlpm.c,_xlpm.c))))</f>
        <v/>
      </c>
    </row>
    <row r="398" spans="2:2" x14ac:dyDescent="0.2">
      <c r="B398" t="str" cm="1">
        <f t="array" ref="B398">IF(A398="","",_xlfn.CHOOSECOLS('Prematch Backend 2A'!398:398,_xlfn.MAKEARRAY(1,A398-2,_xlfn.LAMBDA(_xlpm.r,_xlpm.c,_xlpm.c))))</f>
        <v/>
      </c>
    </row>
    <row r="399" spans="2:2" x14ac:dyDescent="0.2">
      <c r="B399" t="str" cm="1">
        <f t="array" ref="B399">IF(A399="","",_xlfn.CHOOSECOLS('Prematch Backend 2A'!399:399,_xlfn.MAKEARRAY(1,A399-2,_xlfn.LAMBDA(_xlpm.r,_xlpm.c,_xlpm.c))))</f>
        <v/>
      </c>
    </row>
    <row r="400" spans="2:2" x14ac:dyDescent="0.2">
      <c r="B400" t="str" cm="1">
        <f t="array" ref="B400">IF(A400="","",_xlfn.CHOOSECOLS('Prematch Backend 2A'!400:400,_xlfn.MAKEARRAY(1,A400-2,_xlfn.LAMBDA(_xlpm.r,_xlpm.c,_xlpm.c))))</f>
        <v/>
      </c>
    </row>
    <row r="401" spans="2:2" x14ac:dyDescent="0.2">
      <c r="B401" t="str" cm="1">
        <f t="array" ref="B401">IF(A401="","",_xlfn.CHOOSECOLS('Prematch Backend 2A'!401:401,_xlfn.MAKEARRAY(1,A401-2,_xlfn.LAMBDA(_xlpm.r,_xlpm.c,_xlpm.c))))</f>
        <v/>
      </c>
    </row>
    <row r="402" spans="2:2" x14ac:dyDescent="0.2">
      <c r="B402" t="str" cm="1">
        <f t="array" ref="B402">IF(A402="","",_xlfn.CHOOSECOLS('Prematch Backend 2A'!402:402,_xlfn.MAKEARRAY(1,A402-2,_xlfn.LAMBDA(_xlpm.r,_xlpm.c,_xlpm.c))))</f>
        <v/>
      </c>
    </row>
    <row r="403" spans="2:2" x14ac:dyDescent="0.2">
      <c r="B403" t="str" cm="1">
        <f t="array" ref="B403">IF(A403="","",_xlfn.CHOOSECOLS('Prematch Backend 2A'!403:403,_xlfn.MAKEARRAY(1,A403-2,_xlfn.LAMBDA(_xlpm.r,_xlpm.c,_xlpm.c))))</f>
        <v/>
      </c>
    </row>
    <row r="404" spans="2:2" x14ac:dyDescent="0.2">
      <c r="B404" t="str" cm="1">
        <f t="array" ref="B404">IF(A404="","",_xlfn.CHOOSECOLS('Prematch Backend 2A'!404:404,_xlfn.MAKEARRAY(1,A404-2,_xlfn.LAMBDA(_xlpm.r,_xlpm.c,_xlpm.c))))</f>
        <v/>
      </c>
    </row>
    <row r="405" spans="2:2" x14ac:dyDescent="0.2">
      <c r="B405" t="str" cm="1">
        <f t="array" ref="B405">IF(A405="","",_xlfn.CHOOSECOLS('Prematch Backend 2A'!405:405,_xlfn.MAKEARRAY(1,A405-2,_xlfn.LAMBDA(_xlpm.r,_xlpm.c,_xlpm.c))))</f>
        <v/>
      </c>
    </row>
    <row r="406" spans="2:2" x14ac:dyDescent="0.2">
      <c r="B406" t="str" cm="1">
        <f t="array" ref="B406">IF(A406="","",_xlfn.CHOOSECOLS('Prematch Backend 2A'!406:406,_xlfn.MAKEARRAY(1,A406-2,_xlfn.LAMBDA(_xlpm.r,_xlpm.c,_xlpm.c))))</f>
        <v/>
      </c>
    </row>
    <row r="407" spans="2:2" x14ac:dyDescent="0.2">
      <c r="B407" t="str" cm="1">
        <f t="array" ref="B407">IF(A407="","",_xlfn.CHOOSECOLS('Prematch Backend 2A'!407:407,_xlfn.MAKEARRAY(1,A407-2,_xlfn.LAMBDA(_xlpm.r,_xlpm.c,_xlpm.c))))</f>
        <v/>
      </c>
    </row>
    <row r="408" spans="2:2" x14ac:dyDescent="0.2">
      <c r="B408" t="str" cm="1">
        <f t="array" ref="B408">IF(A408="","",_xlfn.CHOOSECOLS('Prematch Backend 2A'!408:408,_xlfn.MAKEARRAY(1,A408-2,_xlfn.LAMBDA(_xlpm.r,_xlpm.c,_xlpm.c))))</f>
        <v/>
      </c>
    </row>
    <row r="409" spans="2:2" x14ac:dyDescent="0.2">
      <c r="B409" t="str" cm="1">
        <f t="array" ref="B409">IF(A409="","",_xlfn.CHOOSECOLS('Prematch Backend 2A'!409:409,_xlfn.MAKEARRAY(1,A409-2,_xlfn.LAMBDA(_xlpm.r,_xlpm.c,_xlpm.c))))</f>
        <v/>
      </c>
    </row>
    <row r="410" spans="2:2" x14ac:dyDescent="0.2">
      <c r="B410" t="str" cm="1">
        <f t="array" ref="B410">IF(A410="","",_xlfn.CHOOSECOLS('Prematch Backend 2A'!410:410,_xlfn.MAKEARRAY(1,A410-2,_xlfn.LAMBDA(_xlpm.r,_xlpm.c,_xlpm.c))))</f>
        <v/>
      </c>
    </row>
    <row r="411" spans="2:2" x14ac:dyDescent="0.2">
      <c r="B411" t="str" cm="1">
        <f t="array" ref="B411">IF(A411="","",_xlfn.CHOOSECOLS('Prematch Backend 2A'!411:411,_xlfn.MAKEARRAY(1,A411-2,_xlfn.LAMBDA(_xlpm.r,_xlpm.c,_xlpm.c))))</f>
        <v/>
      </c>
    </row>
    <row r="412" spans="2:2" x14ac:dyDescent="0.2">
      <c r="B412" t="str" cm="1">
        <f t="array" ref="B412">IF(A412="","",_xlfn.CHOOSECOLS('Prematch Backend 2A'!412:412,_xlfn.MAKEARRAY(1,A412-2,_xlfn.LAMBDA(_xlpm.r,_xlpm.c,_xlpm.c))))</f>
        <v/>
      </c>
    </row>
    <row r="413" spans="2:2" x14ac:dyDescent="0.2">
      <c r="B413" t="str" cm="1">
        <f t="array" ref="B413">IF(A413="","",_xlfn.CHOOSECOLS('Prematch Backend 2A'!413:413,_xlfn.MAKEARRAY(1,A413-2,_xlfn.LAMBDA(_xlpm.r,_xlpm.c,_xlpm.c))))</f>
        <v/>
      </c>
    </row>
    <row r="414" spans="2:2" x14ac:dyDescent="0.2">
      <c r="B414" t="str" cm="1">
        <f t="array" ref="B414">IF(A414="","",_xlfn.CHOOSECOLS('Prematch Backend 2A'!414:414,_xlfn.MAKEARRAY(1,A414-2,_xlfn.LAMBDA(_xlpm.r,_xlpm.c,_xlpm.c))))</f>
        <v/>
      </c>
    </row>
    <row r="415" spans="2:2" x14ac:dyDescent="0.2">
      <c r="B415" t="str" cm="1">
        <f t="array" ref="B415">IF(A415="","",_xlfn.CHOOSECOLS('Prematch Backend 2A'!415:415,_xlfn.MAKEARRAY(1,A415-2,_xlfn.LAMBDA(_xlpm.r,_xlpm.c,_xlpm.c))))</f>
        <v/>
      </c>
    </row>
    <row r="416" spans="2:2" x14ac:dyDescent="0.2">
      <c r="B416" t="str" cm="1">
        <f t="array" ref="B416">IF(A416="","",_xlfn.CHOOSECOLS('Prematch Backend 2A'!416:416,_xlfn.MAKEARRAY(1,A416-2,_xlfn.LAMBDA(_xlpm.r,_xlpm.c,_xlpm.c))))</f>
        <v/>
      </c>
    </row>
    <row r="417" spans="2:2" x14ac:dyDescent="0.2">
      <c r="B417" t="str" cm="1">
        <f t="array" ref="B417">IF(A417="","",_xlfn.CHOOSECOLS('Prematch Backend 2A'!417:417,_xlfn.MAKEARRAY(1,A417-2,_xlfn.LAMBDA(_xlpm.r,_xlpm.c,_xlpm.c))))</f>
        <v/>
      </c>
    </row>
    <row r="418" spans="2:2" x14ac:dyDescent="0.2">
      <c r="B418" t="str" cm="1">
        <f t="array" ref="B418">IF(A418="","",_xlfn.CHOOSECOLS('Prematch Backend 2A'!418:418,_xlfn.MAKEARRAY(1,A418-2,_xlfn.LAMBDA(_xlpm.r,_xlpm.c,_xlpm.c))))</f>
        <v/>
      </c>
    </row>
    <row r="419" spans="2:2" x14ac:dyDescent="0.2">
      <c r="B419" t="str" cm="1">
        <f t="array" ref="B419">IF(A419="","",_xlfn.CHOOSECOLS('Prematch Backend 2A'!419:419,_xlfn.MAKEARRAY(1,A419-2,_xlfn.LAMBDA(_xlpm.r,_xlpm.c,_xlpm.c))))</f>
        <v/>
      </c>
    </row>
    <row r="420" spans="2:2" x14ac:dyDescent="0.2">
      <c r="B420" t="str" cm="1">
        <f t="array" ref="B420">IF(A420="","",_xlfn.CHOOSECOLS('Prematch Backend 2A'!420:420,_xlfn.MAKEARRAY(1,A420-2,_xlfn.LAMBDA(_xlpm.r,_xlpm.c,_xlpm.c))))</f>
        <v/>
      </c>
    </row>
    <row r="421" spans="2:2" x14ac:dyDescent="0.2">
      <c r="B421" t="str" cm="1">
        <f t="array" ref="B421">IF(A421="","",_xlfn.CHOOSECOLS('Prematch Backend 2A'!421:421,_xlfn.MAKEARRAY(1,A421-2,_xlfn.LAMBDA(_xlpm.r,_xlpm.c,_xlpm.c))))</f>
        <v/>
      </c>
    </row>
    <row r="422" spans="2:2" x14ac:dyDescent="0.2">
      <c r="B422" t="str" cm="1">
        <f t="array" ref="B422">IF(A422="","",_xlfn.CHOOSECOLS('Prematch Backend 2A'!422:422,_xlfn.MAKEARRAY(1,A422-2,_xlfn.LAMBDA(_xlpm.r,_xlpm.c,_xlpm.c))))</f>
        <v/>
      </c>
    </row>
    <row r="423" spans="2:2" x14ac:dyDescent="0.2">
      <c r="B423" t="str" cm="1">
        <f t="array" ref="B423">IF(A423="","",_xlfn.CHOOSECOLS('Prematch Backend 2A'!423:423,_xlfn.MAKEARRAY(1,A423-2,_xlfn.LAMBDA(_xlpm.r,_xlpm.c,_xlpm.c))))</f>
        <v/>
      </c>
    </row>
    <row r="424" spans="2:2" x14ac:dyDescent="0.2">
      <c r="B424" t="str" cm="1">
        <f t="array" ref="B424">IF(A424="","",_xlfn.CHOOSECOLS('Prematch Backend 2A'!424:424,_xlfn.MAKEARRAY(1,A424-2,_xlfn.LAMBDA(_xlpm.r,_xlpm.c,_xlpm.c))))</f>
        <v/>
      </c>
    </row>
    <row r="425" spans="2:2" x14ac:dyDescent="0.2">
      <c r="B425" t="str" cm="1">
        <f t="array" ref="B425">IF(A425="","",_xlfn.CHOOSECOLS('Prematch Backend 2A'!425:425,_xlfn.MAKEARRAY(1,A425-2,_xlfn.LAMBDA(_xlpm.r,_xlpm.c,_xlpm.c))))</f>
        <v/>
      </c>
    </row>
    <row r="426" spans="2:2" x14ac:dyDescent="0.2">
      <c r="B426" t="str" cm="1">
        <f t="array" ref="B426">IF(A426="","",_xlfn.CHOOSECOLS('Prematch Backend 2A'!426:426,_xlfn.MAKEARRAY(1,A426-2,_xlfn.LAMBDA(_xlpm.r,_xlpm.c,_xlpm.c))))</f>
        <v/>
      </c>
    </row>
    <row r="427" spans="2:2" x14ac:dyDescent="0.2">
      <c r="B427" t="str" cm="1">
        <f t="array" ref="B427">IF(A427="","",_xlfn.CHOOSECOLS('Prematch Backend 2A'!427:427,_xlfn.MAKEARRAY(1,A427-2,_xlfn.LAMBDA(_xlpm.r,_xlpm.c,_xlpm.c))))</f>
        <v/>
      </c>
    </row>
    <row r="428" spans="2:2" x14ac:dyDescent="0.2">
      <c r="B428" t="str" cm="1">
        <f t="array" ref="B428">IF(A428="","",_xlfn.CHOOSECOLS('Prematch Backend 2A'!428:428,_xlfn.MAKEARRAY(1,A428-2,_xlfn.LAMBDA(_xlpm.r,_xlpm.c,_xlpm.c))))</f>
        <v/>
      </c>
    </row>
    <row r="429" spans="2:2" x14ac:dyDescent="0.2">
      <c r="B429" t="str" cm="1">
        <f t="array" ref="B429">IF(A429="","",_xlfn.CHOOSECOLS('Prematch Backend 2A'!429:429,_xlfn.MAKEARRAY(1,A429-2,_xlfn.LAMBDA(_xlpm.r,_xlpm.c,_xlpm.c))))</f>
        <v/>
      </c>
    </row>
    <row r="430" spans="2:2" x14ac:dyDescent="0.2">
      <c r="B430" t="str" cm="1">
        <f t="array" ref="B430">IF(A430="","",_xlfn.CHOOSECOLS('Prematch Backend 2A'!430:430,_xlfn.MAKEARRAY(1,A430-2,_xlfn.LAMBDA(_xlpm.r,_xlpm.c,_xlpm.c))))</f>
        <v/>
      </c>
    </row>
    <row r="431" spans="2:2" x14ac:dyDescent="0.2">
      <c r="B431" t="str" cm="1">
        <f t="array" ref="B431">IF(A431="","",_xlfn.CHOOSECOLS('Prematch Backend 2A'!431:431,_xlfn.MAKEARRAY(1,A431-2,_xlfn.LAMBDA(_xlpm.r,_xlpm.c,_xlpm.c))))</f>
        <v/>
      </c>
    </row>
    <row r="432" spans="2:2" x14ac:dyDescent="0.2">
      <c r="B432" t="str" cm="1">
        <f t="array" ref="B432">IF(A432="","",_xlfn.CHOOSECOLS('Prematch Backend 2A'!432:432,_xlfn.MAKEARRAY(1,A432-2,_xlfn.LAMBDA(_xlpm.r,_xlpm.c,_xlpm.c))))</f>
        <v/>
      </c>
    </row>
    <row r="433" spans="2:2" x14ac:dyDescent="0.2">
      <c r="B433" t="str" cm="1">
        <f t="array" ref="B433">IF(A433="","",_xlfn.CHOOSECOLS('Prematch Backend 2A'!433:433,_xlfn.MAKEARRAY(1,A433-2,_xlfn.LAMBDA(_xlpm.r,_xlpm.c,_xlpm.c))))</f>
        <v/>
      </c>
    </row>
    <row r="434" spans="2:2" x14ac:dyDescent="0.2">
      <c r="B434" t="str" cm="1">
        <f t="array" ref="B434">IF(A434="","",_xlfn.CHOOSECOLS('Prematch Backend 2A'!434:434,_xlfn.MAKEARRAY(1,A434-2,_xlfn.LAMBDA(_xlpm.r,_xlpm.c,_xlpm.c))))</f>
        <v/>
      </c>
    </row>
    <row r="435" spans="2:2" x14ac:dyDescent="0.2">
      <c r="B435" t="str" cm="1">
        <f t="array" ref="B435">IF(A435="","",_xlfn.CHOOSECOLS('Prematch Backend 2A'!435:435,_xlfn.MAKEARRAY(1,A435-2,_xlfn.LAMBDA(_xlpm.r,_xlpm.c,_xlpm.c))))</f>
        <v/>
      </c>
    </row>
    <row r="436" spans="2:2" x14ac:dyDescent="0.2">
      <c r="B436" t="str" cm="1">
        <f t="array" ref="B436">IF(A436="","",_xlfn.CHOOSECOLS('Prematch Backend 2A'!436:436,_xlfn.MAKEARRAY(1,A436-2,_xlfn.LAMBDA(_xlpm.r,_xlpm.c,_xlpm.c))))</f>
        <v/>
      </c>
    </row>
    <row r="437" spans="2:2" x14ac:dyDescent="0.2">
      <c r="B437" t="str" cm="1">
        <f t="array" ref="B437">IF(A437="","",_xlfn.CHOOSECOLS('Prematch Backend 2A'!437:437,_xlfn.MAKEARRAY(1,A437-2,_xlfn.LAMBDA(_xlpm.r,_xlpm.c,_xlpm.c))))</f>
        <v/>
      </c>
    </row>
    <row r="438" spans="2:2" x14ac:dyDescent="0.2">
      <c r="B438" t="str" cm="1">
        <f t="array" ref="B438">IF(A438="","",_xlfn.CHOOSECOLS('Prematch Backend 2A'!438:438,_xlfn.MAKEARRAY(1,A438-2,_xlfn.LAMBDA(_xlpm.r,_xlpm.c,_xlpm.c))))</f>
        <v/>
      </c>
    </row>
    <row r="439" spans="2:2" x14ac:dyDescent="0.2">
      <c r="B439" t="str" cm="1">
        <f t="array" ref="B439">IF(A439="","",_xlfn.CHOOSECOLS('Prematch Backend 2A'!439:439,_xlfn.MAKEARRAY(1,A439-2,_xlfn.LAMBDA(_xlpm.r,_xlpm.c,_xlpm.c))))</f>
        <v/>
      </c>
    </row>
    <row r="440" spans="2:2" x14ac:dyDescent="0.2">
      <c r="B440" t="str" cm="1">
        <f t="array" ref="B440">IF(A440="","",_xlfn.CHOOSECOLS('Prematch Backend 2A'!440:440,_xlfn.MAKEARRAY(1,A440-2,_xlfn.LAMBDA(_xlpm.r,_xlpm.c,_xlpm.c))))</f>
        <v/>
      </c>
    </row>
    <row r="441" spans="2:2" x14ac:dyDescent="0.2">
      <c r="B441" t="str" cm="1">
        <f t="array" ref="B441">IF(A441="","",_xlfn.CHOOSECOLS('Prematch Backend 2A'!441:441,_xlfn.MAKEARRAY(1,A441-2,_xlfn.LAMBDA(_xlpm.r,_xlpm.c,_xlpm.c))))</f>
        <v/>
      </c>
    </row>
    <row r="442" spans="2:2" x14ac:dyDescent="0.2">
      <c r="B442" t="str" cm="1">
        <f t="array" ref="B442">IF(A442="","",_xlfn.CHOOSECOLS('Prematch Backend 2A'!442:442,_xlfn.MAKEARRAY(1,A442-2,_xlfn.LAMBDA(_xlpm.r,_xlpm.c,_xlpm.c))))</f>
        <v/>
      </c>
    </row>
    <row r="443" spans="2:2" x14ac:dyDescent="0.2">
      <c r="B443" t="str" cm="1">
        <f t="array" ref="B443">IF(A443="","",_xlfn.CHOOSECOLS('Prematch Backend 2A'!443:443,_xlfn.MAKEARRAY(1,A443-2,_xlfn.LAMBDA(_xlpm.r,_xlpm.c,_xlpm.c))))</f>
        <v/>
      </c>
    </row>
    <row r="444" spans="2:2" x14ac:dyDescent="0.2">
      <c r="B444" t="str" cm="1">
        <f t="array" ref="B444">IF(A444="","",_xlfn.CHOOSECOLS('Prematch Backend 2A'!444:444,_xlfn.MAKEARRAY(1,A444-2,_xlfn.LAMBDA(_xlpm.r,_xlpm.c,_xlpm.c))))</f>
        <v/>
      </c>
    </row>
    <row r="445" spans="2:2" x14ac:dyDescent="0.2">
      <c r="B445" t="str" cm="1">
        <f t="array" ref="B445">IF(A445="","",_xlfn.CHOOSECOLS('Prematch Backend 2A'!445:445,_xlfn.MAKEARRAY(1,A445-2,_xlfn.LAMBDA(_xlpm.r,_xlpm.c,_xlpm.c))))</f>
        <v/>
      </c>
    </row>
    <row r="446" spans="2:2" x14ac:dyDescent="0.2">
      <c r="B446" t="str" cm="1">
        <f t="array" ref="B446">IF(A446="","",_xlfn.CHOOSECOLS('Prematch Backend 2A'!446:446,_xlfn.MAKEARRAY(1,A446-2,_xlfn.LAMBDA(_xlpm.r,_xlpm.c,_xlpm.c))))</f>
        <v/>
      </c>
    </row>
    <row r="447" spans="2:2" x14ac:dyDescent="0.2">
      <c r="B447" t="str" cm="1">
        <f t="array" ref="B447">IF(A447="","",_xlfn.CHOOSECOLS('Prematch Backend 2A'!447:447,_xlfn.MAKEARRAY(1,A447-2,_xlfn.LAMBDA(_xlpm.r,_xlpm.c,_xlpm.c))))</f>
        <v/>
      </c>
    </row>
    <row r="448" spans="2:2" x14ac:dyDescent="0.2">
      <c r="B448" t="str" cm="1">
        <f t="array" ref="B448">IF(A448="","",_xlfn.CHOOSECOLS('Prematch Backend 2A'!448:448,_xlfn.MAKEARRAY(1,A448-2,_xlfn.LAMBDA(_xlpm.r,_xlpm.c,_xlpm.c))))</f>
        <v/>
      </c>
    </row>
    <row r="449" spans="2:2" x14ac:dyDescent="0.2">
      <c r="B449" t="str" cm="1">
        <f t="array" ref="B449">IF(A449="","",_xlfn.CHOOSECOLS('Prematch Backend 2A'!449:449,_xlfn.MAKEARRAY(1,A449-2,_xlfn.LAMBDA(_xlpm.r,_xlpm.c,_xlpm.c))))</f>
        <v/>
      </c>
    </row>
    <row r="450" spans="2:2" x14ac:dyDescent="0.2">
      <c r="B450" t="str" cm="1">
        <f t="array" ref="B450">IF(A450="","",_xlfn.CHOOSECOLS('Prematch Backend 2A'!450:450,_xlfn.MAKEARRAY(1,A450-2,_xlfn.LAMBDA(_xlpm.r,_xlpm.c,_xlpm.c))))</f>
        <v/>
      </c>
    </row>
    <row r="451" spans="2:2" x14ac:dyDescent="0.2">
      <c r="B451" t="str" cm="1">
        <f t="array" ref="B451">IF(A451="","",_xlfn.CHOOSECOLS('Prematch Backend 2A'!451:451,_xlfn.MAKEARRAY(1,A451-2,_xlfn.LAMBDA(_xlpm.r,_xlpm.c,_xlpm.c))))</f>
        <v/>
      </c>
    </row>
    <row r="452" spans="2:2" x14ac:dyDescent="0.2">
      <c r="B452" t="str" cm="1">
        <f t="array" ref="B452">IF(A452="","",_xlfn.CHOOSECOLS('Prematch Backend 2A'!452:452,_xlfn.MAKEARRAY(1,A452-2,_xlfn.LAMBDA(_xlpm.r,_xlpm.c,_xlpm.c))))</f>
        <v/>
      </c>
    </row>
    <row r="453" spans="2:2" x14ac:dyDescent="0.2">
      <c r="B453" t="str" cm="1">
        <f t="array" ref="B453">IF(A453="","",_xlfn.CHOOSECOLS('Prematch Backend 2A'!453:453,_xlfn.MAKEARRAY(1,A453-2,_xlfn.LAMBDA(_xlpm.r,_xlpm.c,_xlpm.c))))</f>
        <v/>
      </c>
    </row>
    <row r="454" spans="2:2" x14ac:dyDescent="0.2">
      <c r="B454" t="str" cm="1">
        <f t="array" ref="B454">IF(A454="","",_xlfn.CHOOSECOLS('Prematch Backend 2A'!454:454,_xlfn.MAKEARRAY(1,A454-2,_xlfn.LAMBDA(_xlpm.r,_xlpm.c,_xlpm.c))))</f>
        <v/>
      </c>
    </row>
    <row r="455" spans="2:2" x14ac:dyDescent="0.2">
      <c r="B455" t="str" cm="1">
        <f t="array" ref="B455">IF(A455="","",_xlfn.CHOOSECOLS('Prematch Backend 2A'!455:455,_xlfn.MAKEARRAY(1,A455-2,_xlfn.LAMBDA(_xlpm.r,_xlpm.c,_xlpm.c))))</f>
        <v/>
      </c>
    </row>
    <row r="456" spans="2:2" x14ac:dyDescent="0.2">
      <c r="B456" t="str" cm="1">
        <f t="array" ref="B456">IF(A456="","",_xlfn.CHOOSECOLS('Prematch Backend 2A'!456:456,_xlfn.MAKEARRAY(1,A456-2,_xlfn.LAMBDA(_xlpm.r,_xlpm.c,_xlpm.c))))</f>
        <v/>
      </c>
    </row>
    <row r="457" spans="2:2" x14ac:dyDescent="0.2">
      <c r="B457" t="str" cm="1">
        <f t="array" ref="B457">IF(A457="","",_xlfn.CHOOSECOLS('Prematch Backend 2A'!457:457,_xlfn.MAKEARRAY(1,A457-2,_xlfn.LAMBDA(_xlpm.r,_xlpm.c,_xlpm.c))))</f>
        <v/>
      </c>
    </row>
    <row r="458" spans="2:2" x14ac:dyDescent="0.2">
      <c r="B458" t="str" cm="1">
        <f t="array" ref="B458">IF(A458="","",_xlfn.CHOOSECOLS('Prematch Backend 2A'!458:458,_xlfn.MAKEARRAY(1,A458-2,_xlfn.LAMBDA(_xlpm.r,_xlpm.c,_xlpm.c))))</f>
        <v/>
      </c>
    </row>
    <row r="459" spans="2:2" x14ac:dyDescent="0.2">
      <c r="B459" t="str" cm="1">
        <f t="array" ref="B459">IF(A459="","",_xlfn.CHOOSECOLS('Prematch Backend 2A'!459:459,_xlfn.MAKEARRAY(1,A459-2,_xlfn.LAMBDA(_xlpm.r,_xlpm.c,_xlpm.c))))</f>
        <v/>
      </c>
    </row>
    <row r="460" spans="2:2" x14ac:dyDescent="0.2">
      <c r="B460" t="str" cm="1">
        <f t="array" ref="B460">IF(A460="","",_xlfn.CHOOSECOLS('Prematch Backend 2A'!460:460,_xlfn.MAKEARRAY(1,A460-2,_xlfn.LAMBDA(_xlpm.r,_xlpm.c,_xlpm.c))))</f>
        <v/>
      </c>
    </row>
    <row r="461" spans="2:2" x14ac:dyDescent="0.2">
      <c r="B461" t="str" cm="1">
        <f t="array" ref="B461">IF(A461="","",_xlfn.CHOOSECOLS('Prematch Backend 2A'!461:461,_xlfn.MAKEARRAY(1,A461-2,_xlfn.LAMBDA(_xlpm.r,_xlpm.c,_xlpm.c))))</f>
        <v/>
      </c>
    </row>
    <row r="462" spans="2:2" x14ac:dyDescent="0.2">
      <c r="B462" t="str" cm="1">
        <f t="array" ref="B462">IF(A462="","",_xlfn.CHOOSECOLS('Prematch Backend 2A'!462:462,_xlfn.MAKEARRAY(1,A462-2,_xlfn.LAMBDA(_xlpm.r,_xlpm.c,_xlpm.c))))</f>
        <v/>
      </c>
    </row>
    <row r="463" spans="2:2" x14ac:dyDescent="0.2">
      <c r="B463" t="str" cm="1">
        <f t="array" ref="B463">IF(A463="","",_xlfn.CHOOSECOLS('Prematch Backend 2A'!463:463,_xlfn.MAKEARRAY(1,A463-2,_xlfn.LAMBDA(_xlpm.r,_xlpm.c,_xlpm.c))))</f>
        <v/>
      </c>
    </row>
    <row r="464" spans="2:2" x14ac:dyDescent="0.2">
      <c r="B464" t="str" cm="1">
        <f t="array" ref="B464">IF(A464="","",_xlfn.CHOOSECOLS('Prematch Backend 2A'!464:464,_xlfn.MAKEARRAY(1,A464-2,_xlfn.LAMBDA(_xlpm.r,_xlpm.c,_xlpm.c))))</f>
        <v/>
      </c>
    </row>
    <row r="465" spans="2:2" x14ac:dyDescent="0.2">
      <c r="B465" t="str" cm="1">
        <f t="array" ref="B465">IF(A465="","",_xlfn.CHOOSECOLS('Prematch Backend 2A'!465:465,_xlfn.MAKEARRAY(1,A465-2,_xlfn.LAMBDA(_xlpm.r,_xlpm.c,_xlpm.c))))</f>
        <v/>
      </c>
    </row>
    <row r="466" spans="2:2" x14ac:dyDescent="0.2">
      <c r="B466" t="str" cm="1">
        <f t="array" ref="B466">IF(A466="","",_xlfn.CHOOSECOLS('Prematch Backend 2A'!466:466,_xlfn.MAKEARRAY(1,A466-2,_xlfn.LAMBDA(_xlpm.r,_xlpm.c,_xlpm.c))))</f>
        <v/>
      </c>
    </row>
    <row r="467" spans="2:2" x14ac:dyDescent="0.2">
      <c r="B467" t="str" cm="1">
        <f t="array" ref="B467">IF(A467="","",_xlfn.CHOOSECOLS('Prematch Backend 2A'!467:467,_xlfn.MAKEARRAY(1,A467-2,_xlfn.LAMBDA(_xlpm.r,_xlpm.c,_xlpm.c))))</f>
        <v/>
      </c>
    </row>
    <row r="468" spans="2:2" x14ac:dyDescent="0.2">
      <c r="B468" t="str" cm="1">
        <f t="array" ref="B468">IF(A468="","",_xlfn.CHOOSECOLS('Prematch Backend 2A'!468:468,_xlfn.MAKEARRAY(1,A468-2,_xlfn.LAMBDA(_xlpm.r,_xlpm.c,_xlpm.c))))</f>
        <v/>
      </c>
    </row>
    <row r="469" spans="2:2" x14ac:dyDescent="0.2">
      <c r="B469" t="str" cm="1">
        <f t="array" ref="B469">IF(A469="","",_xlfn.CHOOSECOLS('Prematch Backend 2A'!469:469,_xlfn.MAKEARRAY(1,A469-2,_xlfn.LAMBDA(_xlpm.r,_xlpm.c,_xlpm.c))))</f>
        <v/>
      </c>
    </row>
    <row r="470" spans="2:2" x14ac:dyDescent="0.2">
      <c r="B470" t="str" cm="1">
        <f t="array" ref="B470">IF(A470="","",_xlfn.CHOOSECOLS('Prematch Backend 2A'!470:470,_xlfn.MAKEARRAY(1,A470-2,_xlfn.LAMBDA(_xlpm.r,_xlpm.c,_xlpm.c))))</f>
        <v/>
      </c>
    </row>
    <row r="471" spans="2:2" x14ac:dyDescent="0.2">
      <c r="B471" t="str" cm="1">
        <f t="array" ref="B471">IF(A471="","",_xlfn.CHOOSECOLS('Prematch Backend 2A'!471:471,_xlfn.MAKEARRAY(1,A471-2,_xlfn.LAMBDA(_xlpm.r,_xlpm.c,_xlpm.c))))</f>
        <v/>
      </c>
    </row>
    <row r="472" spans="2:2" x14ac:dyDescent="0.2">
      <c r="B472" t="str" cm="1">
        <f t="array" ref="B472">IF(A472="","",_xlfn.CHOOSECOLS('Prematch Backend 2A'!472:472,_xlfn.MAKEARRAY(1,A472-2,_xlfn.LAMBDA(_xlpm.r,_xlpm.c,_xlpm.c))))</f>
        <v/>
      </c>
    </row>
    <row r="473" spans="2:2" x14ac:dyDescent="0.2">
      <c r="B473" t="str" cm="1">
        <f t="array" ref="B473">IF(A473="","",_xlfn.CHOOSECOLS('Prematch Backend 2A'!473:473,_xlfn.MAKEARRAY(1,A473-2,_xlfn.LAMBDA(_xlpm.r,_xlpm.c,_xlpm.c))))</f>
        <v/>
      </c>
    </row>
    <row r="474" spans="2:2" x14ac:dyDescent="0.2">
      <c r="B474" t="str" cm="1">
        <f t="array" ref="B474">IF(A474="","",_xlfn.CHOOSECOLS('Prematch Backend 2A'!474:474,_xlfn.MAKEARRAY(1,A474-2,_xlfn.LAMBDA(_xlpm.r,_xlpm.c,_xlpm.c))))</f>
        <v/>
      </c>
    </row>
    <row r="475" spans="2:2" x14ac:dyDescent="0.2">
      <c r="B475" t="str" cm="1">
        <f t="array" ref="B475">IF(A475="","",_xlfn.CHOOSECOLS('Prematch Backend 2A'!475:475,_xlfn.MAKEARRAY(1,A475-2,_xlfn.LAMBDA(_xlpm.r,_xlpm.c,_xlpm.c))))</f>
        <v/>
      </c>
    </row>
    <row r="476" spans="2:2" x14ac:dyDescent="0.2">
      <c r="B476" t="str" cm="1">
        <f t="array" ref="B476">IF(A476="","",_xlfn.CHOOSECOLS('Prematch Backend 2A'!476:476,_xlfn.MAKEARRAY(1,A476-2,_xlfn.LAMBDA(_xlpm.r,_xlpm.c,_xlpm.c))))</f>
        <v/>
      </c>
    </row>
    <row r="477" spans="2:2" x14ac:dyDescent="0.2">
      <c r="B477" t="str" cm="1">
        <f t="array" ref="B477">IF(A477="","",_xlfn.CHOOSECOLS('Prematch Backend 2A'!477:477,_xlfn.MAKEARRAY(1,A477-2,_xlfn.LAMBDA(_xlpm.r,_xlpm.c,_xlpm.c))))</f>
        <v/>
      </c>
    </row>
    <row r="478" spans="2:2" x14ac:dyDescent="0.2">
      <c r="B478" t="str" cm="1">
        <f t="array" ref="B478">IF(A478="","",_xlfn.CHOOSECOLS('Prematch Backend 2A'!478:478,_xlfn.MAKEARRAY(1,A478-2,_xlfn.LAMBDA(_xlpm.r,_xlpm.c,_xlpm.c))))</f>
        <v/>
      </c>
    </row>
    <row r="479" spans="2:2" x14ac:dyDescent="0.2">
      <c r="B479" t="str" cm="1">
        <f t="array" ref="B479">IF(A479="","",_xlfn.CHOOSECOLS('Prematch Backend 2A'!479:479,_xlfn.MAKEARRAY(1,A479-2,_xlfn.LAMBDA(_xlpm.r,_xlpm.c,_xlpm.c))))</f>
        <v/>
      </c>
    </row>
    <row r="480" spans="2:2" x14ac:dyDescent="0.2">
      <c r="B480" t="str" cm="1">
        <f t="array" ref="B480">IF(A480="","",_xlfn.CHOOSECOLS('Prematch Backend 2A'!480:480,_xlfn.MAKEARRAY(1,A480-2,_xlfn.LAMBDA(_xlpm.r,_xlpm.c,_xlpm.c))))</f>
        <v/>
      </c>
    </row>
    <row r="481" spans="2:2" x14ac:dyDescent="0.2">
      <c r="B481" t="str" cm="1">
        <f t="array" ref="B481">IF(A481="","",_xlfn.CHOOSECOLS('Prematch Backend 2A'!481:481,_xlfn.MAKEARRAY(1,A481-2,_xlfn.LAMBDA(_xlpm.r,_xlpm.c,_xlpm.c))))</f>
        <v/>
      </c>
    </row>
    <row r="482" spans="2:2" x14ac:dyDescent="0.2">
      <c r="B482" t="str" cm="1">
        <f t="array" ref="B482">IF(A482="","",_xlfn.CHOOSECOLS('Prematch Backend 2A'!482:482,_xlfn.MAKEARRAY(1,A482-2,_xlfn.LAMBDA(_xlpm.r,_xlpm.c,_xlpm.c))))</f>
        <v/>
      </c>
    </row>
    <row r="483" spans="2:2" x14ac:dyDescent="0.2">
      <c r="B483" t="str" cm="1">
        <f t="array" ref="B483">IF(A483="","",_xlfn.CHOOSECOLS('Prematch Backend 2A'!483:483,_xlfn.MAKEARRAY(1,A483-2,_xlfn.LAMBDA(_xlpm.r,_xlpm.c,_xlpm.c))))</f>
        <v/>
      </c>
    </row>
    <row r="484" spans="2:2" x14ac:dyDescent="0.2">
      <c r="B484" t="str" cm="1">
        <f t="array" ref="B484">IF(A484="","",_xlfn.CHOOSECOLS('Prematch Backend 2A'!484:484,_xlfn.MAKEARRAY(1,A484-2,_xlfn.LAMBDA(_xlpm.r,_xlpm.c,_xlpm.c))))</f>
        <v/>
      </c>
    </row>
    <row r="485" spans="2:2" x14ac:dyDescent="0.2">
      <c r="B485" t="str" cm="1">
        <f t="array" ref="B485">IF(A485="","",_xlfn.CHOOSECOLS('Prematch Backend 2A'!485:485,_xlfn.MAKEARRAY(1,A485-2,_xlfn.LAMBDA(_xlpm.r,_xlpm.c,_xlpm.c))))</f>
        <v/>
      </c>
    </row>
    <row r="486" spans="2:2" x14ac:dyDescent="0.2">
      <c r="B486" t="str" cm="1">
        <f t="array" ref="B486">IF(A486="","",_xlfn.CHOOSECOLS('Prematch Backend 2A'!486:486,_xlfn.MAKEARRAY(1,A486-2,_xlfn.LAMBDA(_xlpm.r,_xlpm.c,_xlpm.c))))</f>
        <v/>
      </c>
    </row>
    <row r="487" spans="2:2" x14ac:dyDescent="0.2">
      <c r="B487" t="str" cm="1">
        <f t="array" ref="B487">IF(A487="","",_xlfn.CHOOSECOLS('Prematch Backend 2A'!487:487,_xlfn.MAKEARRAY(1,A487-2,_xlfn.LAMBDA(_xlpm.r,_xlpm.c,_xlpm.c))))</f>
        <v/>
      </c>
    </row>
    <row r="488" spans="2:2" x14ac:dyDescent="0.2">
      <c r="B488" t="str" cm="1">
        <f t="array" ref="B488">IF(A488="","",_xlfn.CHOOSECOLS('Prematch Backend 2A'!488:488,_xlfn.MAKEARRAY(1,A488-2,_xlfn.LAMBDA(_xlpm.r,_xlpm.c,_xlpm.c))))</f>
        <v/>
      </c>
    </row>
    <row r="489" spans="2:2" x14ac:dyDescent="0.2">
      <c r="B489" t="str" cm="1">
        <f t="array" ref="B489">IF(A489="","",_xlfn.CHOOSECOLS('Prematch Backend 2A'!489:489,_xlfn.MAKEARRAY(1,A489-2,_xlfn.LAMBDA(_xlpm.r,_xlpm.c,_xlpm.c))))</f>
        <v/>
      </c>
    </row>
    <row r="490" spans="2:2" x14ac:dyDescent="0.2">
      <c r="B490" t="str" cm="1">
        <f t="array" ref="B490">IF(A490="","",_xlfn.CHOOSECOLS('Prematch Backend 2A'!490:490,_xlfn.MAKEARRAY(1,A490-2,_xlfn.LAMBDA(_xlpm.r,_xlpm.c,_xlpm.c))))</f>
        <v/>
      </c>
    </row>
    <row r="491" spans="2:2" x14ac:dyDescent="0.2">
      <c r="B491" t="str" cm="1">
        <f t="array" ref="B491">IF(A491="","",_xlfn.CHOOSECOLS('Prematch Backend 2A'!491:491,_xlfn.MAKEARRAY(1,A491-2,_xlfn.LAMBDA(_xlpm.r,_xlpm.c,_xlpm.c))))</f>
        <v/>
      </c>
    </row>
    <row r="492" spans="2:2" x14ac:dyDescent="0.2">
      <c r="B492" t="str" cm="1">
        <f t="array" ref="B492">IF(A492="","",_xlfn.CHOOSECOLS('Prematch Backend 2A'!492:492,_xlfn.MAKEARRAY(1,A492-2,_xlfn.LAMBDA(_xlpm.r,_xlpm.c,_xlpm.c))))</f>
        <v/>
      </c>
    </row>
    <row r="493" spans="2:2" x14ac:dyDescent="0.2">
      <c r="B493" t="str" cm="1">
        <f t="array" ref="B493">IF(A493="","",_xlfn.CHOOSECOLS('Prematch Backend 2A'!493:493,_xlfn.MAKEARRAY(1,A493-2,_xlfn.LAMBDA(_xlpm.r,_xlpm.c,_xlpm.c))))</f>
        <v/>
      </c>
    </row>
    <row r="494" spans="2:2" x14ac:dyDescent="0.2">
      <c r="B494" t="str" cm="1">
        <f t="array" ref="B494">IF(A494="","",_xlfn.CHOOSECOLS('Prematch Backend 2A'!494:494,_xlfn.MAKEARRAY(1,A494-2,_xlfn.LAMBDA(_xlpm.r,_xlpm.c,_xlpm.c))))</f>
        <v/>
      </c>
    </row>
    <row r="495" spans="2:2" x14ac:dyDescent="0.2">
      <c r="B495" t="str" cm="1">
        <f t="array" ref="B495">IF(A495="","",_xlfn.CHOOSECOLS('Prematch Backend 2A'!495:495,_xlfn.MAKEARRAY(1,A495-2,_xlfn.LAMBDA(_xlpm.r,_xlpm.c,_xlpm.c))))</f>
        <v/>
      </c>
    </row>
    <row r="496" spans="2:2" x14ac:dyDescent="0.2">
      <c r="B496" t="str" cm="1">
        <f t="array" ref="B496">IF(A496="","",_xlfn.CHOOSECOLS('Prematch Backend 2A'!496:496,_xlfn.MAKEARRAY(1,A496-2,_xlfn.LAMBDA(_xlpm.r,_xlpm.c,_xlpm.c))))</f>
        <v/>
      </c>
    </row>
    <row r="497" spans="2:2" x14ac:dyDescent="0.2">
      <c r="B497" t="str" cm="1">
        <f t="array" ref="B497">IF(A497="","",_xlfn.CHOOSECOLS('Prematch Backend 2A'!497:497,_xlfn.MAKEARRAY(1,A497-2,_xlfn.LAMBDA(_xlpm.r,_xlpm.c,_xlpm.c))))</f>
        <v/>
      </c>
    </row>
    <row r="498" spans="2:2" x14ac:dyDescent="0.2">
      <c r="B498" t="str" cm="1">
        <f t="array" ref="B498">IF(A498="","",_xlfn.CHOOSECOLS('Prematch Backend 2A'!498:498,_xlfn.MAKEARRAY(1,A498-2,_xlfn.LAMBDA(_xlpm.r,_xlpm.c,_xlpm.c))))</f>
        <v/>
      </c>
    </row>
    <row r="499" spans="2:2" x14ac:dyDescent="0.2">
      <c r="B499" t="str" cm="1">
        <f t="array" ref="B499">IF(A499="","",_xlfn.CHOOSECOLS('Prematch Backend 2A'!499:499,_xlfn.MAKEARRAY(1,A499-2,_xlfn.LAMBDA(_xlpm.r,_xlpm.c,_xlpm.c))))</f>
        <v/>
      </c>
    </row>
    <row r="500" spans="2:2" x14ac:dyDescent="0.2">
      <c r="B500" t="str" cm="1">
        <f t="array" ref="B500">IF(A500="","",_xlfn.CHOOSECOLS('Prematch Backend 2A'!500:500,_xlfn.MAKEARRAY(1,A500-2,_xlfn.LAMBDA(_xlpm.r,_xlpm.c,_xlpm.c))))</f>
        <v/>
      </c>
    </row>
    <row r="501" spans="2:2" x14ac:dyDescent="0.2">
      <c r="B501" t="str" cm="1">
        <f t="array" ref="B501">IF(A501="","",_xlfn.CHOOSECOLS('Prematch Backend 2A'!501:501,_xlfn.MAKEARRAY(1,A501-2,_xlfn.LAMBDA(_xlpm.r,_xlpm.c,_xlpm.c))))</f>
        <v/>
      </c>
    </row>
    <row r="502" spans="2:2" x14ac:dyDescent="0.2">
      <c r="B502" t="str" cm="1">
        <f t="array" ref="B502">IF(A502="","",_xlfn.CHOOSECOLS('Prematch Backend 2A'!502:502,_xlfn.MAKEARRAY(1,A502-2,_xlfn.LAMBDA(_xlpm.r,_xlpm.c,_xlpm.c))))</f>
        <v/>
      </c>
    </row>
    <row r="503" spans="2:2" x14ac:dyDescent="0.2">
      <c r="B503" t="str" cm="1">
        <f t="array" ref="B503">IF(A503="","",_xlfn.CHOOSECOLS('Prematch Backend 2A'!503:503,_xlfn.MAKEARRAY(1,A503-2,_xlfn.LAMBDA(_xlpm.r,_xlpm.c,_xlpm.c))))</f>
        <v/>
      </c>
    </row>
    <row r="504" spans="2:2" x14ac:dyDescent="0.2">
      <c r="B504" t="str" cm="1">
        <f t="array" ref="B504">IF(A504="","",_xlfn.CHOOSECOLS('Prematch Backend 2A'!504:504,_xlfn.MAKEARRAY(1,A504-2,_xlfn.LAMBDA(_xlpm.r,_xlpm.c,_xlpm.c))))</f>
        <v/>
      </c>
    </row>
    <row r="505" spans="2:2" x14ac:dyDescent="0.2">
      <c r="B505" t="str" cm="1">
        <f t="array" ref="B505">IF(A505="","",_xlfn.CHOOSECOLS('Prematch Backend 2A'!505:505,_xlfn.MAKEARRAY(1,A505-2,_xlfn.LAMBDA(_xlpm.r,_xlpm.c,_xlpm.c))))</f>
        <v/>
      </c>
    </row>
    <row r="506" spans="2:2" x14ac:dyDescent="0.2">
      <c r="B506" t="str" cm="1">
        <f t="array" ref="B506">IF(A506="","",_xlfn.CHOOSECOLS('Prematch Backend 2A'!506:506,_xlfn.MAKEARRAY(1,A506-2,_xlfn.LAMBDA(_xlpm.r,_xlpm.c,_xlpm.c))))</f>
        <v/>
      </c>
    </row>
    <row r="507" spans="2:2" x14ac:dyDescent="0.2">
      <c r="B507" t="str" cm="1">
        <f t="array" ref="B507">IF(A507="","",_xlfn.CHOOSECOLS('Prematch Backend 2A'!507:507,_xlfn.MAKEARRAY(1,A507-2,_xlfn.LAMBDA(_xlpm.r,_xlpm.c,_xlpm.c))))</f>
        <v/>
      </c>
    </row>
    <row r="508" spans="2:2" x14ac:dyDescent="0.2">
      <c r="B508" t="str" cm="1">
        <f t="array" ref="B508">IF(A508="","",_xlfn.CHOOSECOLS('Prematch Backend 2A'!508:508,_xlfn.MAKEARRAY(1,A508-2,_xlfn.LAMBDA(_xlpm.r,_xlpm.c,_xlpm.c))))</f>
        <v/>
      </c>
    </row>
    <row r="509" spans="2:2" x14ac:dyDescent="0.2">
      <c r="B509" t="str" cm="1">
        <f t="array" ref="B509">IF(A509="","",_xlfn.CHOOSECOLS('Prematch Backend 2A'!509:509,_xlfn.MAKEARRAY(1,A509-2,_xlfn.LAMBDA(_xlpm.r,_xlpm.c,_xlpm.c))))</f>
        <v/>
      </c>
    </row>
    <row r="510" spans="2:2" x14ac:dyDescent="0.2">
      <c r="B510" t="str" cm="1">
        <f t="array" ref="B510">IF(A510="","",_xlfn.CHOOSECOLS('Prematch Backend 2A'!510:510,_xlfn.MAKEARRAY(1,A510-2,_xlfn.LAMBDA(_xlpm.r,_xlpm.c,_xlpm.c))))</f>
        <v/>
      </c>
    </row>
    <row r="511" spans="2:2" x14ac:dyDescent="0.2">
      <c r="B511" t="str" cm="1">
        <f t="array" ref="B511">IF(A511="","",_xlfn.CHOOSECOLS('Prematch Backend 2A'!511:511,_xlfn.MAKEARRAY(1,A511-2,_xlfn.LAMBDA(_xlpm.r,_xlpm.c,_xlpm.c))))</f>
        <v/>
      </c>
    </row>
    <row r="512" spans="2:2" x14ac:dyDescent="0.2">
      <c r="B512" t="str" cm="1">
        <f t="array" ref="B512">IF(A512="","",_xlfn.CHOOSECOLS('Prematch Backend 2A'!512:512,_xlfn.MAKEARRAY(1,A512-2,_xlfn.LAMBDA(_xlpm.r,_xlpm.c,_xlpm.c))))</f>
        <v/>
      </c>
    </row>
    <row r="513" spans="2:2" x14ac:dyDescent="0.2">
      <c r="B513" t="str" cm="1">
        <f t="array" ref="B513">IF(A513="","",_xlfn.CHOOSECOLS('Prematch Backend 2A'!513:513,_xlfn.MAKEARRAY(1,A513-2,_xlfn.LAMBDA(_xlpm.r,_xlpm.c,_xlpm.c))))</f>
        <v/>
      </c>
    </row>
    <row r="514" spans="2:2" x14ac:dyDescent="0.2">
      <c r="B514" t="str" cm="1">
        <f t="array" ref="B514">IF(A514="","",_xlfn.CHOOSECOLS('Prematch Backend 2A'!514:514,_xlfn.MAKEARRAY(1,A514-2,_xlfn.LAMBDA(_xlpm.r,_xlpm.c,_xlpm.c))))</f>
        <v/>
      </c>
    </row>
    <row r="515" spans="2:2" x14ac:dyDescent="0.2">
      <c r="B515" t="str" cm="1">
        <f t="array" ref="B515">IF(A515="","",_xlfn.CHOOSECOLS('Prematch Backend 2A'!515:515,_xlfn.MAKEARRAY(1,A515-2,_xlfn.LAMBDA(_xlpm.r,_xlpm.c,_xlpm.c))))</f>
        <v/>
      </c>
    </row>
    <row r="516" spans="2:2" x14ac:dyDescent="0.2">
      <c r="B516" t="str" cm="1">
        <f t="array" ref="B516">IF(A516="","",_xlfn.CHOOSECOLS('Prematch Backend 2A'!516:516,_xlfn.MAKEARRAY(1,A516-2,_xlfn.LAMBDA(_xlpm.r,_xlpm.c,_xlpm.c))))</f>
        <v/>
      </c>
    </row>
    <row r="517" spans="2:2" x14ac:dyDescent="0.2">
      <c r="B517" t="str" cm="1">
        <f t="array" ref="B517">IF(A517="","",_xlfn.CHOOSECOLS('Prematch Backend 2A'!517:517,_xlfn.MAKEARRAY(1,A517-2,_xlfn.LAMBDA(_xlpm.r,_xlpm.c,_xlpm.c))))</f>
        <v/>
      </c>
    </row>
    <row r="518" spans="2:2" x14ac:dyDescent="0.2">
      <c r="B518" t="str" cm="1">
        <f t="array" ref="B518">IF(A518="","",_xlfn.CHOOSECOLS('Prematch Backend 2A'!518:518,_xlfn.MAKEARRAY(1,A518-2,_xlfn.LAMBDA(_xlpm.r,_xlpm.c,_xlpm.c))))</f>
        <v/>
      </c>
    </row>
    <row r="519" spans="2:2" x14ac:dyDescent="0.2">
      <c r="B519" t="str" cm="1">
        <f t="array" ref="B519">IF(A519="","",_xlfn.CHOOSECOLS('Prematch Backend 2A'!519:519,_xlfn.MAKEARRAY(1,A519-2,_xlfn.LAMBDA(_xlpm.r,_xlpm.c,_xlpm.c))))</f>
        <v/>
      </c>
    </row>
    <row r="520" spans="2:2" x14ac:dyDescent="0.2">
      <c r="B520" t="str" cm="1">
        <f t="array" ref="B520">IF(A520="","",_xlfn.CHOOSECOLS('Prematch Backend 2A'!520:520,_xlfn.MAKEARRAY(1,A520-2,_xlfn.LAMBDA(_xlpm.r,_xlpm.c,_xlpm.c))))</f>
        <v/>
      </c>
    </row>
    <row r="521" spans="2:2" x14ac:dyDescent="0.2">
      <c r="B521" t="str" cm="1">
        <f t="array" ref="B521">IF(A521="","",_xlfn.CHOOSECOLS('Prematch Backend 2A'!521:521,_xlfn.MAKEARRAY(1,A521-2,_xlfn.LAMBDA(_xlpm.r,_xlpm.c,_xlpm.c))))</f>
        <v/>
      </c>
    </row>
    <row r="522" spans="2:2" x14ac:dyDescent="0.2">
      <c r="B522" t="str" cm="1">
        <f t="array" ref="B522">IF(A522="","",_xlfn.CHOOSECOLS('Prematch Backend 2A'!522:522,_xlfn.MAKEARRAY(1,A522-2,_xlfn.LAMBDA(_xlpm.r,_xlpm.c,_xlpm.c))))</f>
        <v/>
      </c>
    </row>
    <row r="523" spans="2:2" x14ac:dyDescent="0.2">
      <c r="B523" t="str" cm="1">
        <f t="array" ref="B523">IF(A523="","",_xlfn.CHOOSECOLS('Prematch Backend 2A'!523:523,_xlfn.MAKEARRAY(1,A523-2,_xlfn.LAMBDA(_xlpm.r,_xlpm.c,_xlpm.c))))</f>
        <v/>
      </c>
    </row>
    <row r="524" spans="2:2" x14ac:dyDescent="0.2">
      <c r="B524" t="str" cm="1">
        <f t="array" ref="B524">IF(A524="","",_xlfn.CHOOSECOLS('Prematch Backend 2A'!524:524,_xlfn.MAKEARRAY(1,A524-2,_xlfn.LAMBDA(_xlpm.r,_xlpm.c,_xlpm.c))))</f>
        <v/>
      </c>
    </row>
    <row r="525" spans="2:2" x14ac:dyDescent="0.2">
      <c r="B525" t="str" cm="1">
        <f t="array" ref="B525">IF(A525="","",_xlfn.CHOOSECOLS('Prematch Backend 2A'!525:525,_xlfn.MAKEARRAY(1,A525-2,_xlfn.LAMBDA(_xlpm.r,_xlpm.c,_xlpm.c))))</f>
        <v/>
      </c>
    </row>
    <row r="526" spans="2:2" x14ac:dyDescent="0.2">
      <c r="B526" t="str" cm="1">
        <f t="array" ref="B526">IF(A526="","",_xlfn.CHOOSECOLS('Prematch Backend 2A'!526:526,_xlfn.MAKEARRAY(1,A526-2,_xlfn.LAMBDA(_xlpm.r,_xlpm.c,_xlpm.c))))</f>
        <v/>
      </c>
    </row>
    <row r="527" spans="2:2" x14ac:dyDescent="0.2">
      <c r="B527" t="str" cm="1">
        <f t="array" ref="B527">IF(A527="","",_xlfn.CHOOSECOLS('Prematch Backend 2A'!527:527,_xlfn.MAKEARRAY(1,A527-2,_xlfn.LAMBDA(_xlpm.r,_xlpm.c,_xlpm.c))))</f>
        <v/>
      </c>
    </row>
    <row r="528" spans="2:2" x14ac:dyDescent="0.2">
      <c r="B528" t="str" cm="1">
        <f t="array" ref="B528">IF(A528="","",_xlfn.CHOOSECOLS('Prematch Backend 2A'!528:528,_xlfn.MAKEARRAY(1,A528-2,_xlfn.LAMBDA(_xlpm.r,_xlpm.c,_xlpm.c))))</f>
        <v/>
      </c>
    </row>
    <row r="529" spans="2:2" x14ac:dyDescent="0.2">
      <c r="B529" t="str" cm="1">
        <f t="array" ref="B529">IF(A529="","",_xlfn.CHOOSECOLS('Prematch Backend 2A'!529:529,_xlfn.MAKEARRAY(1,A529-2,_xlfn.LAMBDA(_xlpm.r,_xlpm.c,_xlpm.c))))</f>
        <v/>
      </c>
    </row>
    <row r="530" spans="2:2" x14ac:dyDescent="0.2">
      <c r="B530" t="str" cm="1">
        <f t="array" ref="B530">IF(A530="","",_xlfn.CHOOSECOLS('Prematch Backend 2A'!530:530,_xlfn.MAKEARRAY(1,A530-2,_xlfn.LAMBDA(_xlpm.r,_xlpm.c,_xlpm.c))))</f>
        <v/>
      </c>
    </row>
    <row r="531" spans="2:2" x14ac:dyDescent="0.2">
      <c r="B531" t="str" cm="1">
        <f t="array" ref="B531">IF(A531="","",_xlfn.CHOOSECOLS('Prematch Backend 2A'!531:531,_xlfn.MAKEARRAY(1,A531-2,_xlfn.LAMBDA(_xlpm.r,_xlpm.c,_xlpm.c))))</f>
        <v/>
      </c>
    </row>
    <row r="532" spans="2:2" x14ac:dyDescent="0.2">
      <c r="B532" t="str" cm="1">
        <f t="array" ref="B532">IF(A532="","",_xlfn.CHOOSECOLS('Prematch Backend 2A'!532:532,_xlfn.MAKEARRAY(1,A532-2,_xlfn.LAMBDA(_xlpm.r,_xlpm.c,_xlpm.c))))</f>
        <v/>
      </c>
    </row>
    <row r="533" spans="2:2" x14ac:dyDescent="0.2">
      <c r="B533" t="str" cm="1">
        <f t="array" ref="B533">IF(A533="","",_xlfn.CHOOSECOLS('Prematch Backend 2A'!533:533,_xlfn.MAKEARRAY(1,A533-2,_xlfn.LAMBDA(_xlpm.r,_xlpm.c,_xlpm.c))))</f>
        <v/>
      </c>
    </row>
    <row r="534" spans="2:2" x14ac:dyDescent="0.2">
      <c r="B534" t="str" cm="1">
        <f t="array" ref="B534">IF(A534="","",_xlfn.CHOOSECOLS('Prematch Backend 2A'!534:534,_xlfn.MAKEARRAY(1,A534-2,_xlfn.LAMBDA(_xlpm.r,_xlpm.c,_xlpm.c))))</f>
        <v/>
      </c>
    </row>
    <row r="535" spans="2:2" x14ac:dyDescent="0.2">
      <c r="B535" t="str" cm="1">
        <f t="array" ref="B535">IF(A535="","",_xlfn.CHOOSECOLS('Prematch Backend 2A'!535:535,_xlfn.MAKEARRAY(1,A535-2,_xlfn.LAMBDA(_xlpm.r,_xlpm.c,_xlpm.c))))</f>
        <v/>
      </c>
    </row>
    <row r="536" spans="2:2" x14ac:dyDescent="0.2">
      <c r="B536" t="str" cm="1">
        <f t="array" ref="B536">IF(A536="","",_xlfn.CHOOSECOLS('Prematch Backend 2A'!536:536,_xlfn.MAKEARRAY(1,A536-2,_xlfn.LAMBDA(_xlpm.r,_xlpm.c,_xlpm.c))))</f>
        <v/>
      </c>
    </row>
    <row r="537" spans="2:2" x14ac:dyDescent="0.2">
      <c r="B537" t="str" cm="1">
        <f t="array" ref="B537">IF(A537="","",_xlfn.CHOOSECOLS('Prematch Backend 2A'!537:537,_xlfn.MAKEARRAY(1,A537-2,_xlfn.LAMBDA(_xlpm.r,_xlpm.c,_xlpm.c))))</f>
        <v/>
      </c>
    </row>
    <row r="538" spans="2:2" x14ac:dyDescent="0.2">
      <c r="B538" t="str" cm="1">
        <f t="array" ref="B538">IF(A538="","",_xlfn.CHOOSECOLS('Prematch Backend 2A'!538:538,_xlfn.MAKEARRAY(1,A538-2,_xlfn.LAMBDA(_xlpm.r,_xlpm.c,_xlpm.c))))</f>
        <v/>
      </c>
    </row>
    <row r="539" spans="2:2" x14ac:dyDescent="0.2">
      <c r="B539" t="str" cm="1">
        <f t="array" ref="B539">IF(A539="","",_xlfn.CHOOSECOLS('Prematch Backend 2A'!539:539,_xlfn.MAKEARRAY(1,A539-2,_xlfn.LAMBDA(_xlpm.r,_xlpm.c,_xlpm.c))))</f>
        <v/>
      </c>
    </row>
    <row r="540" spans="2:2" x14ac:dyDescent="0.2">
      <c r="B540" t="str" cm="1">
        <f t="array" ref="B540">IF(A540="","",_xlfn.CHOOSECOLS('Prematch Backend 2A'!540:540,_xlfn.MAKEARRAY(1,A540-2,_xlfn.LAMBDA(_xlpm.r,_xlpm.c,_xlpm.c))))</f>
        <v/>
      </c>
    </row>
    <row r="541" spans="2:2" x14ac:dyDescent="0.2">
      <c r="B541" t="str" cm="1">
        <f t="array" ref="B541">IF(A541="","",_xlfn.CHOOSECOLS('Prematch Backend 2A'!541:541,_xlfn.MAKEARRAY(1,A541-2,_xlfn.LAMBDA(_xlpm.r,_xlpm.c,_xlpm.c))))</f>
        <v/>
      </c>
    </row>
    <row r="542" spans="2:2" x14ac:dyDescent="0.2">
      <c r="B542" t="str" cm="1">
        <f t="array" ref="B542">IF(A542="","",_xlfn.CHOOSECOLS('Prematch Backend 2A'!542:542,_xlfn.MAKEARRAY(1,A542-2,_xlfn.LAMBDA(_xlpm.r,_xlpm.c,_xlpm.c))))</f>
        <v/>
      </c>
    </row>
    <row r="543" spans="2:2" x14ac:dyDescent="0.2">
      <c r="B543" t="str" cm="1">
        <f t="array" ref="B543">IF(A543="","",_xlfn.CHOOSECOLS('Prematch Backend 2A'!543:543,_xlfn.MAKEARRAY(1,A543-2,_xlfn.LAMBDA(_xlpm.r,_xlpm.c,_xlpm.c))))</f>
        <v/>
      </c>
    </row>
    <row r="544" spans="2:2" x14ac:dyDescent="0.2">
      <c r="B544" t="str" cm="1">
        <f t="array" ref="B544">IF(A544="","",_xlfn.CHOOSECOLS('Prematch Backend 2A'!544:544,_xlfn.MAKEARRAY(1,A544-2,_xlfn.LAMBDA(_xlpm.r,_xlpm.c,_xlpm.c))))</f>
        <v/>
      </c>
    </row>
    <row r="545" spans="2:2" x14ac:dyDescent="0.2">
      <c r="B545" t="str" cm="1">
        <f t="array" ref="B545">IF(A545="","",_xlfn.CHOOSECOLS('Prematch Backend 2A'!545:545,_xlfn.MAKEARRAY(1,A545-2,_xlfn.LAMBDA(_xlpm.r,_xlpm.c,_xlpm.c))))</f>
        <v/>
      </c>
    </row>
    <row r="546" spans="2:2" x14ac:dyDescent="0.2">
      <c r="B546" t="str" cm="1">
        <f t="array" ref="B546">IF(A546="","",_xlfn.CHOOSECOLS('Prematch Backend 2A'!546:546,_xlfn.MAKEARRAY(1,A546-2,_xlfn.LAMBDA(_xlpm.r,_xlpm.c,_xlpm.c))))</f>
        <v/>
      </c>
    </row>
    <row r="547" spans="2:2" x14ac:dyDescent="0.2">
      <c r="B547" t="str" cm="1">
        <f t="array" ref="B547">IF(A547="","",_xlfn.CHOOSECOLS('Prematch Backend 2A'!547:547,_xlfn.MAKEARRAY(1,A547-2,_xlfn.LAMBDA(_xlpm.r,_xlpm.c,_xlpm.c))))</f>
        <v/>
      </c>
    </row>
    <row r="548" spans="2:2" x14ac:dyDescent="0.2">
      <c r="B548" t="str" cm="1">
        <f t="array" ref="B548">IF(A548="","",_xlfn.CHOOSECOLS('Prematch Backend 2A'!548:548,_xlfn.MAKEARRAY(1,A548-2,_xlfn.LAMBDA(_xlpm.r,_xlpm.c,_xlpm.c))))</f>
        <v/>
      </c>
    </row>
    <row r="549" spans="2:2" x14ac:dyDescent="0.2">
      <c r="B549" t="str" cm="1">
        <f t="array" ref="B549">IF(A549="","",_xlfn.CHOOSECOLS('Prematch Backend 2A'!549:549,_xlfn.MAKEARRAY(1,A549-2,_xlfn.LAMBDA(_xlpm.r,_xlpm.c,_xlpm.c))))</f>
        <v/>
      </c>
    </row>
    <row r="550" spans="2:2" x14ac:dyDescent="0.2">
      <c r="B550" t="str" cm="1">
        <f t="array" ref="B550">IF(A550="","",_xlfn.CHOOSECOLS('Prematch Backend 2A'!550:550,_xlfn.MAKEARRAY(1,A550-2,_xlfn.LAMBDA(_xlpm.r,_xlpm.c,_xlpm.c))))</f>
        <v/>
      </c>
    </row>
    <row r="551" spans="2:2" x14ac:dyDescent="0.2">
      <c r="B551" t="str" cm="1">
        <f t="array" ref="B551">IF(A551="","",_xlfn.CHOOSECOLS('Prematch Backend 2A'!551:551,_xlfn.MAKEARRAY(1,A551-2,_xlfn.LAMBDA(_xlpm.r,_xlpm.c,_xlpm.c))))</f>
        <v/>
      </c>
    </row>
    <row r="552" spans="2:2" x14ac:dyDescent="0.2">
      <c r="B552" t="str" cm="1">
        <f t="array" ref="B552">IF(A552="","",_xlfn.CHOOSECOLS('Prematch Backend 2A'!552:552,_xlfn.MAKEARRAY(1,A552-2,_xlfn.LAMBDA(_xlpm.r,_xlpm.c,_xlpm.c))))</f>
        <v/>
      </c>
    </row>
    <row r="553" spans="2:2" x14ac:dyDescent="0.2">
      <c r="B553" t="str" cm="1">
        <f t="array" ref="B553">IF(A553="","",_xlfn.CHOOSECOLS('Prematch Backend 2A'!553:553,_xlfn.MAKEARRAY(1,A553-2,_xlfn.LAMBDA(_xlpm.r,_xlpm.c,_xlpm.c))))</f>
        <v/>
      </c>
    </row>
    <row r="554" spans="2:2" x14ac:dyDescent="0.2">
      <c r="B554" t="str" cm="1">
        <f t="array" ref="B554">IF(A554="","",_xlfn.CHOOSECOLS('Prematch Backend 2A'!554:554,_xlfn.MAKEARRAY(1,A554-2,_xlfn.LAMBDA(_xlpm.r,_xlpm.c,_xlpm.c))))</f>
        <v/>
      </c>
    </row>
    <row r="555" spans="2:2" x14ac:dyDescent="0.2">
      <c r="B555" t="str" cm="1">
        <f t="array" ref="B555">IF(A555="","",_xlfn.CHOOSECOLS('Prematch Backend 2A'!555:555,_xlfn.MAKEARRAY(1,A555-2,_xlfn.LAMBDA(_xlpm.r,_xlpm.c,_xlpm.c))))</f>
        <v/>
      </c>
    </row>
    <row r="556" spans="2:2" x14ac:dyDescent="0.2">
      <c r="B556" t="str" cm="1">
        <f t="array" ref="B556">IF(A556="","",_xlfn.CHOOSECOLS('Prematch Backend 2A'!556:556,_xlfn.MAKEARRAY(1,A556-2,_xlfn.LAMBDA(_xlpm.r,_xlpm.c,_xlpm.c))))</f>
        <v/>
      </c>
    </row>
    <row r="557" spans="2:2" x14ac:dyDescent="0.2">
      <c r="B557" t="str" cm="1">
        <f t="array" ref="B557">IF(A557="","",_xlfn.CHOOSECOLS('Prematch Backend 2A'!557:557,_xlfn.MAKEARRAY(1,A557-2,_xlfn.LAMBDA(_xlpm.r,_xlpm.c,_xlpm.c))))</f>
        <v/>
      </c>
    </row>
    <row r="558" spans="2:2" x14ac:dyDescent="0.2">
      <c r="B558" t="str" cm="1">
        <f t="array" ref="B558">IF(A558="","",_xlfn.CHOOSECOLS('Prematch Backend 2A'!558:558,_xlfn.MAKEARRAY(1,A558-2,_xlfn.LAMBDA(_xlpm.r,_xlpm.c,_xlpm.c))))</f>
        <v/>
      </c>
    </row>
    <row r="559" spans="2:2" x14ac:dyDescent="0.2">
      <c r="B559" t="str" cm="1">
        <f t="array" ref="B559">IF(A559="","",_xlfn.CHOOSECOLS('Prematch Backend 2A'!559:559,_xlfn.MAKEARRAY(1,A559-2,_xlfn.LAMBDA(_xlpm.r,_xlpm.c,_xlpm.c))))</f>
        <v/>
      </c>
    </row>
    <row r="560" spans="2:2" x14ac:dyDescent="0.2">
      <c r="B560" t="str" cm="1">
        <f t="array" ref="B560">IF(A560="","",_xlfn.CHOOSECOLS('Prematch Backend 2A'!560:560,_xlfn.MAKEARRAY(1,A560-2,_xlfn.LAMBDA(_xlpm.r,_xlpm.c,_xlpm.c))))</f>
        <v/>
      </c>
    </row>
    <row r="561" spans="2:2" x14ac:dyDescent="0.2">
      <c r="B561" t="str" cm="1">
        <f t="array" ref="B561">IF(A561="","",_xlfn.CHOOSECOLS('Prematch Backend 2A'!561:561,_xlfn.MAKEARRAY(1,A561-2,_xlfn.LAMBDA(_xlpm.r,_xlpm.c,_xlpm.c))))</f>
        <v/>
      </c>
    </row>
    <row r="562" spans="2:2" x14ac:dyDescent="0.2">
      <c r="B562" t="str" cm="1">
        <f t="array" ref="B562">IF(A562="","",_xlfn.CHOOSECOLS('Prematch Backend 2A'!562:562,_xlfn.MAKEARRAY(1,A562-2,_xlfn.LAMBDA(_xlpm.r,_xlpm.c,_xlpm.c))))</f>
        <v/>
      </c>
    </row>
    <row r="563" spans="2:2" x14ac:dyDescent="0.2">
      <c r="B563" t="str" cm="1">
        <f t="array" ref="B563">IF(A563="","",_xlfn.CHOOSECOLS('Prematch Backend 2A'!563:563,_xlfn.MAKEARRAY(1,A563-2,_xlfn.LAMBDA(_xlpm.r,_xlpm.c,_xlpm.c))))</f>
        <v/>
      </c>
    </row>
    <row r="564" spans="2:2" x14ac:dyDescent="0.2">
      <c r="B564" t="str" cm="1">
        <f t="array" ref="B564">IF(A564="","",_xlfn.CHOOSECOLS('Prematch Backend 2A'!564:564,_xlfn.MAKEARRAY(1,A564-2,_xlfn.LAMBDA(_xlpm.r,_xlpm.c,_xlpm.c))))</f>
        <v/>
      </c>
    </row>
    <row r="565" spans="2:2" x14ac:dyDescent="0.2">
      <c r="B565" t="str" cm="1">
        <f t="array" ref="B565">IF(A565="","",_xlfn.CHOOSECOLS('Prematch Backend 2A'!565:565,_xlfn.MAKEARRAY(1,A565-2,_xlfn.LAMBDA(_xlpm.r,_xlpm.c,_xlpm.c))))</f>
        <v/>
      </c>
    </row>
    <row r="566" spans="2:2" x14ac:dyDescent="0.2">
      <c r="B566" t="str" cm="1">
        <f t="array" ref="B566">IF(A566="","",_xlfn.CHOOSECOLS('Prematch Backend 2A'!566:566,_xlfn.MAKEARRAY(1,A566-2,_xlfn.LAMBDA(_xlpm.r,_xlpm.c,_xlpm.c))))</f>
        <v/>
      </c>
    </row>
    <row r="567" spans="2:2" x14ac:dyDescent="0.2">
      <c r="B567" t="str" cm="1">
        <f t="array" ref="B567">IF(A567="","",_xlfn.CHOOSECOLS('Prematch Backend 2A'!567:567,_xlfn.MAKEARRAY(1,A567-2,_xlfn.LAMBDA(_xlpm.r,_xlpm.c,_xlpm.c))))</f>
        <v/>
      </c>
    </row>
    <row r="568" spans="2:2" x14ac:dyDescent="0.2">
      <c r="B568" t="str" cm="1">
        <f t="array" ref="B568">IF(A568="","",_xlfn.CHOOSECOLS('Prematch Backend 2A'!568:568,_xlfn.MAKEARRAY(1,A568-2,_xlfn.LAMBDA(_xlpm.r,_xlpm.c,_xlpm.c))))</f>
        <v/>
      </c>
    </row>
    <row r="569" spans="2:2" x14ac:dyDescent="0.2">
      <c r="B569" t="str" cm="1">
        <f t="array" ref="B569">IF(A569="","",_xlfn.CHOOSECOLS('Prematch Backend 2A'!569:569,_xlfn.MAKEARRAY(1,A569-2,_xlfn.LAMBDA(_xlpm.r,_xlpm.c,_xlpm.c))))</f>
        <v/>
      </c>
    </row>
    <row r="570" spans="2:2" x14ac:dyDescent="0.2">
      <c r="B570" t="str" cm="1">
        <f t="array" ref="B570">IF(A570="","",_xlfn.CHOOSECOLS('Prematch Backend 2A'!570:570,_xlfn.MAKEARRAY(1,A570-2,_xlfn.LAMBDA(_xlpm.r,_xlpm.c,_xlpm.c))))</f>
        <v/>
      </c>
    </row>
    <row r="571" spans="2:2" x14ac:dyDescent="0.2">
      <c r="B571" t="str" cm="1">
        <f t="array" ref="B571">IF(A571="","",_xlfn.CHOOSECOLS('Prematch Backend 2A'!571:571,_xlfn.MAKEARRAY(1,A571-2,_xlfn.LAMBDA(_xlpm.r,_xlpm.c,_xlpm.c))))</f>
        <v/>
      </c>
    </row>
    <row r="572" spans="2:2" x14ac:dyDescent="0.2">
      <c r="B572" t="str" cm="1">
        <f t="array" ref="B572">IF(A572="","",_xlfn.CHOOSECOLS('Prematch Backend 2A'!572:572,_xlfn.MAKEARRAY(1,A572-2,_xlfn.LAMBDA(_xlpm.r,_xlpm.c,_xlpm.c))))</f>
        <v/>
      </c>
    </row>
    <row r="573" spans="2:2" x14ac:dyDescent="0.2">
      <c r="B573" t="str" cm="1">
        <f t="array" ref="B573">IF(A573="","",_xlfn.CHOOSECOLS('Prematch Backend 2A'!573:573,_xlfn.MAKEARRAY(1,A573-2,_xlfn.LAMBDA(_xlpm.r,_xlpm.c,_xlpm.c))))</f>
        <v/>
      </c>
    </row>
    <row r="574" spans="2:2" x14ac:dyDescent="0.2">
      <c r="B574" t="str" cm="1">
        <f t="array" ref="B574">IF(A574="","",_xlfn.CHOOSECOLS('Prematch Backend 2A'!574:574,_xlfn.MAKEARRAY(1,A574-2,_xlfn.LAMBDA(_xlpm.r,_xlpm.c,_xlpm.c))))</f>
        <v/>
      </c>
    </row>
    <row r="575" spans="2:2" x14ac:dyDescent="0.2">
      <c r="B575" t="str" cm="1">
        <f t="array" ref="B575">IF(A575="","",_xlfn.CHOOSECOLS('Prematch Backend 2A'!575:575,_xlfn.MAKEARRAY(1,A575-2,_xlfn.LAMBDA(_xlpm.r,_xlpm.c,_xlpm.c))))</f>
        <v/>
      </c>
    </row>
    <row r="576" spans="2:2" x14ac:dyDescent="0.2">
      <c r="B576" t="str" cm="1">
        <f t="array" ref="B576">IF(A576="","",_xlfn.CHOOSECOLS('Prematch Backend 2A'!576:576,_xlfn.MAKEARRAY(1,A576-2,_xlfn.LAMBDA(_xlpm.r,_xlpm.c,_xlpm.c))))</f>
        <v/>
      </c>
    </row>
    <row r="577" spans="2:2" x14ac:dyDescent="0.2">
      <c r="B577" t="str" cm="1">
        <f t="array" ref="B577">IF(A577="","",_xlfn.CHOOSECOLS('Prematch Backend 2A'!577:577,_xlfn.MAKEARRAY(1,A577-2,_xlfn.LAMBDA(_xlpm.r,_xlpm.c,_xlpm.c))))</f>
        <v/>
      </c>
    </row>
    <row r="578" spans="2:2" x14ac:dyDescent="0.2">
      <c r="B578" t="str" cm="1">
        <f t="array" ref="B578">IF(A578="","",_xlfn.CHOOSECOLS('Prematch Backend 2A'!578:578,_xlfn.MAKEARRAY(1,A578-2,_xlfn.LAMBDA(_xlpm.r,_xlpm.c,_xlpm.c))))</f>
        <v/>
      </c>
    </row>
    <row r="579" spans="2:2" x14ac:dyDescent="0.2">
      <c r="B579" t="str" cm="1">
        <f t="array" ref="B579">IF(A579="","",_xlfn.CHOOSECOLS('Prematch Backend 2A'!579:579,_xlfn.MAKEARRAY(1,A579-2,_xlfn.LAMBDA(_xlpm.r,_xlpm.c,_xlpm.c))))</f>
        <v/>
      </c>
    </row>
    <row r="580" spans="2:2" x14ac:dyDescent="0.2">
      <c r="B580" t="str" cm="1">
        <f t="array" ref="B580">IF(A580="","",_xlfn.CHOOSECOLS('Prematch Backend 2A'!580:580,_xlfn.MAKEARRAY(1,A580-2,_xlfn.LAMBDA(_xlpm.r,_xlpm.c,_xlpm.c))))</f>
        <v/>
      </c>
    </row>
    <row r="581" spans="2:2" x14ac:dyDescent="0.2">
      <c r="B581" t="str" cm="1">
        <f t="array" ref="B581">IF(A581="","",_xlfn.CHOOSECOLS('Prematch Backend 2A'!581:581,_xlfn.MAKEARRAY(1,A581-2,_xlfn.LAMBDA(_xlpm.r,_xlpm.c,_xlpm.c))))</f>
        <v/>
      </c>
    </row>
    <row r="582" spans="2:2" x14ac:dyDescent="0.2">
      <c r="B582" t="str" cm="1">
        <f t="array" ref="B582">IF(A582="","",_xlfn.CHOOSECOLS('Prematch Backend 2A'!582:582,_xlfn.MAKEARRAY(1,A582-2,_xlfn.LAMBDA(_xlpm.r,_xlpm.c,_xlpm.c))))</f>
        <v/>
      </c>
    </row>
    <row r="583" spans="2:2" x14ac:dyDescent="0.2">
      <c r="B583" t="str" cm="1">
        <f t="array" ref="B583">IF(A583="","",_xlfn.CHOOSECOLS('Prematch Backend 2A'!583:583,_xlfn.MAKEARRAY(1,A583-2,_xlfn.LAMBDA(_xlpm.r,_xlpm.c,_xlpm.c))))</f>
        <v/>
      </c>
    </row>
    <row r="584" spans="2:2" x14ac:dyDescent="0.2">
      <c r="B584" t="str" cm="1">
        <f t="array" ref="B584">IF(A584="","",_xlfn.CHOOSECOLS('Prematch Backend 2A'!584:584,_xlfn.MAKEARRAY(1,A584-2,_xlfn.LAMBDA(_xlpm.r,_xlpm.c,_xlpm.c))))</f>
        <v/>
      </c>
    </row>
    <row r="585" spans="2:2" x14ac:dyDescent="0.2">
      <c r="B585" t="str" cm="1">
        <f t="array" ref="B585">IF(A585="","",_xlfn.CHOOSECOLS('Prematch Backend 2A'!585:585,_xlfn.MAKEARRAY(1,A585-2,_xlfn.LAMBDA(_xlpm.r,_xlpm.c,_xlpm.c))))</f>
        <v/>
      </c>
    </row>
    <row r="586" spans="2:2" x14ac:dyDescent="0.2">
      <c r="B586" t="str" cm="1">
        <f t="array" ref="B586">IF(A586="","",_xlfn.CHOOSECOLS('Prematch Backend 2A'!586:586,_xlfn.MAKEARRAY(1,A586-2,_xlfn.LAMBDA(_xlpm.r,_xlpm.c,_xlpm.c))))</f>
        <v/>
      </c>
    </row>
    <row r="587" spans="2:2" x14ac:dyDescent="0.2">
      <c r="B587" t="str" cm="1">
        <f t="array" ref="B587">IF(A587="","",_xlfn.CHOOSECOLS('Prematch Backend 2A'!587:587,_xlfn.MAKEARRAY(1,A587-2,_xlfn.LAMBDA(_xlpm.r,_xlpm.c,_xlpm.c))))</f>
        <v/>
      </c>
    </row>
    <row r="588" spans="2:2" x14ac:dyDescent="0.2">
      <c r="B588" t="str" cm="1">
        <f t="array" ref="B588">IF(A588="","",_xlfn.CHOOSECOLS('Prematch Backend 2A'!588:588,_xlfn.MAKEARRAY(1,A588-2,_xlfn.LAMBDA(_xlpm.r,_xlpm.c,_xlpm.c))))</f>
        <v/>
      </c>
    </row>
    <row r="589" spans="2:2" x14ac:dyDescent="0.2">
      <c r="B589" t="str" cm="1">
        <f t="array" ref="B589">IF(A589="","",_xlfn.CHOOSECOLS('Prematch Backend 2A'!589:589,_xlfn.MAKEARRAY(1,A589-2,_xlfn.LAMBDA(_xlpm.r,_xlpm.c,_xlpm.c))))</f>
        <v/>
      </c>
    </row>
    <row r="590" spans="2:2" x14ac:dyDescent="0.2">
      <c r="B590" t="str" cm="1">
        <f t="array" ref="B590">IF(A590="","",_xlfn.CHOOSECOLS('Prematch Backend 2A'!590:590,_xlfn.MAKEARRAY(1,A590-2,_xlfn.LAMBDA(_xlpm.r,_xlpm.c,_xlpm.c))))</f>
        <v/>
      </c>
    </row>
    <row r="591" spans="2:2" x14ac:dyDescent="0.2">
      <c r="B591" t="str" cm="1">
        <f t="array" ref="B591">IF(A591="","",_xlfn.CHOOSECOLS('Prematch Backend 2A'!591:591,_xlfn.MAKEARRAY(1,A591-2,_xlfn.LAMBDA(_xlpm.r,_xlpm.c,_xlpm.c))))</f>
        <v/>
      </c>
    </row>
    <row r="592" spans="2:2" x14ac:dyDescent="0.2">
      <c r="B592" t="str" cm="1">
        <f t="array" ref="B592">IF(A592="","",_xlfn.CHOOSECOLS('Prematch Backend 2A'!592:592,_xlfn.MAKEARRAY(1,A592-2,_xlfn.LAMBDA(_xlpm.r,_xlpm.c,_xlpm.c))))</f>
        <v/>
      </c>
    </row>
    <row r="593" spans="2:2" x14ac:dyDescent="0.2">
      <c r="B593" t="str" cm="1">
        <f t="array" ref="B593">IF(A593="","",_xlfn.CHOOSECOLS('Prematch Backend 2A'!593:593,_xlfn.MAKEARRAY(1,A593-2,_xlfn.LAMBDA(_xlpm.r,_xlpm.c,_xlpm.c))))</f>
        <v/>
      </c>
    </row>
    <row r="594" spans="2:2" x14ac:dyDescent="0.2">
      <c r="B594" t="str" cm="1">
        <f t="array" ref="B594">IF(A594="","",_xlfn.CHOOSECOLS('Prematch Backend 2A'!594:594,_xlfn.MAKEARRAY(1,A594-2,_xlfn.LAMBDA(_xlpm.r,_xlpm.c,_xlpm.c))))</f>
        <v/>
      </c>
    </row>
    <row r="595" spans="2:2" x14ac:dyDescent="0.2">
      <c r="B595" t="str" cm="1">
        <f t="array" ref="B595">IF(A595="","",_xlfn.CHOOSECOLS('Prematch Backend 2A'!595:595,_xlfn.MAKEARRAY(1,A595-2,_xlfn.LAMBDA(_xlpm.r,_xlpm.c,_xlpm.c))))</f>
        <v/>
      </c>
    </row>
    <row r="596" spans="2:2" x14ac:dyDescent="0.2">
      <c r="B596" t="str" cm="1">
        <f t="array" ref="B596">IF(A596="","",_xlfn.CHOOSECOLS('Prematch Backend 2A'!596:596,_xlfn.MAKEARRAY(1,A596-2,_xlfn.LAMBDA(_xlpm.r,_xlpm.c,_xlpm.c))))</f>
        <v/>
      </c>
    </row>
    <row r="597" spans="2:2" x14ac:dyDescent="0.2">
      <c r="B597" t="str" cm="1">
        <f t="array" ref="B597">IF(A597="","",_xlfn.CHOOSECOLS('Prematch Backend 2A'!597:597,_xlfn.MAKEARRAY(1,A597-2,_xlfn.LAMBDA(_xlpm.r,_xlpm.c,_xlpm.c))))</f>
        <v/>
      </c>
    </row>
    <row r="598" spans="2:2" x14ac:dyDescent="0.2">
      <c r="B598" t="str" cm="1">
        <f t="array" ref="B598">IF(A598="","",_xlfn.CHOOSECOLS('Prematch Backend 2A'!598:598,_xlfn.MAKEARRAY(1,A598-2,_xlfn.LAMBDA(_xlpm.r,_xlpm.c,_xlpm.c))))</f>
        <v/>
      </c>
    </row>
    <row r="599" spans="2:2" x14ac:dyDescent="0.2">
      <c r="B599" t="str" cm="1">
        <f t="array" ref="B599">IF(A599="","",_xlfn.CHOOSECOLS('Prematch Backend 2A'!599:599,_xlfn.MAKEARRAY(1,A599-2,_xlfn.LAMBDA(_xlpm.r,_xlpm.c,_xlpm.c))))</f>
        <v/>
      </c>
    </row>
    <row r="600" spans="2:2" x14ac:dyDescent="0.2">
      <c r="B600" t="str" cm="1">
        <f t="array" ref="B600">IF(A600="","",_xlfn.CHOOSECOLS('Prematch Backend 2A'!600:600,_xlfn.MAKEARRAY(1,A600-2,_xlfn.LAMBDA(_xlpm.r,_xlpm.c,_xlpm.c))))</f>
        <v/>
      </c>
    </row>
    <row r="601" spans="2:2" x14ac:dyDescent="0.2">
      <c r="B601" t="str" cm="1">
        <f t="array" ref="B601">IF(A601="","",_xlfn.CHOOSECOLS('Prematch Backend 2A'!601:601,_xlfn.MAKEARRAY(1,A601-2,_xlfn.LAMBDA(_xlpm.r,_xlpm.c,_xlpm.c))))</f>
        <v/>
      </c>
    </row>
    <row r="602" spans="2:2" x14ac:dyDescent="0.2">
      <c r="B602" t="str" cm="1">
        <f t="array" ref="B602">IF(A602="","",_xlfn.CHOOSECOLS('Prematch Backend 2A'!602:602,_xlfn.MAKEARRAY(1,A602-2,_xlfn.LAMBDA(_xlpm.r,_xlpm.c,_xlpm.c))))</f>
        <v/>
      </c>
    </row>
    <row r="603" spans="2:2" x14ac:dyDescent="0.2">
      <c r="B603" t="str" cm="1">
        <f t="array" ref="B603">IF(A603="","",_xlfn.CHOOSECOLS('Prematch Backend 2A'!603:603,_xlfn.MAKEARRAY(1,A603-2,_xlfn.LAMBDA(_xlpm.r,_xlpm.c,_xlpm.c))))</f>
        <v/>
      </c>
    </row>
    <row r="604" spans="2:2" x14ac:dyDescent="0.2">
      <c r="B604" t="str" cm="1">
        <f t="array" ref="B604">IF(A604="","",_xlfn.CHOOSECOLS('Prematch Backend 2A'!604:604,_xlfn.MAKEARRAY(1,A604-2,_xlfn.LAMBDA(_xlpm.r,_xlpm.c,_xlpm.c))))</f>
        <v/>
      </c>
    </row>
    <row r="605" spans="2:2" x14ac:dyDescent="0.2">
      <c r="B605" t="str" cm="1">
        <f t="array" ref="B605">IF(A605="","",_xlfn.CHOOSECOLS('Prematch Backend 2A'!605:605,_xlfn.MAKEARRAY(1,A605-2,_xlfn.LAMBDA(_xlpm.r,_xlpm.c,_xlpm.c))))</f>
        <v/>
      </c>
    </row>
    <row r="606" spans="2:2" x14ac:dyDescent="0.2">
      <c r="B606" t="str" cm="1">
        <f t="array" ref="B606">IF(A606="","",_xlfn.CHOOSECOLS('Prematch Backend 2A'!606:606,_xlfn.MAKEARRAY(1,A606-2,_xlfn.LAMBDA(_xlpm.r,_xlpm.c,_xlpm.c))))</f>
        <v/>
      </c>
    </row>
    <row r="607" spans="2:2" x14ac:dyDescent="0.2">
      <c r="B607" t="str" cm="1">
        <f t="array" ref="B607">IF(A607="","",_xlfn.CHOOSECOLS('Prematch Backend 2A'!607:607,_xlfn.MAKEARRAY(1,A607-2,_xlfn.LAMBDA(_xlpm.r,_xlpm.c,_xlpm.c))))</f>
        <v/>
      </c>
    </row>
    <row r="608" spans="2:2" x14ac:dyDescent="0.2">
      <c r="B608" t="str" cm="1">
        <f t="array" ref="B608">IF(A608="","",_xlfn.CHOOSECOLS('Prematch Backend 2A'!608:608,_xlfn.MAKEARRAY(1,A608-2,_xlfn.LAMBDA(_xlpm.r,_xlpm.c,_xlpm.c))))</f>
        <v/>
      </c>
    </row>
    <row r="609" spans="2:2" x14ac:dyDescent="0.2">
      <c r="B609" t="str" cm="1">
        <f t="array" ref="B609">IF(A609="","",_xlfn.CHOOSECOLS('Prematch Backend 2A'!609:609,_xlfn.MAKEARRAY(1,A609-2,_xlfn.LAMBDA(_xlpm.r,_xlpm.c,_xlpm.c))))</f>
        <v/>
      </c>
    </row>
    <row r="610" spans="2:2" x14ac:dyDescent="0.2">
      <c r="B610" t="str" cm="1">
        <f t="array" ref="B610">IF(A610="","",_xlfn.CHOOSECOLS('Prematch Backend 2A'!610:610,_xlfn.MAKEARRAY(1,A610-2,_xlfn.LAMBDA(_xlpm.r,_xlpm.c,_xlpm.c))))</f>
        <v/>
      </c>
    </row>
    <row r="611" spans="2:2" x14ac:dyDescent="0.2">
      <c r="B611" t="str" cm="1">
        <f t="array" ref="B611">IF(A611="","",_xlfn.CHOOSECOLS('Prematch Backend 2A'!611:611,_xlfn.MAKEARRAY(1,A611-2,_xlfn.LAMBDA(_xlpm.r,_xlpm.c,_xlpm.c))))</f>
        <v/>
      </c>
    </row>
    <row r="612" spans="2:2" x14ac:dyDescent="0.2">
      <c r="B612" t="str" cm="1">
        <f t="array" ref="B612">IF(A612="","",_xlfn.CHOOSECOLS('Prematch Backend 2A'!612:612,_xlfn.MAKEARRAY(1,A612-2,_xlfn.LAMBDA(_xlpm.r,_xlpm.c,_xlpm.c))))</f>
        <v/>
      </c>
    </row>
    <row r="613" spans="2:2" x14ac:dyDescent="0.2">
      <c r="B613" t="str" cm="1">
        <f t="array" ref="B613">IF(A613="","",_xlfn.CHOOSECOLS('Prematch Backend 2A'!613:613,_xlfn.MAKEARRAY(1,A613-2,_xlfn.LAMBDA(_xlpm.r,_xlpm.c,_xlpm.c))))</f>
        <v/>
      </c>
    </row>
    <row r="614" spans="2:2" x14ac:dyDescent="0.2">
      <c r="B614" t="str" cm="1">
        <f t="array" ref="B614">IF(A614="","",_xlfn.CHOOSECOLS('Prematch Backend 2A'!614:614,_xlfn.MAKEARRAY(1,A614-2,_xlfn.LAMBDA(_xlpm.r,_xlpm.c,_xlpm.c))))</f>
        <v/>
      </c>
    </row>
    <row r="615" spans="2:2" x14ac:dyDescent="0.2">
      <c r="B615" t="str" cm="1">
        <f t="array" ref="B615">IF(A615="","",_xlfn.CHOOSECOLS('Prematch Backend 2A'!615:615,_xlfn.MAKEARRAY(1,A615-2,_xlfn.LAMBDA(_xlpm.r,_xlpm.c,_xlpm.c))))</f>
        <v/>
      </c>
    </row>
    <row r="616" spans="2:2" x14ac:dyDescent="0.2">
      <c r="B616" t="str" cm="1">
        <f t="array" ref="B616">IF(A616="","",_xlfn.CHOOSECOLS('Prematch Backend 2A'!616:616,_xlfn.MAKEARRAY(1,A616-2,_xlfn.LAMBDA(_xlpm.r,_xlpm.c,_xlpm.c))))</f>
        <v/>
      </c>
    </row>
    <row r="617" spans="2:2" x14ac:dyDescent="0.2">
      <c r="B617" t="str" cm="1">
        <f t="array" ref="B617">IF(A617="","",_xlfn.CHOOSECOLS('Prematch Backend 2A'!617:617,_xlfn.MAKEARRAY(1,A617-2,_xlfn.LAMBDA(_xlpm.r,_xlpm.c,_xlpm.c))))</f>
        <v/>
      </c>
    </row>
    <row r="618" spans="2:2" x14ac:dyDescent="0.2">
      <c r="B618" t="str" cm="1">
        <f t="array" ref="B618">IF(A618="","",_xlfn.CHOOSECOLS('Prematch Backend 2A'!618:618,_xlfn.MAKEARRAY(1,A618-2,_xlfn.LAMBDA(_xlpm.r,_xlpm.c,_xlpm.c))))</f>
        <v/>
      </c>
    </row>
    <row r="619" spans="2:2" x14ac:dyDescent="0.2">
      <c r="B619" t="str" cm="1">
        <f t="array" ref="B619">IF(A619="","",_xlfn.CHOOSECOLS('Prematch Backend 2A'!619:619,_xlfn.MAKEARRAY(1,A619-2,_xlfn.LAMBDA(_xlpm.r,_xlpm.c,_xlpm.c))))</f>
        <v/>
      </c>
    </row>
    <row r="620" spans="2:2" x14ac:dyDescent="0.2">
      <c r="B620" t="str" cm="1">
        <f t="array" ref="B620">IF(A620="","",_xlfn.CHOOSECOLS('Prematch Backend 2A'!620:620,_xlfn.MAKEARRAY(1,A620-2,_xlfn.LAMBDA(_xlpm.r,_xlpm.c,_xlpm.c))))</f>
        <v/>
      </c>
    </row>
    <row r="621" spans="2:2" x14ac:dyDescent="0.2">
      <c r="B621" t="str" cm="1">
        <f t="array" ref="B621">IF(A621="","",_xlfn.CHOOSECOLS('Prematch Backend 2A'!621:621,_xlfn.MAKEARRAY(1,A621-2,_xlfn.LAMBDA(_xlpm.r,_xlpm.c,_xlpm.c))))</f>
        <v/>
      </c>
    </row>
    <row r="622" spans="2:2" x14ac:dyDescent="0.2">
      <c r="B622" t="str" cm="1">
        <f t="array" ref="B622">IF(A622="","",_xlfn.CHOOSECOLS('Prematch Backend 2A'!622:622,_xlfn.MAKEARRAY(1,A622-2,_xlfn.LAMBDA(_xlpm.r,_xlpm.c,_xlpm.c))))</f>
        <v/>
      </c>
    </row>
    <row r="623" spans="2:2" x14ac:dyDescent="0.2">
      <c r="B623" t="str" cm="1">
        <f t="array" ref="B623">IF(A623="","",_xlfn.CHOOSECOLS('Prematch Backend 2A'!623:623,_xlfn.MAKEARRAY(1,A623-2,_xlfn.LAMBDA(_xlpm.r,_xlpm.c,_xlpm.c))))</f>
        <v/>
      </c>
    </row>
    <row r="624" spans="2:2" x14ac:dyDescent="0.2">
      <c r="B624" t="str" cm="1">
        <f t="array" ref="B624">IF(A624="","",_xlfn.CHOOSECOLS('Prematch Backend 2A'!624:624,_xlfn.MAKEARRAY(1,A624-2,_xlfn.LAMBDA(_xlpm.r,_xlpm.c,_xlpm.c))))</f>
        <v/>
      </c>
    </row>
    <row r="625" spans="2:2" x14ac:dyDescent="0.2">
      <c r="B625" t="str" cm="1">
        <f t="array" ref="B625">IF(A625="","",_xlfn.CHOOSECOLS('Prematch Backend 2A'!625:625,_xlfn.MAKEARRAY(1,A625-2,_xlfn.LAMBDA(_xlpm.r,_xlpm.c,_xlpm.c))))</f>
        <v/>
      </c>
    </row>
    <row r="626" spans="2:2" x14ac:dyDescent="0.2">
      <c r="B626" t="str" cm="1">
        <f t="array" ref="B626">IF(A626="","",_xlfn.CHOOSECOLS('Prematch Backend 2A'!626:626,_xlfn.MAKEARRAY(1,A626-2,_xlfn.LAMBDA(_xlpm.r,_xlpm.c,_xlpm.c))))</f>
        <v/>
      </c>
    </row>
    <row r="627" spans="2:2" x14ac:dyDescent="0.2">
      <c r="B627" t="str" cm="1">
        <f t="array" ref="B627">IF(A627="","",_xlfn.CHOOSECOLS('Prematch Backend 2A'!627:627,_xlfn.MAKEARRAY(1,A627-2,_xlfn.LAMBDA(_xlpm.r,_xlpm.c,_xlpm.c))))</f>
        <v/>
      </c>
    </row>
    <row r="628" spans="2:2" x14ac:dyDescent="0.2">
      <c r="B628" t="str" cm="1">
        <f t="array" ref="B628">IF(A628="","",_xlfn.CHOOSECOLS('Prematch Backend 2A'!628:628,_xlfn.MAKEARRAY(1,A628-2,_xlfn.LAMBDA(_xlpm.r,_xlpm.c,_xlpm.c))))</f>
        <v/>
      </c>
    </row>
    <row r="629" spans="2:2" x14ac:dyDescent="0.2">
      <c r="B629" t="str" cm="1">
        <f t="array" ref="B629">IF(A629="","",_xlfn.CHOOSECOLS('Prematch Backend 2A'!629:629,_xlfn.MAKEARRAY(1,A629-2,_xlfn.LAMBDA(_xlpm.r,_xlpm.c,_xlpm.c))))</f>
        <v/>
      </c>
    </row>
    <row r="630" spans="2:2" x14ac:dyDescent="0.2">
      <c r="B630" t="str" cm="1">
        <f t="array" ref="B630">IF(A630="","",_xlfn.CHOOSECOLS('Prematch Backend 2A'!630:630,_xlfn.MAKEARRAY(1,A630-2,_xlfn.LAMBDA(_xlpm.r,_xlpm.c,_xlpm.c))))</f>
        <v/>
      </c>
    </row>
    <row r="631" spans="2:2" x14ac:dyDescent="0.2">
      <c r="B631" t="str" cm="1">
        <f t="array" ref="B631">IF(A631="","",_xlfn.CHOOSECOLS('Prematch Backend 2A'!631:631,_xlfn.MAKEARRAY(1,A631-2,_xlfn.LAMBDA(_xlpm.r,_xlpm.c,_xlpm.c))))</f>
        <v/>
      </c>
    </row>
    <row r="632" spans="2:2" x14ac:dyDescent="0.2">
      <c r="B632" t="str" cm="1">
        <f t="array" ref="B632">IF(A632="","",_xlfn.CHOOSECOLS('Prematch Backend 2A'!632:632,_xlfn.MAKEARRAY(1,A632-2,_xlfn.LAMBDA(_xlpm.r,_xlpm.c,_xlpm.c))))</f>
        <v/>
      </c>
    </row>
    <row r="633" spans="2:2" x14ac:dyDescent="0.2">
      <c r="B633" t="str" cm="1">
        <f t="array" ref="B633">IF(A633="","",_xlfn.CHOOSECOLS('Prematch Backend 2A'!633:633,_xlfn.MAKEARRAY(1,A633-2,_xlfn.LAMBDA(_xlpm.r,_xlpm.c,_xlpm.c))))</f>
        <v/>
      </c>
    </row>
    <row r="634" spans="2:2" x14ac:dyDescent="0.2">
      <c r="B634" t="str" cm="1">
        <f t="array" ref="B634">IF(A634="","",_xlfn.CHOOSECOLS('Prematch Backend 2A'!634:634,_xlfn.MAKEARRAY(1,A634-2,_xlfn.LAMBDA(_xlpm.r,_xlpm.c,_xlpm.c))))</f>
        <v/>
      </c>
    </row>
    <row r="635" spans="2:2" x14ac:dyDescent="0.2">
      <c r="B635" t="str" cm="1">
        <f t="array" ref="B635">IF(A635="","",_xlfn.CHOOSECOLS('Prematch Backend 2A'!635:635,_xlfn.MAKEARRAY(1,A635-2,_xlfn.LAMBDA(_xlpm.r,_xlpm.c,_xlpm.c))))</f>
        <v/>
      </c>
    </row>
    <row r="636" spans="2:2" x14ac:dyDescent="0.2">
      <c r="B636" t="str" cm="1">
        <f t="array" ref="B636">IF(A636="","",_xlfn.CHOOSECOLS('Prematch Backend 2A'!636:636,_xlfn.MAKEARRAY(1,A636-2,_xlfn.LAMBDA(_xlpm.r,_xlpm.c,_xlpm.c))))</f>
        <v/>
      </c>
    </row>
    <row r="637" spans="2:2" x14ac:dyDescent="0.2">
      <c r="B637" t="str" cm="1">
        <f t="array" ref="B637">IF(A637="","",_xlfn.CHOOSECOLS('Prematch Backend 2A'!637:637,_xlfn.MAKEARRAY(1,A637-2,_xlfn.LAMBDA(_xlpm.r,_xlpm.c,_xlpm.c))))</f>
        <v/>
      </c>
    </row>
    <row r="638" spans="2:2" x14ac:dyDescent="0.2">
      <c r="B638" t="str" cm="1">
        <f t="array" ref="B638">IF(A638="","",_xlfn.CHOOSECOLS('Prematch Backend 2A'!638:638,_xlfn.MAKEARRAY(1,A638-2,_xlfn.LAMBDA(_xlpm.r,_xlpm.c,_xlpm.c))))</f>
        <v/>
      </c>
    </row>
    <row r="639" spans="2:2" x14ac:dyDescent="0.2">
      <c r="B639" t="str" cm="1">
        <f t="array" ref="B639">IF(A639="","",_xlfn.CHOOSECOLS('Prematch Backend 2A'!639:639,_xlfn.MAKEARRAY(1,A639-2,_xlfn.LAMBDA(_xlpm.r,_xlpm.c,_xlpm.c))))</f>
        <v/>
      </c>
    </row>
    <row r="640" spans="2:2" x14ac:dyDescent="0.2">
      <c r="B640" t="str" cm="1">
        <f t="array" ref="B640">IF(A640="","",_xlfn.CHOOSECOLS('Prematch Backend 2A'!640:640,_xlfn.MAKEARRAY(1,A640-2,_xlfn.LAMBDA(_xlpm.r,_xlpm.c,_xlpm.c))))</f>
        <v/>
      </c>
    </row>
    <row r="641" spans="2:2" x14ac:dyDescent="0.2">
      <c r="B641" t="str" cm="1">
        <f t="array" ref="B641">IF(A641="","",_xlfn.CHOOSECOLS('Prematch Backend 2A'!641:641,_xlfn.MAKEARRAY(1,A641-2,_xlfn.LAMBDA(_xlpm.r,_xlpm.c,_xlpm.c))))</f>
        <v/>
      </c>
    </row>
    <row r="642" spans="2:2" x14ac:dyDescent="0.2">
      <c r="B642" t="str" cm="1">
        <f t="array" ref="B642">IF(A642="","",_xlfn.CHOOSECOLS('Prematch Backend 2A'!642:642,_xlfn.MAKEARRAY(1,A642-2,_xlfn.LAMBDA(_xlpm.r,_xlpm.c,_xlpm.c))))</f>
        <v/>
      </c>
    </row>
    <row r="643" spans="2:2" x14ac:dyDescent="0.2">
      <c r="B643" t="str" cm="1">
        <f t="array" ref="B643">IF(A643="","",_xlfn.CHOOSECOLS('Prematch Backend 2A'!643:643,_xlfn.MAKEARRAY(1,A643-2,_xlfn.LAMBDA(_xlpm.r,_xlpm.c,_xlpm.c))))</f>
        <v/>
      </c>
    </row>
    <row r="644" spans="2:2" x14ac:dyDescent="0.2">
      <c r="B644" t="str" cm="1">
        <f t="array" ref="B644">IF(A644="","",_xlfn.CHOOSECOLS('Prematch Backend 2A'!644:644,_xlfn.MAKEARRAY(1,A644-2,_xlfn.LAMBDA(_xlpm.r,_xlpm.c,_xlpm.c))))</f>
        <v/>
      </c>
    </row>
    <row r="645" spans="2:2" x14ac:dyDescent="0.2">
      <c r="B645" t="str" cm="1">
        <f t="array" ref="B645">IF(A645="","",_xlfn.CHOOSECOLS('Prematch Backend 2A'!645:645,_xlfn.MAKEARRAY(1,A645-2,_xlfn.LAMBDA(_xlpm.r,_xlpm.c,_xlpm.c))))</f>
        <v/>
      </c>
    </row>
    <row r="646" spans="2:2" x14ac:dyDescent="0.2">
      <c r="B646" t="str" cm="1">
        <f t="array" ref="B646">IF(A646="","",_xlfn.CHOOSECOLS('Prematch Backend 2A'!646:646,_xlfn.MAKEARRAY(1,A646-2,_xlfn.LAMBDA(_xlpm.r,_xlpm.c,_xlpm.c))))</f>
        <v/>
      </c>
    </row>
    <row r="647" spans="2:2" x14ac:dyDescent="0.2">
      <c r="B647" t="str" cm="1">
        <f t="array" ref="B647">IF(A647="","",_xlfn.CHOOSECOLS('Prematch Backend 2A'!647:647,_xlfn.MAKEARRAY(1,A647-2,_xlfn.LAMBDA(_xlpm.r,_xlpm.c,_xlpm.c))))</f>
        <v/>
      </c>
    </row>
    <row r="648" spans="2:2" x14ac:dyDescent="0.2">
      <c r="B648" t="str" cm="1">
        <f t="array" ref="B648">IF(A648="","",_xlfn.CHOOSECOLS('Prematch Backend 2A'!648:648,_xlfn.MAKEARRAY(1,A648-2,_xlfn.LAMBDA(_xlpm.r,_xlpm.c,_xlpm.c))))</f>
        <v/>
      </c>
    </row>
    <row r="649" spans="2:2" x14ac:dyDescent="0.2">
      <c r="B649" t="str" cm="1">
        <f t="array" ref="B649">IF(A649="","",_xlfn.CHOOSECOLS('Prematch Backend 2A'!649:649,_xlfn.MAKEARRAY(1,A649-2,_xlfn.LAMBDA(_xlpm.r,_xlpm.c,_xlpm.c))))</f>
        <v/>
      </c>
    </row>
    <row r="650" spans="2:2" x14ac:dyDescent="0.2">
      <c r="B650" t="str" cm="1">
        <f t="array" ref="B650">IF(A650="","",_xlfn.CHOOSECOLS('Prematch Backend 2A'!650:650,_xlfn.MAKEARRAY(1,A650-2,_xlfn.LAMBDA(_xlpm.r,_xlpm.c,_xlpm.c))))</f>
        <v/>
      </c>
    </row>
    <row r="651" spans="2:2" x14ac:dyDescent="0.2">
      <c r="B651" t="str" cm="1">
        <f t="array" ref="B651">IF(A651="","",_xlfn.CHOOSECOLS('Prematch Backend 2A'!651:651,_xlfn.MAKEARRAY(1,A651-2,_xlfn.LAMBDA(_xlpm.r,_xlpm.c,_xlpm.c))))</f>
        <v/>
      </c>
    </row>
    <row r="652" spans="2:2" x14ac:dyDescent="0.2">
      <c r="B652" t="str" cm="1">
        <f t="array" ref="B652">IF(A652="","",_xlfn.CHOOSECOLS('Prematch Backend 2A'!652:652,_xlfn.MAKEARRAY(1,A652-2,_xlfn.LAMBDA(_xlpm.r,_xlpm.c,_xlpm.c))))</f>
        <v/>
      </c>
    </row>
    <row r="653" spans="2:2" x14ac:dyDescent="0.2">
      <c r="B653" t="str" cm="1">
        <f t="array" ref="B653">IF(A653="","",_xlfn.CHOOSECOLS('Prematch Backend 2A'!653:653,_xlfn.MAKEARRAY(1,A653-2,_xlfn.LAMBDA(_xlpm.r,_xlpm.c,_xlpm.c))))</f>
        <v/>
      </c>
    </row>
    <row r="654" spans="2:2" x14ac:dyDescent="0.2">
      <c r="B654" t="str" cm="1">
        <f t="array" ref="B654">IF(A654="","",_xlfn.CHOOSECOLS('Prematch Backend 2A'!654:654,_xlfn.MAKEARRAY(1,A654-2,_xlfn.LAMBDA(_xlpm.r,_xlpm.c,_xlpm.c))))</f>
        <v/>
      </c>
    </row>
    <row r="655" spans="2:2" x14ac:dyDescent="0.2">
      <c r="B655" t="str" cm="1">
        <f t="array" ref="B655">IF(A655="","",_xlfn.CHOOSECOLS('Prematch Backend 2A'!655:655,_xlfn.MAKEARRAY(1,A655-2,_xlfn.LAMBDA(_xlpm.r,_xlpm.c,_xlpm.c))))</f>
        <v/>
      </c>
    </row>
    <row r="656" spans="2:2" x14ac:dyDescent="0.2">
      <c r="B656" t="str" cm="1">
        <f t="array" ref="B656">IF(A656="","",_xlfn.CHOOSECOLS('Prematch Backend 2A'!656:656,_xlfn.MAKEARRAY(1,A656-2,_xlfn.LAMBDA(_xlpm.r,_xlpm.c,_xlpm.c))))</f>
        <v/>
      </c>
    </row>
    <row r="657" spans="2:2" x14ac:dyDescent="0.2">
      <c r="B657" t="str" cm="1">
        <f t="array" ref="B657">IF(A657="","",_xlfn.CHOOSECOLS('Prematch Backend 2A'!657:657,_xlfn.MAKEARRAY(1,A657-2,_xlfn.LAMBDA(_xlpm.r,_xlpm.c,_xlpm.c))))</f>
        <v/>
      </c>
    </row>
    <row r="658" spans="2:2" x14ac:dyDescent="0.2">
      <c r="B658" t="str" cm="1">
        <f t="array" ref="B658">IF(A658="","",_xlfn.CHOOSECOLS('Prematch Backend 2A'!658:658,_xlfn.MAKEARRAY(1,A658-2,_xlfn.LAMBDA(_xlpm.r,_xlpm.c,_xlpm.c))))</f>
        <v/>
      </c>
    </row>
    <row r="659" spans="2:2" x14ac:dyDescent="0.2">
      <c r="B659" t="str" cm="1">
        <f t="array" ref="B659">IF(A659="","",_xlfn.CHOOSECOLS('Prematch Backend 2A'!659:659,_xlfn.MAKEARRAY(1,A659-2,_xlfn.LAMBDA(_xlpm.r,_xlpm.c,_xlpm.c))))</f>
        <v/>
      </c>
    </row>
    <row r="660" spans="2:2" x14ac:dyDescent="0.2">
      <c r="B660" t="str" cm="1">
        <f t="array" ref="B660">IF(A660="","",_xlfn.CHOOSECOLS('Prematch Backend 2A'!660:660,_xlfn.MAKEARRAY(1,A660-2,_xlfn.LAMBDA(_xlpm.r,_xlpm.c,_xlpm.c))))</f>
        <v/>
      </c>
    </row>
    <row r="661" spans="2:2" x14ac:dyDescent="0.2">
      <c r="B661" t="str" cm="1">
        <f t="array" ref="B661">IF(A661="","",_xlfn.CHOOSECOLS('Prematch Backend 2A'!661:661,_xlfn.MAKEARRAY(1,A661-2,_xlfn.LAMBDA(_xlpm.r,_xlpm.c,_xlpm.c))))</f>
        <v/>
      </c>
    </row>
    <row r="662" spans="2:2" x14ac:dyDescent="0.2">
      <c r="B662" t="str" cm="1">
        <f t="array" ref="B662">IF(A662="","",_xlfn.CHOOSECOLS('Prematch Backend 2A'!662:662,_xlfn.MAKEARRAY(1,A662-2,_xlfn.LAMBDA(_xlpm.r,_xlpm.c,_xlpm.c))))</f>
        <v/>
      </c>
    </row>
    <row r="663" spans="2:2" x14ac:dyDescent="0.2">
      <c r="B663" t="str" cm="1">
        <f t="array" ref="B663">IF(A663="","",_xlfn.CHOOSECOLS('Prematch Backend 2A'!663:663,_xlfn.MAKEARRAY(1,A663-2,_xlfn.LAMBDA(_xlpm.r,_xlpm.c,_xlpm.c))))</f>
        <v/>
      </c>
    </row>
    <row r="664" spans="2:2" x14ac:dyDescent="0.2">
      <c r="B664" t="str" cm="1">
        <f t="array" ref="B664">IF(A664="","",_xlfn.CHOOSECOLS('Prematch Backend 2A'!664:664,_xlfn.MAKEARRAY(1,A664-2,_xlfn.LAMBDA(_xlpm.r,_xlpm.c,_xlpm.c))))</f>
        <v/>
      </c>
    </row>
    <row r="665" spans="2:2" x14ac:dyDescent="0.2">
      <c r="B665" t="str" cm="1">
        <f t="array" ref="B665">IF(A665="","",_xlfn.CHOOSECOLS('Prematch Backend 2A'!665:665,_xlfn.MAKEARRAY(1,A665-2,_xlfn.LAMBDA(_xlpm.r,_xlpm.c,_xlpm.c))))</f>
        <v/>
      </c>
    </row>
    <row r="666" spans="2:2" x14ac:dyDescent="0.2">
      <c r="B666" t="str" cm="1">
        <f t="array" ref="B666">IF(A666="","",_xlfn.CHOOSECOLS('Prematch Backend 2A'!666:666,_xlfn.MAKEARRAY(1,A666-2,_xlfn.LAMBDA(_xlpm.r,_xlpm.c,_xlpm.c))))</f>
        <v/>
      </c>
    </row>
    <row r="667" spans="2:2" x14ac:dyDescent="0.2">
      <c r="B667" t="str" cm="1">
        <f t="array" ref="B667">IF(A667="","",_xlfn.CHOOSECOLS('Prematch Backend 2A'!667:667,_xlfn.MAKEARRAY(1,A667-2,_xlfn.LAMBDA(_xlpm.r,_xlpm.c,_xlpm.c))))</f>
        <v/>
      </c>
    </row>
    <row r="668" spans="2:2" x14ac:dyDescent="0.2">
      <c r="B668" t="str" cm="1">
        <f t="array" ref="B668">IF(A668="","",_xlfn.CHOOSECOLS('Prematch Backend 2A'!668:668,_xlfn.MAKEARRAY(1,A668-2,_xlfn.LAMBDA(_xlpm.r,_xlpm.c,_xlpm.c))))</f>
        <v/>
      </c>
    </row>
    <row r="669" spans="2:2" x14ac:dyDescent="0.2">
      <c r="B669" t="str" cm="1">
        <f t="array" ref="B669">IF(A669="","",_xlfn.CHOOSECOLS('Prematch Backend 2A'!669:669,_xlfn.MAKEARRAY(1,A669-2,_xlfn.LAMBDA(_xlpm.r,_xlpm.c,_xlpm.c))))</f>
        <v/>
      </c>
    </row>
    <row r="670" spans="2:2" x14ac:dyDescent="0.2">
      <c r="B670" t="str" cm="1">
        <f t="array" ref="B670">IF(A670="","",_xlfn.CHOOSECOLS('Prematch Backend 2A'!670:670,_xlfn.MAKEARRAY(1,A670-2,_xlfn.LAMBDA(_xlpm.r,_xlpm.c,_xlpm.c))))</f>
        <v/>
      </c>
    </row>
    <row r="671" spans="2:2" x14ac:dyDescent="0.2">
      <c r="B671" t="str" cm="1">
        <f t="array" ref="B671">IF(A671="","",_xlfn.CHOOSECOLS('Prematch Backend 2A'!671:671,_xlfn.MAKEARRAY(1,A671-2,_xlfn.LAMBDA(_xlpm.r,_xlpm.c,_xlpm.c))))</f>
        <v/>
      </c>
    </row>
    <row r="672" spans="2:2" x14ac:dyDescent="0.2">
      <c r="B672" t="str" cm="1">
        <f t="array" ref="B672">IF(A672="","",_xlfn.CHOOSECOLS('Prematch Backend 2A'!672:672,_xlfn.MAKEARRAY(1,A672-2,_xlfn.LAMBDA(_xlpm.r,_xlpm.c,_xlpm.c))))</f>
        <v/>
      </c>
    </row>
    <row r="673" spans="2:2" x14ac:dyDescent="0.2">
      <c r="B673" t="str" cm="1">
        <f t="array" ref="B673">IF(A673="","",_xlfn.CHOOSECOLS('Prematch Backend 2A'!673:673,_xlfn.MAKEARRAY(1,A673-2,_xlfn.LAMBDA(_xlpm.r,_xlpm.c,_xlpm.c))))</f>
        <v/>
      </c>
    </row>
    <row r="674" spans="2:2" x14ac:dyDescent="0.2">
      <c r="B674" t="str" cm="1">
        <f t="array" ref="B674">IF(A674="","",_xlfn.CHOOSECOLS('Prematch Backend 2A'!674:674,_xlfn.MAKEARRAY(1,A674-2,_xlfn.LAMBDA(_xlpm.r,_xlpm.c,_xlpm.c))))</f>
        <v/>
      </c>
    </row>
    <row r="675" spans="2:2" x14ac:dyDescent="0.2">
      <c r="B675" t="str" cm="1">
        <f t="array" ref="B675">IF(A675="","",_xlfn.CHOOSECOLS('Prematch Backend 2A'!675:675,_xlfn.MAKEARRAY(1,A675-2,_xlfn.LAMBDA(_xlpm.r,_xlpm.c,_xlpm.c))))</f>
        <v/>
      </c>
    </row>
    <row r="676" spans="2:2" x14ac:dyDescent="0.2">
      <c r="B676" t="str" cm="1">
        <f t="array" ref="B676">IF(A676="","",_xlfn.CHOOSECOLS('Prematch Backend 2A'!676:676,_xlfn.MAKEARRAY(1,A676-2,_xlfn.LAMBDA(_xlpm.r,_xlpm.c,_xlpm.c))))</f>
        <v/>
      </c>
    </row>
    <row r="677" spans="2:2" x14ac:dyDescent="0.2">
      <c r="B677" t="str" cm="1">
        <f t="array" ref="B677">IF(A677="","",_xlfn.CHOOSECOLS('Prematch Backend 2A'!677:677,_xlfn.MAKEARRAY(1,A677-2,_xlfn.LAMBDA(_xlpm.r,_xlpm.c,_xlpm.c))))</f>
        <v/>
      </c>
    </row>
    <row r="678" spans="2:2" x14ac:dyDescent="0.2">
      <c r="B678" t="str" cm="1">
        <f t="array" ref="B678">IF(A678="","",_xlfn.CHOOSECOLS('Prematch Backend 2A'!678:678,_xlfn.MAKEARRAY(1,A678-2,_xlfn.LAMBDA(_xlpm.r,_xlpm.c,_xlpm.c))))</f>
        <v/>
      </c>
    </row>
    <row r="679" spans="2:2" x14ac:dyDescent="0.2">
      <c r="B679" t="str" cm="1">
        <f t="array" ref="B679">IF(A679="","",_xlfn.CHOOSECOLS('Prematch Backend 2A'!679:679,_xlfn.MAKEARRAY(1,A679-2,_xlfn.LAMBDA(_xlpm.r,_xlpm.c,_xlpm.c))))</f>
        <v/>
      </c>
    </row>
    <row r="680" spans="2:2" x14ac:dyDescent="0.2">
      <c r="B680" t="str" cm="1">
        <f t="array" ref="B680">IF(A680="","",_xlfn.CHOOSECOLS('Prematch Backend 2A'!680:680,_xlfn.MAKEARRAY(1,A680-2,_xlfn.LAMBDA(_xlpm.r,_xlpm.c,_xlpm.c))))</f>
        <v/>
      </c>
    </row>
    <row r="681" spans="2:2" x14ac:dyDescent="0.2">
      <c r="B681" t="str" cm="1">
        <f t="array" ref="B681">IF(A681="","",_xlfn.CHOOSECOLS('Prematch Backend 2A'!681:681,_xlfn.MAKEARRAY(1,A681-2,_xlfn.LAMBDA(_xlpm.r,_xlpm.c,_xlpm.c))))</f>
        <v/>
      </c>
    </row>
    <row r="682" spans="2:2" x14ac:dyDescent="0.2">
      <c r="B682" t="str" cm="1">
        <f t="array" ref="B682">IF(A682="","",_xlfn.CHOOSECOLS('Prematch Backend 2A'!682:682,_xlfn.MAKEARRAY(1,A682-2,_xlfn.LAMBDA(_xlpm.r,_xlpm.c,_xlpm.c))))</f>
        <v/>
      </c>
    </row>
    <row r="683" spans="2:2" x14ac:dyDescent="0.2">
      <c r="B683" t="str" cm="1">
        <f t="array" ref="B683">IF(A683="","",_xlfn.CHOOSECOLS('Prematch Backend 2A'!683:683,_xlfn.MAKEARRAY(1,A683-2,_xlfn.LAMBDA(_xlpm.r,_xlpm.c,_xlpm.c))))</f>
        <v/>
      </c>
    </row>
    <row r="684" spans="2:2" x14ac:dyDescent="0.2">
      <c r="B684" t="str" cm="1">
        <f t="array" ref="B684">IF(A684="","",_xlfn.CHOOSECOLS('Prematch Backend 2A'!684:684,_xlfn.MAKEARRAY(1,A684-2,_xlfn.LAMBDA(_xlpm.r,_xlpm.c,_xlpm.c))))</f>
        <v/>
      </c>
    </row>
    <row r="685" spans="2:2" x14ac:dyDescent="0.2">
      <c r="B685" t="str" cm="1">
        <f t="array" ref="B685">IF(A685="","",_xlfn.CHOOSECOLS('Prematch Backend 2A'!685:685,_xlfn.MAKEARRAY(1,A685-2,_xlfn.LAMBDA(_xlpm.r,_xlpm.c,_xlpm.c))))</f>
        <v/>
      </c>
    </row>
    <row r="686" spans="2:2" x14ac:dyDescent="0.2">
      <c r="B686" t="str" cm="1">
        <f t="array" ref="B686">IF(A686="","",_xlfn.CHOOSECOLS('Prematch Backend 2A'!686:686,_xlfn.MAKEARRAY(1,A686-2,_xlfn.LAMBDA(_xlpm.r,_xlpm.c,_xlpm.c))))</f>
        <v/>
      </c>
    </row>
    <row r="687" spans="2:2" x14ac:dyDescent="0.2">
      <c r="B687" t="str" cm="1">
        <f t="array" ref="B687">IF(A687="","",_xlfn.CHOOSECOLS('Prematch Backend 2A'!687:687,_xlfn.MAKEARRAY(1,A687-2,_xlfn.LAMBDA(_xlpm.r,_xlpm.c,_xlpm.c))))</f>
        <v/>
      </c>
    </row>
    <row r="688" spans="2:2" x14ac:dyDescent="0.2">
      <c r="B688" t="str" cm="1">
        <f t="array" ref="B688">IF(A688="","",_xlfn.CHOOSECOLS('Prematch Backend 2A'!688:688,_xlfn.MAKEARRAY(1,A688-2,_xlfn.LAMBDA(_xlpm.r,_xlpm.c,_xlpm.c))))</f>
        <v/>
      </c>
    </row>
    <row r="689" spans="2:2" x14ac:dyDescent="0.2">
      <c r="B689" t="str" cm="1">
        <f t="array" ref="B689">IF(A689="","",_xlfn.CHOOSECOLS('Prematch Backend 2A'!689:689,_xlfn.MAKEARRAY(1,A689-2,_xlfn.LAMBDA(_xlpm.r,_xlpm.c,_xlpm.c))))</f>
        <v/>
      </c>
    </row>
    <row r="690" spans="2:2" x14ac:dyDescent="0.2">
      <c r="B690" t="str" cm="1">
        <f t="array" ref="B690">IF(A690="","",_xlfn.CHOOSECOLS('Prematch Backend 2A'!690:690,_xlfn.MAKEARRAY(1,A690-2,_xlfn.LAMBDA(_xlpm.r,_xlpm.c,_xlpm.c))))</f>
        <v/>
      </c>
    </row>
    <row r="691" spans="2:2" x14ac:dyDescent="0.2">
      <c r="B691" t="str" cm="1">
        <f t="array" ref="B691">IF(A691="","",_xlfn.CHOOSECOLS('Prematch Backend 2A'!691:691,_xlfn.MAKEARRAY(1,A691-2,_xlfn.LAMBDA(_xlpm.r,_xlpm.c,_xlpm.c))))</f>
        <v/>
      </c>
    </row>
    <row r="692" spans="2:2" x14ac:dyDescent="0.2">
      <c r="B692" t="str" cm="1">
        <f t="array" ref="B692">IF(A692="","",_xlfn.CHOOSECOLS('Prematch Backend 2A'!692:692,_xlfn.MAKEARRAY(1,A692-2,_xlfn.LAMBDA(_xlpm.r,_xlpm.c,_xlpm.c))))</f>
        <v/>
      </c>
    </row>
    <row r="693" spans="2:2" x14ac:dyDescent="0.2">
      <c r="B693" t="str" cm="1">
        <f t="array" ref="B693">IF(A693="","",_xlfn.CHOOSECOLS('Prematch Backend 2A'!693:693,_xlfn.MAKEARRAY(1,A693-2,_xlfn.LAMBDA(_xlpm.r,_xlpm.c,_xlpm.c))))</f>
        <v/>
      </c>
    </row>
    <row r="694" spans="2:2" x14ac:dyDescent="0.2">
      <c r="B694" t="str" cm="1">
        <f t="array" ref="B694">IF(A694="","",_xlfn.CHOOSECOLS('Prematch Backend 2A'!694:694,_xlfn.MAKEARRAY(1,A694-2,_xlfn.LAMBDA(_xlpm.r,_xlpm.c,_xlpm.c))))</f>
        <v/>
      </c>
    </row>
    <row r="695" spans="2:2" x14ac:dyDescent="0.2">
      <c r="B695" t="str" cm="1">
        <f t="array" ref="B695">IF(A695="","",_xlfn.CHOOSECOLS('Prematch Backend 2A'!695:695,_xlfn.MAKEARRAY(1,A695-2,_xlfn.LAMBDA(_xlpm.r,_xlpm.c,_xlpm.c))))</f>
        <v/>
      </c>
    </row>
    <row r="696" spans="2:2" x14ac:dyDescent="0.2">
      <c r="B696" t="str" cm="1">
        <f t="array" ref="B696">IF(A696="","",_xlfn.CHOOSECOLS('Prematch Backend 2A'!696:696,_xlfn.MAKEARRAY(1,A696-2,_xlfn.LAMBDA(_xlpm.r,_xlpm.c,_xlpm.c))))</f>
        <v/>
      </c>
    </row>
    <row r="697" spans="2:2" x14ac:dyDescent="0.2">
      <c r="B697" t="str" cm="1">
        <f t="array" ref="B697">IF(A697="","",_xlfn.CHOOSECOLS('Prematch Backend 2A'!697:697,_xlfn.MAKEARRAY(1,A697-2,_xlfn.LAMBDA(_xlpm.r,_xlpm.c,_xlpm.c))))</f>
        <v/>
      </c>
    </row>
    <row r="698" spans="2:2" x14ac:dyDescent="0.2">
      <c r="B698" t="str" cm="1">
        <f t="array" ref="B698">IF(A698="","",_xlfn.CHOOSECOLS('Prematch Backend 2A'!698:698,_xlfn.MAKEARRAY(1,A698-2,_xlfn.LAMBDA(_xlpm.r,_xlpm.c,_xlpm.c))))</f>
        <v/>
      </c>
    </row>
    <row r="699" spans="2:2" x14ac:dyDescent="0.2">
      <c r="B699" t="str" cm="1">
        <f t="array" ref="B699">IF(A699="","",_xlfn.CHOOSECOLS('Prematch Backend 2A'!699:699,_xlfn.MAKEARRAY(1,A699-2,_xlfn.LAMBDA(_xlpm.r,_xlpm.c,_xlpm.c))))</f>
        <v/>
      </c>
    </row>
    <row r="700" spans="2:2" x14ac:dyDescent="0.2">
      <c r="B700" t="str" cm="1">
        <f t="array" ref="B700">IF(A700="","",_xlfn.CHOOSECOLS('Prematch Backend 2A'!700:700,_xlfn.MAKEARRAY(1,A700-2,_xlfn.LAMBDA(_xlpm.r,_xlpm.c,_xlpm.c))))</f>
        <v/>
      </c>
    </row>
    <row r="701" spans="2:2" x14ac:dyDescent="0.2">
      <c r="B701" t="str" cm="1">
        <f t="array" ref="B701">IF(A701="","",_xlfn.CHOOSECOLS('Prematch Backend 2A'!701:701,_xlfn.MAKEARRAY(1,A701-2,_xlfn.LAMBDA(_xlpm.r,_xlpm.c,_xlpm.c))))</f>
        <v/>
      </c>
    </row>
    <row r="702" spans="2:2" x14ac:dyDescent="0.2">
      <c r="B702" t="str" cm="1">
        <f t="array" ref="B702">IF(A702="","",_xlfn.CHOOSECOLS('Prematch Backend 2A'!702:702,_xlfn.MAKEARRAY(1,A702-2,_xlfn.LAMBDA(_xlpm.r,_xlpm.c,_xlpm.c))))</f>
        <v/>
      </c>
    </row>
    <row r="703" spans="2:2" x14ac:dyDescent="0.2">
      <c r="B703" t="str" cm="1">
        <f t="array" ref="B703">IF(A703="","",_xlfn.CHOOSECOLS('Prematch Backend 2A'!703:703,_xlfn.MAKEARRAY(1,A703-2,_xlfn.LAMBDA(_xlpm.r,_xlpm.c,_xlpm.c))))</f>
        <v/>
      </c>
    </row>
    <row r="704" spans="2:2" x14ac:dyDescent="0.2">
      <c r="B704" t="str" cm="1">
        <f t="array" ref="B704">IF(A704="","",_xlfn.CHOOSECOLS('Prematch Backend 2A'!704:704,_xlfn.MAKEARRAY(1,A704-2,_xlfn.LAMBDA(_xlpm.r,_xlpm.c,_xlpm.c))))</f>
        <v/>
      </c>
    </row>
    <row r="705" spans="2:2" x14ac:dyDescent="0.2">
      <c r="B705" t="str" cm="1">
        <f t="array" ref="B705">IF(A705="","",_xlfn.CHOOSECOLS('Prematch Backend 2A'!705:705,_xlfn.MAKEARRAY(1,A705-2,_xlfn.LAMBDA(_xlpm.r,_xlpm.c,_xlpm.c))))</f>
        <v/>
      </c>
    </row>
    <row r="706" spans="2:2" x14ac:dyDescent="0.2">
      <c r="B706" t="str" cm="1">
        <f t="array" ref="B706">IF(A706="","",_xlfn.CHOOSECOLS('Prematch Backend 2A'!706:706,_xlfn.MAKEARRAY(1,A706-2,_xlfn.LAMBDA(_xlpm.r,_xlpm.c,_xlpm.c))))</f>
        <v/>
      </c>
    </row>
    <row r="707" spans="2:2" x14ac:dyDescent="0.2">
      <c r="B707" t="str" cm="1">
        <f t="array" ref="B707">IF(A707="","",_xlfn.CHOOSECOLS('Prematch Backend 2A'!707:707,_xlfn.MAKEARRAY(1,A707-2,_xlfn.LAMBDA(_xlpm.r,_xlpm.c,_xlpm.c))))</f>
        <v/>
      </c>
    </row>
    <row r="708" spans="2:2" x14ac:dyDescent="0.2">
      <c r="B708" t="str" cm="1">
        <f t="array" ref="B708">IF(A708="","",_xlfn.CHOOSECOLS('Prematch Backend 2A'!708:708,_xlfn.MAKEARRAY(1,A708-2,_xlfn.LAMBDA(_xlpm.r,_xlpm.c,_xlpm.c))))</f>
        <v/>
      </c>
    </row>
    <row r="709" spans="2:2" x14ac:dyDescent="0.2">
      <c r="B709" t="str" cm="1">
        <f t="array" ref="B709">IF(A709="","",_xlfn.CHOOSECOLS('Prematch Backend 2A'!709:709,_xlfn.MAKEARRAY(1,A709-2,_xlfn.LAMBDA(_xlpm.r,_xlpm.c,_xlpm.c))))</f>
        <v/>
      </c>
    </row>
    <row r="710" spans="2:2" x14ac:dyDescent="0.2">
      <c r="B710" t="str" cm="1">
        <f t="array" ref="B710">IF(A710="","",_xlfn.CHOOSECOLS('Prematch Backend 2A'!710:710,_xlfn.MAKEARRAY(1,A710-2,_xlfn.LAMBDA(_xlpm.r,_xlpm.c,_xlpm.c))))</f>
        <v/>
      </c>
    </row>
    <row r="711" spans="2:2" x14ac:dyDescent="0.2">
      <c r="B711" t="str" cm="1">
        <f t="array" ref="B711">IF(A711="","",_xlfn.CHOOSECOLS('Prematch Backend 2A'!711:711,_xlfn.MAKEARRAY(1,A711-2,_xlfn.LAMBDA(_xlpm.r,_xlpm.c,_xlpm.c))))</f>
        <v/>
      </c>
    </row>
    <row r="712" spans="2:2" x14ac:dyDescent="0.2">
      <c r="B712" t="str" cm="1">
        <f t="array" ref="B712">IF(A712="","",_xlfn.CHOOSECOLS('Prematch Backend 2A'!712:712,_xlfn.MAKEARRAY(1,A712-2,_xlfn.LAMBDA(_xlpm.r,_xlpm.c,_xlpm.c))))</f>
        <v/>
      </c>
    </row>
    <row r="713" spans="2:2" x14ac:dyDescent="0.2">
      <c r="B713" t="str" cm="1">
        <f t="array" ref="B713">IF(A713="","",_xlfn.CHOOSECOLS('Prematch Backend 2A'!713:713,_xlfn.MAKEARRAY(1,A713-2,_xlfn.LAMBDA(_xlpm.r,_xlpm.c,_xlpm.c))))</f>
        <v/>
      </c>
    </row>
    <row r="714" spans="2:2" x14ac:dyDescent="0.2">
      <c r="B714" t="str" cm="1">
        <f t="array" ref="B714">IF(A714="","",_xlfn.CHOOSECOLS('Prematch Backend 2A'!714:714,_xlfn.MAKEARRAY(1,A714-2,_xlfn.LAMBDA(_xlpm.r,_xlpm.c,_xlpm.c))))</f>
        <v/>
      </c>
    </row>
    <row r="715" spans="2:2" x14ac:dyDescent="0.2">
      <c r="B715" t="str" cm="1">
        <f t="array" ref="B715">IF(A715="","",_xlfn.CHOOSECOLS('Prematch Backend 2A'!715:715,_xlfn.MAKEARRAY(1,A715-2,_xlfn.LAMBDA(_xlpm.r,_xlpm.c,_xlpm.c))))</f>
        <v/>
      </c>
    </row>
    <row r="716" spans="2:2" x14ac:dyDescent="0.2">
      <c r="B716" t="str" cm="1">
        <f t="array" ref="B716">IF(A716="","",_xlfn.CHOOSECOLS('Prematch Backend 2A'!716:716,_xlfn.MAKEARRAY(1,A716-2,_xlfn.LAMBDA(_xlpm.r,_xlpm.c,_xlpm.c))))</f>
        <v/>
      </c>
    </row>
    <row r="717" spans="2:2" x14ac:dyDescent="0.2">
      <c r="B717" t="str" cm="1">
        <f t="array" ref="B717">IF(A717="","",_xlfn.CHOOSECOLS('Prematch Backend 2A'!717:717,_xlfn.MAKEARRAY(1,A717-2,_xlfn.LAMBDA(_xlpm.r,_xlpm.c,_xlpm.c))))</f>
        <v/>
      </c>
    </row>
    <row r="718" spans="2:2" x14ac:dyDescent="0.2">
      <c r="B718" t="str" cm="1">
        <f t="array" ref="B718">IF(A718="","",_xlfn.CHOOSECOLS('Prematch Backend 2A'!718:718,_xlfn.MAKEARRAY(1,A718-2,_xlfn.LAMBDA(_xlpm.r,_xlpm.c,_xlpm.c))))</f>
        <v/>
      </c>
    </row>
    <row r="719" spans="2:2" x14ac:dyDescent="0.2">
      <c r="B719" t="str" cm="1">
        <f t="array" ref="B719">IF(A719="","",_xlfn.CHOOSECOLS('Prematch Backend 2A'!719:719,_xlfn.MAKEARRAY(1,A719-2,_xlfn.LAMBDA(_xlpm.r,_xlpm.c,_xlpm.c))))</f>
        <v/>
      </c>
    </row>
    <row r="720" spans="2:2" x14ac:dyDescent="0.2">
      <c r="B720" t="str" cm="1">
        <f t="array" ref="B720">IF(A720="","",_xlfn.CHOOSECOLS('Prematch Backend 2A'!720:720,_xlfn.MAKEARRAY(1,A720-2,_xlfn.LAMBDA(_xlpm.r,_xlpm.c,_xlpm.c))))</f>
        <v/>
      </c>
    </row>
    <row r="721" spans="2:2" x14ac:dyDescent="0.2">
      <c r="B721" t="str" cm="1">
        <f t="array" ref="B721">IF(A721="","",_xlfn.CHOOSECOLS('Prematch Backend 2A'!721:721,_xlfn.MAKEARRAY(1,A721-2,_xlfn.LAMBDA(_xlpm.r,_xlpm.c,_xlpm.c))))</f>
        <v/>
      </c>
    </row>
    <row r="722" spans="2:2" x14ac:dyDescent="0.2">
      <c r="B722" t="str" cm="1">
        <f t="array" ref="B722">IF(A722="","",_xlfn.CHOOSECOLS('Prematch Backend 2A'!722:722,_xlfn.MAKEARRAY(1,A722-2,_xlfn.LAMBDA(_xlpm.r,_xlpm.c,_xlpm.c))))</f>
        <v/>
      </c>
    </row>
    <row r="723" spans="2:2" x14ac:dyDescent="0.2">
      <c r="B723" t="str" cm="1">
        <f t="array" ref="B723">IF(A723="","",_xlfn.CHOOSECOLS('Prematch Backend 2A'!723:723,_xlfn.MAKEARRAY(1,A723-2,_xlfn.LAMBDA(_xlpm.r,_xlpm.c,_xlpm.c))))</f>
        <v/>
      </c>
    </row>
    <row r="724" spans="2:2" x14ac:dyDescent="0.2">
      <c r="B724" t="str" cm="1">
        <f t="array" ref="B724">IF(A724="","",_xlfn.CHOOSECOLS('Prematch Backend 2A'!724:724,_xlfn.MAKEARRAY(1,A724-2,_xlfn.LAMBDA(_xlpm.r,_xlpm.c,_xlpm.c))))</f>
        <v/>
      </c>
    </row>
    <row r="725" spans="2:2" x14ac:dyDescent="0.2">
      <c r="B725" t="str" cm="1">
        <f t="array" ref="B725">IF(A725="","",_xlfn.CHOOSECOLS('Prematch Backend 2A'!725:725,_xlfn.MAKEARRAY(1,A725-2,_xlfn.LAMBDA(_xlpm.r,_xlpm.c,_xlpm.c))))</f>
        <v/>
      </c>
    </row>
    <row r="726" spans="2:2" x14ac:dyDescent="0.2">
      <c r="B726" t="str" cm="1">
        <f t="array" ref="B726">IF(A726="","",_xlfn.CHOOSECOLS('Prematch Backend 2A'!726:726,_xlfn.MAKEARRAY(1,A726-2,_xlfn.LAMBDA(_xlpm.r,_xlpm.c,_xlpm.c))))</f>
        <v/>
      </c>
    </row>
    <row r="727" spans="2:2" x14ac:dyDescent="0.2">
      <c r="B727" t="str" cm="1">
        <f t="array" ref="B727">IF(A727="","",_xlfn.CHOOSECOLS('Prematch Backend 2A'!727:727,_xlfn.MAKEARRAY(1,A727-2,_xlfn.LAMBDA(_xlpm.r,_xlpm.c,_xlpm.c))))</f>
        <v/>
      </c>
    </row>
    <row r="728" spans="2:2" x14ac:dyDescent="0.2">
      <c r="B728" t="str" cm="1">
        <f t="array" ref="B728">IF(A728="","",_xlfn.CHOOSECOLS('Prematch Backend 2A'!728:728,_xlfn.MAKEARRAY(1,A728-2,_xlfn.LAMBDA(_xlpm.r,_xlpm.c,_xlpm.c))))</f>
        <v/>
      </c>
    </row>
    <row r="729" spans="2:2" x14ac:dyDescent="0.2">
      <c r="B729" t="str" cm="1">
        <f t="array" ref="B729">IF(A729="","",_xlfn.CHOOSECOLS('Prematch Backend 2A'!729:729,_xlfn.MAKEARRAY(1,A729-2,_xlfn.LAMBDA(_xlpm.r,_xlpm.c,_xlpm.c))))</f>
        <v/>
      </c>
    </row>
    <row r="730" spans="2:2" x14ac:dyDescent="0.2">
      <c r="B730" t="str" cm="1">
        <f t="array" ref="B730">IF(A730="","",_xlfn.CHOOSECOLS('Prematch Backend 2A'!730:730,_xlfn.MAKEARRAY(1,A730-2,_xlfn.LAMBDA(_xlpm.r,_xlpm.c,_xlpm.c))))</f>
        <v/>
      </c>
    </row>
    <row r="731" spans="2:2" x14ac:dyDescent="0.2">
      <c r="B731" t="str" cm="1">
        <f t="array" ref="B731">IF(A731="","",_xlfn.CHOOSECOLS('Prematch Backend 2A'!731:731,_xlfn.MAKEARRAY(1,A731-2,_xlfn.LAMBDA(_xlpm.r,_xlpm.c,_xlpm.c))))</f>
        <v/>
      </c>
    </row>
    <row r="732" spans="2:2" x14ac:dyDescent="0.2">
      <c r="B732" t="str" cm="1">
        <f t="array" ref="B732">IF(A732="","",_xlfn.CHOOSECOLS('Prematch Backend 2A'!732:732,_xlfn.MAKEARRAY(1,A732-2,_xlfn.LAMBDA(_xlpm.r,_xlpm.c,_xlpm.c))))</f>
        <v/>
      </c>
    </row>
    <row r="733" spans="2:2" x14ac:dyDescent="0.2">
      <c r="B733" t="str" cm="1">
        <f t="array" ref="B733">IF(A733="","",_xlfn.CHOOSECOLS('Prematch Backend 2A'!733:733,_xlfn.MAKEARRAY(1,A733-2,_xlfn.LAMBDA(_xlpm.r,_xlpm.c,_xlpm.c))))</f>
        <v/>
      </c>
    </row>
    <row r="734" spans="2:2" x14ac:dyDescent="0.2">
      <c r="B734" t="str" cm="1">
        <f t="array" ref="B734">IF(A734="","",_xlfn.CHOOSECOLS('Prematch Backend 2A'!734:734,_xlfn.MAKEARRAY(1,A734-2,_xlfn.LAMBDA(_xlpm.r,_xlpm.c,_xlpm.c))))</f>
        <v/>
      </c>
    </row>
    <row r="735" spans="2:2" x14ac:dyDescent="0.2">
      <c r="B735" t="str" cm="1">
        <f t="array" ref="B735">IF(A735="","",_xlfn.CHOOSECOLS('Prematch Backend 2A'!735:735,_xlfn.MAKEARRAY(1,A735-2,_xlfn.LAMBDA(_xlpm.r,_xlpm.c,_xlpm.c))))</f>
        <v/>
      </c>
    </row>
    <row r="736" spans="2:2" x14ac:dyDescent="0.2">
      <c r="B736" t="str" cm="1">
        <f t="array" ref="B736">IF(A736="","",_xlfn.CHOOSECOLS('Prematch Backend 2A'!736:736,_xlfn.MAKEARRAY(1,A736-2,_xlfn.LAMBDA(_xlpm.r,_xlpm.c,_xlpm.c))))</f>
        <v/>
      </c>
    </row>
    <row r="737" spans="2:2" x14ac:dyDescent="0.2">
      <c r="B737" t="str" cm="1">
        <f t="array" ref="B737">IF(A737="","",_xlfn.CHOOSECOLS('Prematch Backend 2A'!737:737,_xlfn.MAKEARRAY(1,A737-2,_xlfn.LAMBDA(_xlpm.r,_xlpm.c,_xlpm.c))))</f>
        <v/>
      </c>
    </row>
    <row r="738" spans="2:2" x14ac:dyDescent="0.2">
      <c r="B738" t="str" cm="1">
        <f t="array" ref="B738">IF(A738="","",_xlfn.CHOOSECOLS('Prematch Backend 2A'!738:738,_xlfn.MAKEARRAY(1,A738-2,_xlfn.LAMBDA(_xlpm.r,_xlpm.c,_xlpm.c))))</f>
        <v/>
      </c>
    </row>
    <row r="739" spans="2:2" x14ac:dyDescent="0.2">
      <c r="B739" t="str" cm="1">
        <f t="array" ref="B739">IF(A739="","",_xlfn.CHOOSECOLS('Prematch Backend 2A'!739:739,_xlfn.MAKEARRAY(1,A739-2,_xlfn.LAMBDA(_xlpm.r,_xlpm.c,_xlpm.c))))</f>
        <v/>
      </c>
    </row>
    <row r="740" spans="2:2" x14ac:dyDescent="0.2">
      <c r="B740" t="str" cm="1">
        <f t="array" ref="B740">IF(A740="","",_xlfn.CHOOSECOLS('Prematch Backend 2A'!740:740,_xlfn.MAKEARRAY(1,A740-2,_xlfn.LAMBDA(_xlpm.r,_xlpm.c,_xlpm.c))))</f>
        <v/>
      </c>
    </row>
    <row r="741" spans="2:2" x14ac:dyDescent="0.2">
      <c r="B741" t="str" cm="1">
        <f t="array" ref="B741">IF(A741="","",_xlfn.CHOOSECOLS('Prematch Backend 2A'!741:741,_xlfn.MAKEARRAY(1,A741-2,_xlfn.LAMBDA(_xlpm.r,_xlpm.c,_xlpm.c))))</f>
        <v/>
      </c>
    </row>
    <row r="742" spans="2:2" x14ac:dyDescent="0.2">
      <c r="B742" t="str" cm="1">
        <f t="array" ref="B742">IF(A742="","",_xlfn.CHOOSECOLS('Prematch Backend 2A'!742:742,_xlfn.MAKEARRAY(1,A742-2,_xlfn.LAMBDA(_xlpm.r,_xlpm.c,_xlpm.c))))</f>
        <v/>
      </c>
    </row>
    <row r="743" spans="2:2" x14ac:dyDescent="0.2">
      <c r="B743" t="str" cm="1">
        <f t="array" ref="B743">IF(A743="","",_xlfn.CHOOSECOLS('Prematch Backend 2A'!743:743,_xlfn.MAKEARRAY(1,A743-2,_xlfn.LAMBDA(_xlpm.r,_xlpm.c,_xlpm.c))))</f>
        <v/>
      </c>
    </row>
    <row r="744" spans="2:2" x14ac:dyDescent="0.2">
      <c r="B744" t="str" cm="1">
        <f t="array" ref="B744">IF(A744="","",_xlfn.CHOOSECOLS('Prematch Backend 2A'!744:744,_xlfn.MAKEARRAY(1,A744-2,_xlfn.LAMBDA(_xlpm.r,_xlpm.c,_xlpm.c))))</f>
        <v/>
      </c>
    </row>
    <row r="745" spans="2:2" x14ac:dyDescent="0.2">
      <c r="B745" t="str" cm="1">
        <f t="array" ref="B745">IF(A745="","",_xlfn.CHOOSECOLS('Prematch Backend 2A'!745:745,_xlfn.MAKEARRAY(1,A745-2,_xlfn.LAMBDA(_xlpm.r,_xlpm.c,_xlpm.c))))</f>
        <v/>
      </c>
    </row>
    <row r="746" spans="2:2" x14ac:dyDescent="0.2">
      <c r="B746" t="str" cm="1">
        <f t="array" ref="B746">IF(A746="","",_xlfn.CHOOSECOLS('Prematch Backend 2A'!746:746,_xlfn.MAKEARRAY(1,A746-2,_xlfn.LAMBDA(_xlpm.r,_xlpm.c,_xlpm.c))))</f>
        <v/>
      </c>
    </row>
    <row r="747" spans="2:2" x14ac:dyDescent="0.2">
      <c r="B747" t="str" cm="1">
        <f t="array" ref="B747">IF(A747="","",_xlfn.CHOOSECOLS('Prematch Backend 2A'!747:747,_xlfn.MAKEARRAY(1,A747-2,_xlfn.LAMBDA(_xlpm.r,_xlpm.c,_xlpm.c))))</f>
        <v/>
      </c>
    </row>
    <row r="748" spans="2:2" x14ac:dyDescent="0.2">
      <c r="B748" t="str" cm="1">
        <f t="array" ref="B748">IF(A748="","",_xlfn.CHOOSECOLS('Prematch Backend 2A'!748:748,_xlfn.MAKEARRAY(1,A748-2,_xlfn.LAMBDA(_xlpm.r,_xlpm.c,_xlpm.c))))</f>
        <v/>
      </c>
    </row>
    <row r="749" spans="2:2" x14ac:dyDescent="0.2">
      <c r="B749" t="str" cm="1">
        <f t="array" ref="B749">IF(A749="","",_xlfn.CHOOSECOLS('Prematch Backend 2A'!749:749,_xlfn.MAKEARRAY(1,A749-2,_xlfn.LAMBDA(_xlpm.r,_xlpm.c,_xlpm.c))))</f>
        <v/>
      </c>
    </row>
    <row r="750" spans="2:2" x14ac:dyDescent="0.2">
      <c r="B750" t="str" cm="1">
        <f t="array" ref="B750">IF(A750="","",_xlfn.CHOOSECOLS('Prematch Backend 2A'!750:750,_xlfn.MAKEARRAY(1,A750-2,_xlfn.LAMBDA(_xlpm.r,_xlpm.c,_xlpm.c))))</f>
        <v/>
      </c>
    </row>
    <row r="751" spans="2:2" x14ac:dyDescent="0.2">
      <c r="B751" t="str" cm="1">
        <f t="array" ref="B751">IF(A751="","",_xlfn.CHOOSECOLS('Prematch Backend 2A'!751:751,_xlfn.MAKEARRAY(1,A751-2,_xlfn.LAMBDA(_xlpm.r,_xlpm.c,_xlpm.c))))</f>
        <v/>
      </c>
    </row>
    <row r="752" spans="2:2" x14ac:dyDescent="0.2">
      <c r="B752" t="str" cm="1">
        <f t="array" ref="B752">IF(A752="","",_xlfn.CHOOSECOLS('Prematch Backend 2A'!752:752,_xlfn.MAKEARRAY(1,A752-2,_xlfn.LAMBDA(_xlpm.r,_xlpm.c,_xlpm.c))))</f>
        <v/>
      </c>
    </row>
    <row r="753" spans="2:2" x14ac:dyDescent="0.2">
      <c r="B753" t="str" cm="1">
        <f t="array" ref="B753">IF(A753="","",_xlfn.CHOOSECOLS('Prematch Backend 2A'!753:753,_xlfn.MAKEARRAY(1,A753-2,_xlfn.LAMBDA(_xlpm.r,_xlpm.c,_xlpm.c))))</f>
        <v/>
      </c>
    </row>
    <row r="754" spans="2:2" x14ac:dyDescent="0.2">
      <c r="B754" t="str" cm="1">
        <f t="array" ref="B754">IF(A754="","",_xlfn.CHOOSECOLS('Prematch Backend 2A'!754:754,_xlfn.MAKEARRAY(1,A754-2,_xlfn.LAMBDA(_xlpm.r,_xlpm.c,_xlpm.c))))</f>
        <v/>
      </c>
    </row>
    <row r="755" spans="2:2" x14ac:dyDescent="0.2">
      <c r="B755" t="str" cm="1">
        <f t="array" ref="B755">IF(A755="","",_xlfn.CHOOSECOLS('Prematch Backend 2A'!755:755,_xlfn.MAKEARRAY(1,A755-2,_xlfn.LAMBDA(_xlpm.r,_xlpm.c,_xlpm.c))))</f>
        <v/>
      </c>
    </row>
    <row r="756" spans="2:2" x14ac:dyDescent="0.2">
      <c r="B756" t="str" cm="1">
        <f t="array" ref="B756">IF(A756="","",_xlfn.CHOOSECOLS('Prematch Backend 2A'!756:756,_xlfn.MAKEARRAY(1,A756-2,_xlfn.LAMBDA(_xlpm.r,_xlpm.c,_xlpm.c))))</f>
        <v/>
      </c>
    </row>
    <row r="757" spans="2:2" x14ac:dyDescent="0.2">
      <c r="B757" t="str" cm="1">
        <f t="array" ref="B757">IF(A757="","",_xlfn.CHOOSECOLS('Prematch Backend 2A'!757:757,_xlfn.MAKEARRAY(1,A757-2,_xlfn.LAMBDA(_xlpm.r,_xlpm.c,_xlpm.c))))</f>
        <v/>
      </c>
    </row>
    <row r="758" spans="2:2" x14ac:dyDescent="0.2">
      <c r="B758" t="str" cm="1">
        <f t="array" ref="B758">IF(A758="","",_xlfn.CHOOSECOLS('Prematch Backend 2A'!758:758,_xlfn.MAKEARRAY(1,A758-2,_xlfn.LAMBDA(_xlpm.r,_xlpm.c,_xlpm.c))))</f>
        <v/>
      </c>
    </row>
    <row r="759" spans="2:2" x14ac:dyDescent="0.2">
      <c r="B759" t="str" cm="1">
        <f t="array" ref="B759">IF(A759="","",_xlfn.CHOOSECOLS('Prematch Backend 2A'!759:759,_xlfn.MAKEARRAY(1,A759-2,_xlfn.LAMBDA(_xlpm.r,_xlpm.c,_xlpm.c))))</f>
        <v/>
      </c>
    </row>
    <row r="760" spans="2:2" x14ac:dyDescent="0.2">
      <c r="B760" t="str" cm="1">
        <f t="array" ref="B760">IF(A760="","",_xlfn.CHOOSECOLS('Prematch Backend 2A'!760:760,_xlfn.MAKEARRAY(1,A760-2,_xlfn.LAMBDA(_xlpm.r,_xlpm.c,_xlpm.c))))</f>
        <v/>
      </c>
    </row>
    <row r="761" spans="2:2" x14ac:dyDescent="0.2">
      <c r="B761" t="str" cm="1">
        <f t="array" ref="B761">IF(A761="","",_xlfn.CHOOSECOLS('Prematch Backend 2A'!761:761,_xlfn.MAKEARRAY(1,A761-2,_xlfn.LAMBDA(_xlpm.r,_xlpm.c,_xlpm.c))))</f>
        <v/>
      </c>
    </row>
    <row r="762" spans="2:2" x14ac:dyDescent="0.2">
      <c r="B762" t="str" cm="1">
        <f t="array" ref="B762">IF(A762="","",_xlfn.CHOOSECOLS('Prematch Backend 2A'!762:762,_xlfn.MAKEARRAY(1,A762-2,_xlfn.LAMBDA(_xlpm.r,_xlpm.c,_xlpm.c))))</f>
        <v/>
      </c>
    </row>
    <row r="763" spans="2:2" x14ac:dyDescent="0.2">
      <c r="B763" t="str" cm="1">
        <f t="array" ref="B763">IF(A763="","",_xlfn.CHOOSECOLS('Prematch Backend 2A'!763:763,_xlfn.MAKEARRAY(1,A763-2,_xlfn.LAMBDA(_xlpm.r,_xlpm.c,_xlpm.c))))</f>
        <v/>
      </c>
    </row>
    <row r="764" spans="2:2" x14ac:dyDescent="0.2">
      <c r="B764" t="str" cm="1">
        <f t="array" ref="B764">IF(A764="","",_xlfn.CHOOSECOLS('Prematch Backend 2A'!764:764,_xlfn.MAKEARRAY(1,A764-2,_xlfn.LAMBDA(_xlpm.r,_xlpm.c,_xlpm.c))))</f>
        <v/>
      </c>
    </row>
    <row r="765" spans="2:2" x14ac:dyDescent="0.2">
      <c r="B765" t="str" cm="1">
        <f t="array" ref="B765">IF(A765="","",_xlfn.CHOOSECOLS('Prematch Backend 2A'!765:765,_xlfn.MAKEARRAY(1,A765-2,_xlfn.LAMBDA(_xlpm.r,_xlpm.c,_xlpm.c))))</f>
        <v/>
      </c>
    </row>
    <row r="766" spans="2:2" x14ac:dyDescent="0.2">
      <c r="B766" t="str" cm="1">
        <f t="array" ref="B766">IF(A766="","",_xlfn.CHOOSECOLS('Prematch Backend 2A'!766:766,_xlfn.MAKEARRAY(1,A766-2,_xlfn.LAMBDA(_xlpm.r,_xlpm.c,_xlpm.c))))</f>
        <v/>
      </c>
    </row>
    <row r="767" spans="2:2" x14ac:dyDescent="0.2">
      <c r="B767" t="str" cm="1">
        <f t="array" ref="B767">IF(A767="","",_xlfn.CHOOSECOLS('Prematch Backend 2A'!767:767,_xlfn.MAKEARRAY(1,A767-2,_xlfn.LAMBDA(_xlpm.r,_xlpm.c,_xlpm.c))))</f>
        <v/>
      </c>
    </row>
    <row r="768" spans="2:2" x14ac:dyDescent="0.2">
      <c r="B768" t="str" cm="1">
        <f t="array" ref="B768">IF(A768="","",_xlfn.CHOOSECOLS('Prematch Backend 2A'!768:768,_xlfn.MAKEARRAY(1,A768-2,_xlfn.LAMBDA(_xlpm.r,_xlpm.c,_xlpm.c))))</f>
        <v/>
      </c>
    </row>
    <row r="769" spans="2:2" x14ac:dyDescent="0.2">
      <c r="B769" t="str" cm="1">
        <f t="array" ref="B769">IF(A769="","",_xlfn.CHOOSECOLS('Prematch Backend 2A'!769:769,_xlfn.MAKEARRAY(1,A769-2,_xlfn.LAMBDA(_xlpm.r,_xlpm.c,_xlpm.c))))</f>
        <v/>
      </c>
    </row>
    <row r="770" spans="2:2" x14ac:dyDescent="0.2">
      <c r="B770" t="str" cm="1">
        <f t="array" ref="B770">IF(A770="","",_xlfn.CHOOSECOLS('Prematch Backend 2A'!770:770,_xlfn.MAKEARRAY(1,A770-2,_xlfn.LAMBDA(_xlpm.r,_xlpm.c,_xlpm.c))))</f>
        <v/>
      </c>
    </row>
    <row r="771" spans="2:2" x14ac:dyDescent="0.2">
      <c r="B771" t="str" cm="1">
        <f t="array" ref="B771">IF(A771="","",_xlfn.CHOOSECOLS('Prematch Backend 2A'!771:771,_xlfn.MAKEARRAY(1,A771-2,_xlfn.LAMBDA(_xlpm.r,_xlpm.c,_xlpm.c))))</f>
        <v/>
      </c>
    </row>
    <row r="772" spans="2:2" x14ac:dyDescent="0.2">
      <c r="B772" t="str" cm="1">
        <f t="array" ref="B772">IF(A772="","",_xlfn.CHOOSECOLS('Prematch Backend 2A'!772:772,_xlfn.MAKEARRAY(1,A772-2,_xlfn.LAMBDA(_xlpm.r,_xlpm.c,_xlpm.c))))</f>
        <v/>
      </c>
    </row>
    <row r="773" spans="2:2" x14ac:dyDescent="0.2">
      <c r="B773" t="str" cm="1">
        <f t="array" ref="B773">IF(A773="","",_xlfn.CHOOSECOLS('Prematch Backend 2A'!773:773,_xlfn.MAKEARRAY(1,A773-2,_xlfn.LAMBDA(_xlpm.r,_xlpm.c,_xlpm.c))))</f>
        <v/>
      </c>
    </row>
    <row r="774" spans="2:2" x14ac:dyDescent="0.2">
      <c r="B774" t="str" cm="1">
        <f t="array" ref="B774">IF(A774="","",_xlfn.CHOOSECOLS('Prematch Backend 2A'!774:774,_xlfn.MAKEARRAY(1,A774-2,_xlfn.LAMBDA(_xlpm.r,_xlpm.c,_xlpm.c))))</f>
        <v/>
      </c>
    </row>
    <row r="775" spans="2:2" x14ac:dyDescent="0.2">
      <c r="B775" t="str" cm="1">
        <f t="array" ref="B775">IF(A775="","",_xlfn.CHOOSECOLS('Prematch Backend 2A'!775:775,_xlfn.MAKEARRAY(1,A775-2,_xlfn.LAMBDA(_xlpm.r,_xlpm.c,_xlpm.c))))</f>
        <v/>
      </c>
    </row>
    <row r="776" spans="2:2" x14ac:dyDescent="0.2">
      <c r="B776" t="str" cm="1">
        <f t="array" ref="B776">IF(A776="","",_xlfn.CHOOSECOLS('Prematch Backend 2A'!776:776,_xlfn.MAKEARRAY(1,A776-2,_xlfn.LAMBDA(_xlpm.r,_xlpm.c,_xlpm.c))))</f>
        <v/>
      </c>
    </row>
    <row r="777" spans="2:2" x14ac:dyDescent="0.2">
      <c r="B777" t="str" cm="1">
        <f t="array" ref="B777">IF(A777="","",_xlfn.CHOOSECOLS('Prematch Backend 2A'!777:777,_xlfn.MAKEARRAY(1,A777-2,_xlfn.LAMBDA(_xlpm.r,_xlpm.c,_xlpm.c))))</f>
        <v/>
      </c>
    </row>
    <row r="778" spans="2:2" x14ac:dyDescent="0.2">
      <c r="B778" t="str" cm="1">
        <f t="array" ref="B778">IF(A778="","",_xlfn.CHOOSECOLS('Prematch Backend 2A'!778:778,_xlfn.MAKEARRAY(1,A778-2,_xlfn.LAMBDA(_xlpm.r,_xlpm.c,_xlpm.c))))</f>
        <v/>
      </c>
    </row>
    <row r="779" spans="2:2" x14ac:dyDescent="0.2">
      <c r="B779" t="str" cm="1">
        <f t="array" ref="B779">IF(A779="","",_xlfn.CHOOSECOLS('Prematch Backend 2A'!779:779,_xlfn.MAKEARRAY(1,A779-2,_xlfn.LAMBDA(_xlpm.r,_xlpm.c,_xlpm.c))))</f>
        <v/>
      </c>
    </row>
    <row r="780" spans="2:2" x14ac:dyDescent="0.2">
      <c r="B780" t="str" cm="1">
        <f t="array" ref="B780">IF(A780="","",_xlfn.CHOOSECOLS('Prematch Backend 2A'!780:780,_xlfn.MAKEARRAY(1,A780-2,_xlfn.LAMBDA(_xlpm.r,_xlpm.c,_xlpm.c))))</f>
        <v/>
      </c>
    </row>
    <row r="781" spans="2:2" x14ac:dyDescent="0.2">
      <c r="B781" t="str" cm="1">
        <f t="array" ref="B781">IF(A781="","",_xlfn.CHOOSECOLS('Prematch Backend 2A'!781:781,_xlfn.MAKEARRAY(1,A781-2,_xlfn.LAMBDA(_xlpm.r,_xlpm.c,_xlpm.c))))</f>
        <v/>
      </c>
    </row>
    <row r="782" spans="2:2" x14ac:dyDescent="0.2">
      <c r="B782" t="str" cm="1">
        <f t="array" ref="B782">IF(A782="","",_xlfn.CHOOSECOLS('Prematch Backend 2A'!782:782,_xlfn.MAKEARRAY(1,A782-2,_xlfn.LAMBDA(_xlpm.r,_xlpm.c,_xlpm.c))))</f>
        <v/>
      </c>
    </row>
    <row r="783" spans="2:2" x14ac:dyDescent="0.2">
      <c r="B783" t="str" cm="1">
        <f t="array" ref="B783">IF(A783="","",_xlfn.CHOOSECOLS('Prematch Backend 2A'!783:783,_xlfn.MAKEARRAY(1,A783-2,_xlfn.LAMBDA(_xlpm.r,_xlpm.c,_xlpm.c))))</f>
        <v/>
      </c>
    </row>
    <row r="784" spans="2:2" x14ac:dyDescent="0.2">
      <c r="B784" t="str" cm="1">
        <f t="array" ref="B784">IF(A784="","",_xlfn.CHOOSECOLS('Prematch Backend 2A'!784:784,_xlfn.MAKEARRAY(1,A784-2,_xlfn.LAMBDA(_xlpm.r,_xlpm.c,_xlpm.c))))</f>
        <v/>
      </c>
    </row>
    <row r="785" spans="2:2" x14ac:dyDescent="0.2">
      <c r="B785" t="str" cm="1">
        <f t="array" ref="B785">IF(A785="","",_xlfn.CHOOSECOLS('Prematch Backend 2A'!785:785,_xlfn.MAKEARRAY(1,A785-2,_xlfn.LAMBDA(_xlpm.r,_xlpm.c,_xlpm.c))))</f>
        <v/>
      </c>
    </row>
    <row r="786" spans="2:2" x14ac:dyDescent="0.2">
      <c r="B786" t="str" cm="1">
        <f t="array" ref="B786">IF(A786="","",_xlfn.CHOOSECOLS('Prematch Backend 2A'!786:786,_xlfn.MAKEARRAY(1,A786-2,_xlfn.LAMBDA(_xlpm.r,_xlpm.c,_xlpm.c))))</f>
        <v/>
      </c>
    </row>
    <row r="787" spans="2:2" x14ac:dyDescent="0.2">
      <c r="B787" t="str" cm="1">
        <f t="array" ref="B787">IF(A787="","",_xlfn.CHOOSECOLS('Prematch Backend 2A'!787:787,_xlfn.MAKEARRAY(1,A787-2,_xlfn.LAMBDA(_xlpm.r,_xlpm.c,_xlpm.c))))</f>
        <v/>
      </c>
    </row>
    <row r="788" spans="2:2" x14ac:dyDescent="0.2">
      <c r="B788" t="str" cm="1">
        <f t="array" ref="B788">IF(A788="","",_xlfn.CHOOSECOLS('Prematch Backend 2A'!788:788,_xlfn.MAKEARRAY(1,A788-2,_xlfn.LAMBDA(_xlpm.r,_xlpm.c,_xlpm.c))))</f>
        <v/>
      </c>
    </row>
    <row r="789" spans="2:2" x14ac:dyDescent="0.2">
      <c r="B789" t="str" cm="1">
        <f t="array" ref="B789">IF(A789="","",_xlfn.CHOOSECOLS('Prematch Backend 2A'!789:789,_xlfn.MAKEARRAY(1,A789-2,_xlfn.LAMBDA(_xlpm.r,_xlpm.c,_xlpm.c))))</f>
        <v/>
      </c>
    </row>
    <row r="790" spans="2:2" x14ac:dyDescent="0.2">
      <c r="B790" t="str" cm="1">
        <f t="array" ref="B790">IF(A790="","",_xlfn.CHOOSECOLS('Prematch Backend 2A'!790:790,_xlfn.MAKEARRAY(1,A790-2,_xlfn.LAMBDA(_xlpm.r,_xlpm.c,_xlpm.c))))</f>
        <v/>
      </c>
    </row>
    <row r="791" spans="2:2" x14ac:dyDescent="0.2">
      <c r="B791" t="str" cm="1">
        <f t="array" ref="B791">IF(A791="","",_xlfn.CHOOSECOLS('Prematch Backend 2A'!791:791,_xlfn.MAKEARRAY(1,A791-2,_xlfn.LAMBDA(_xlpm.r,_xlpm.c,_xlpm.c))))</f>
        <v/>
      </c>
    </row>
    <row r="792" spans="2:2" x14ac:dyDescent="0.2">
      <c r="B792" t="str" cm="1">
        <f t="array" ref="B792">IF(A792="","",_xlfn.CHOOSECOLS('Prematch Backend 2A'!792:792,_xlfn.MAKEARRAY(1,A792-2,_xlfn.LAMBDA(_xlpm.r,_xlpm.c,_xlpm.c))))</f>
        <v/>
      </c>
    </row>
    <row r="793" spans="2:2" x14ac:dyDescent="0.2">
      <c r="B793" t="str" cm="1">
        <f t="array" ref="B793">IF(A793="","",_xlfn.CHOOSECOLS('Prematch Backend 2A'!793:793,_xlfn.MAKEARRAY(1,A793-2,_xlfn.LAMBDA(_xlpm.r,_xlpm.c,_xlpm.c))))</f>
        <v/>
      </c>
    </row>
    <row r="794" spans="2:2" x14ac:dyDescent="0.2">
      <c r="B794" t="str" cm="1">
        <f t="array" ref="B794">IF(A794="","",_xlfn.CHOOSECOLS('Prematch Backend 2A'!794:794,_xlfn.MAKEARRAY(1,A794-2,_xlfn.LAMBDA(_xlpm.r,_xlpm.c,_xlpm.c))))</f>
        <v/>
      </c>
    </row>
    <row r="795" spans="2:2" x14ac:dyDescent="0.2">
      <c r="B795" t="str" cm="1">
        <f t="array" ref="B795">IF(A795="","",_xlfn.CHOOSECOLS('Prematch Backend 2A'!795:795,_xlfn.MAKEARRAY(1,A795-2,_xlfn.LAMBDA(_xlpm.r,_xlpm.c,_xlpm.c))))</f>
        <v/>
      </c>
    </row>
    <row r="796" spans="2:2" x14ac:dyDescent="0.2">
      <c r="B796" t="str" cm="1">
        <f t="array" ref="B796">IF(A796="","",_xlfn.CHOOSECOLS('Prematch Backend 2A'!796:796,_xlfn.MAKEARRAY(1,A796-2,_xlfn.LAMBDA(_xlpm.r,_xlpm.c,_xlpm.c))))</f>
        <v/>
      </c>
    </row>
    <row r="797" spans="2:2" x14ac:dyDescent="0.2">
      <c r="B797" t="str" cm="1">
        <f t="array" ref="B797">IF(A797="","",_xlfn.CHOOSECOLS('Prematch Backend 2A'!797:797,_xlfn.MAKEARRAY(1,A797-2,_xlfn.LAMBDA(_xlpm.r,_xlpm.c,_xlpm.c))))</f>
        <v/>
      </c>
    </row>
    <row r="798" spans="2:2" x14ac:dyDescent="0.2">
      <c r="B798" t="str" cm="1">
        <f t="array" ref="B798">IF(A798="","",_xlfn.CHOOSECOLS('Prematch Backend 2A'!798:798,_xlfn.MAKEARRAY(1,A798-2,_xlfn.LAMBDA(_xlpm.r,_xlpm.c,_xlpm.c))))</f>
        <v/>
      </c>
    </row>
    <row r="799" spans="2:2" x14ac:dyDescent="0.2">
      <c r="B799" t="str" cm="1">
        <f t="array" ref="B799">IF(A799="","",_xlfn.CHOOSECOLS('Prematch Backend 2A'!799:799,_xlfn.MAKEARRAY(1,A799-2,_xlfn.LAMBDA(_xlpm.r,_xlpm.c,_xlpm.c))))</f>
        <v/>
      </c>
    </row>
    <row r="800" spans="2:2" x14ac:dyDescent="0.2">
      <c r="B800" t="str" cm="1">
        <f t="array" ref="B800">IF(A800="","",_xlfn.CHOOSECOLS('Prematch Backend 2A'!800:800,_xlfn.MAKEARRAY(1,A800-2,_xlfn.LAMBDA(_xlpm.r,_xlpm.c,_xlpm.c))))</f>
        <v/>
      </c>
    </row>
    <row r="801" spans="2:2" x14ac:dyDescent="0.2">
      <c r="B801" t="str" cm="1">
        <f t="array" ref="B801">IF(A801="","",_xlfn.CHOOSECOLS('Prematch Backend 2A'!801:801,_xlfn.MAKEARRAY(1,A801-2,_xlfn.LAMBDA(_xlpm.r,_xlpm.c,_xlpm.c))))</f>
        <v/>
      </c>
    </row>
    <row r="802" spans="2:2" x14ac:dyDescent="0.2">
      <c r="B802" t="str" cm="1">
        <f t="array" ref="B802">IF(A802="","",_xlfn.CHOOSECOLS('Prematch Backend 2A'!802:802,_xlfn.MAKEARRAY(1,A802-2,_xlfn.LAMBDA(_xlpm.r,_xlpm.c,_xlpm.c))))</f>
        <v/>
      </c>
    </row>
    <row r="803" spans="2:2" x14ac:dyDescent="0.2">
      <c r="B803" t="str" cm="1">
        <f t="array" ref="B803">IF(A803="","",_xlfn.CHOOSECOLS('Prematch Backend 2A'!803:803,_xlfn.MAKEARRAY(1,A803-2,_xlfn.LAMBDA(_xlpm.r,_xlpm.c,_xlpm.c))))</f>
        <v/>
      </c>
    </row>
    <row r="804" spans="2:2" x14ac:dyDescent="0.2">
      <c r="B804" t="str" cm="1">
        <f t="array" ref="B804">IF(A804="","",_xlfn.CHOOSECOLS('Prematch Backend 2A'!804:804,_xlfn.MAKEARRAY(1,A804-2,_xlfn.LAMBDA(_xlpm.r,_xlpm.c,_xlpm.c))))</f>
        <v/>
      </c>
    </row>
    <row r="805" spans="2:2" x14ac:dyDescent="0.2">
      <c r="B805" t="str" cm="1">
        <f t="array" ref="B805">IF(A805="","",_xlfn.CHOOSECOLS('Prematch Backend 2A'!805:805,_xlfn.MAKEARRAY(1,A805-2,_xlfn.LAMBDA(_xlpm.r,_xlpm.c,_xlpm.c))))</f>
        <v/>
      </c>
    </row>
    <row r="806" spans="2:2" x14ac:dyDescent="0.2">
      <c r="B806" t="str" cm="1">
        <f t="array" ref="B806">IF(A806="","",_xlfn.CHOOSECOLS('Prematch Backend 2A'!806:806,_xlfn.MAKEARRAY(1,A806-2,_xlfn.LAMBDA(_xlpm.r,_xlpm.c,_xlpm.c))))</f>
        <v/>
      </c>
    </row>
    <row r="807" spans="2:2" x14ac:dyDescent="0.2">
      <c r="B807" t="str" cm="1">
        <f t="array" ref="B807">IF(A807="","",_xlfn.CHOOSECOLS('Prematch Backend 2A'!807:807,_xlfn.MAKEARRAY(1,A807-2,_xlfn.LAMBDA(_xlpm.r,_xlpm.c,_xlpm.c))))</f>
        <v/>
      </c>
    </row>
    <row r="808" spans="2:2" x14ac:dyDescent="0.2">
      <c r="B808" t="str" cm="1">
        <f t="array" ref="B808">IF(A808="","",_xlfn.CHOOSECOLS('Prematch Backend 2A'!808:808,_xlfn.MAKEARRAY(1,A808-2,_xlfn.LAMBDA(_xlpm.r,_xlpm.c,_xlpm.c))))</f>
        <v/>
      </c>
    </row>
    <row r="809" spans="2:2" x14ac:dyDescent="0.2">
      <c r="B809" t="str" cm="1">
        <f t="array" ref="B809">IF(A809="","",_xlfn.CHOOSECOLS('Prematch Backend 2A'!809:809,_xlfn.MAKEARRAY(1,A809-2,_xlfn.LAMBDA(_xlpm.r,_xlpm.c,_xlpm.c))))</f>
        <v/>
      </c>
    </row>
    <row r="810" spans="2:2" x14ac:dyDescent="0.2">
      <c r="B810" t="str" cm="1">
        <f t="array" ref="B810">IF(A810="","",_xlfn.CHOOSECOLS('Prematch Backend 2A'!810:810,_xlfn.MAKEARRAY(1,A810-2,_xlfn.LAMBDA(_xlpm.r,_xlpm.c,_xlpm.c))))</f>
        <v/>
      </c>
    </row>
    <row r="811" spans="2:2" x14ac:dyDescent="0.2">
      <c r="B811" t="str" cm="1">
        <f t="array" ref="B811">IF(A811="","",_xlfn.CHOOSECOLS('Prematch Backend 2A'!811:811,_xlfn.MAKEARRAY(1,A811-2,_xlfn.LAMBDA(_xlpm.r,_xlpm.c,_xlpm.c))))</f>
        <v/>
      </c>
    </row>
    <row r="812" spans="2:2" x14ac:dyDescent="0.2">
      <c r="B812" t="str" cm="1">
        <f t="array" ref="B812">IF(A812="","",_xlfn.CHOOSECOLS('Prematch Backend 2A'!812:812,_xlfn.MAKEARRAY(1,A812-2,_xlfn.LAMBDA(_xlpm.r,_xlpm.c,_xlpm.c))))</f>
        <v/>
      </c>
    </row>
    <row r="813" spans="2:2" x14ac:dyDescent="0.2">
      <c r="B813" t="str" cm="1">
        <f t="array" ref="B813">IF(A813="","",_xlfn.CHOOSECOLS('Prematch Backend 2A'!813:813,_xlfn.MAKEARRAY(1,A813-2,_xlfn.LAMBDA(_xlpm.r,_xlpm.c,_xlpm.c))))</f>
        <v/>
      </c>
    </row>
    <row r="814" spans="2:2" x14ac:dyDescent="0.2">
      <c r="B814" t="str" cm="1">
        <f t="array" ref="B814">IF(A814="","",_xlfn.CHOOSECOLS('Prematch Backend 2A'!814:814,_xlfn.MAKEARRAY(1,A814-2,_xlfn.LAMBDA(_xlpm.r,_xlpm.c,_xlpm.c))))</f>
        <v/>
      </c>
    </row>
    <row r="815" spans="2:2" x14ac:dyDescent="0.2">
      <c r="B815" t="str" cm="1">
        <f t="array" ref="B815">IF(A815="","",_xlfn.CHOOSECOLS('Prematch Backend 2A'!815:815,_xlfn.MAKEARRAY(1,A815-2,_xlfn.LAMBDA(_xlpm.r,_xlpm.c,_xlpm.c))))</f>
        <v/>
      </c>
    </row>
    <row r="816" spans="2:2" x14ac:dyDescent="0.2">
      <c r="B816" t="str" cm="1">
        <f t="array" ref="B816">IF(A816="","",_xlfn.CHOOSECOLS('Prematch Backend 2A'!816:816,_xlfn.MAKEARRAY(1,A816-2,_xlfn.LAMBDA(_xlpm.r,_xlpm.c,_xlpm.c))))</f>
        <v/>
      </c>
    </row>
    <row r="817" spans="2:2" x14ac:dyDescent="0.2">
      <c r="B817" t="str" cm="1">
        <f t="array" ref="B817">IF(A817="","",_xlfn.CHOOSECOLS('Prematch Backend 2A'!817:817,_xlfn.MAKEARRAY(1,A817-2,_xlfn.LAMBDA(_xlpm.r,_xlpm.c,_xlpm.c))))</f>
        <v/>
      </c>
    </row>
    <row r="818" spans="2:2" x14ac:dyDescent="0.2">
      <c r="B818" t="str" cm="1">
        <f t="array" ref="B818">IF(A818="","",_xlfn.CHOOSECOLS('Prematch Backend 2A'!818:818,_xlfn.MAKEARRAY(1,A818-2,_xlfn.LAMBDA(_xlpm.r,_xlpm.c,_xlpm.c))))</f>
        <v/>
      </c>
    </row>
    <row r="819" spans="2:2" x14ac:dyDescent="0.2">
      <c r="B819" t="str" cm="1">
        <f t="array" ref="B819">IF(A819="","",_xlfn.CHOOSECOLS('Prematch Backend 2A'!819:819,_xlfn.MAKEARRAY(1,A819-2,_xlfn.LAMBDA(_xlpm.r,_xlpm.c,_xlpm.c))))</f>
        <v/>
      </c>
    </row>
    <row r="820" spans="2:2" x14ac:dyDescent="0.2">
      <c r="B820" t="str" cm="1">
        <f t="array" ref="B820">IF(A820="","",_xlfn.CHOOSECOLS('Prematch Backend 2A'!820:820,_xlfn.MAKEARRAY(1,A820-2,_xlfn.LAMBDA(_xlpm.r,_xlpm.c,_xlpm.c))))</f>
        <v/>
      </c>
    </row>
    <row r="821" spans="2:2" x14ac:dyDescent="0.2">
      <c r="B821" t="str" cm="1">
        <f t="array" ref="B821">IF(A821="","",_xlfn.CHOOSECOLS('Prematch Backend 2A'!821:821,_xlfn.MAKEARRAY(1,A821-2,_xlfn.LAMBDA(_xlpm.r,_xlpm.c,_xlpm.c))))</f>
        <v/>
      </c>
    </row>
    <row r="822" spans="2:2" x14ac:dyDescent="0.2">
      <c r="B822" t="str" cm="1">
        <f t="array" ref="B822">IF(A822="","",_xlfn.CHOOSECOLS('Prematch Backend 2A'!822:822,_xlfn.MAKEARRAY(1,A822-2,_xlfn.LAMBDA(_xlpm.r,_xlpm.c,_xlpm.c))))</f>
        <v/>
      </c>
    </row>
    <row r="823" spans="2:2" x14ac:dyDescent="0.2">
      <c r="B823" t="str" cm="1">
        <f t="array" ref="B823">IF(A823="","",_xlfn.CHOOSECOLS('Prematch Backend 2A'!823:823,_xlfn.MAKEARRAY(1,A823-2,_xlfn.LAMBDA(_xlpm.r,_xlpm.c,_xlpm.c))))</f>
        <v/>
      </c>
    </row>
    <row r="824" spans="2:2" x14ac:dyDescent="0.2">
      <c r="B824" t="str" cm="1">
        <f t="array" ref="B824">IF(A824="","",_xlfn.CHOOSECOLS('Prematch Backend 2A'!824:824,_xlfn.MAKEARRAY(1,A824-2,_xlfn.LAMBDA(_xlpm.r,_xlpm.c,_xlpm.c))))</f>
        <v/>
      </c>
    </row>
    <row r="825" spans="2:2" x14ac:dyDescent="0.2">
      <c r="B825" t="str" cm="1">
        <f t="array" ref="B825">IF(A825="","",_xlfn.CHOOSECOLS('Prematch Backend 2A'!825:825,_xlfn.MAKEARRAY(1,A825-2,_xlfn.LAMBDA(_xlpm.r,_xlpm.c,_xlpm.c))))</f>
        <v/>
      </c>
    </row>
    <row r="826" spans="2:2" x14ac:dyDescent="0.2">
      <c r="B826" t="str" cm="1">
        <f t="array" ref="B826">IF(A826="","",_xlfn.CHOOSECOLS('Prematch Backend 2A'!826:826,_xlfn.MAKEARRAY(1,A826-2,_xlfn.LAMBDA(_xlpm.r,_xlpm.c,_xlpm.c))))</f>
        <v/>
      </c>
    </row>
    <row r="827" spans="2:2" x14ac:dyDescent="0.2">
      <c r="B827" t="str" cm="1">
        <f t="array" ref="B827">IF(A827="","",_xlfn.CHOOSECOLS('Prematch Backend 2A'!827:827,_xlfn.MAKEARRAY(1,A827-2,_xlfn.LAMBDA(_xlpm.r,_xlpm.c,_xlpm.c))))</f>
        <v/>
      </c>
    </row>
    <row r="828" spans="2:2" x14ac:dyDescent="0.2">
      <c r="B828" t="str" cm="1">
        <f t="array" ref="B828">IF(A828="","",_xlfn.CHOOSECOLS('Prematch Backend 2A'!828:828,_xlfn.MAKEARRAY(1,A828-2,_xlfn.LAMBDA(_xlpm.r,_xlpm.c,_xlpm.c))))</f>
        <v/>
      </c>
    </row>
    <row r="829" spans="2:2" x14ac:dyDescent="0.2">
      <c r="B829" t="str" cm="1">
        <f t="array" ref="B829">IF(A829="","",_xlfn.CHOOSECOLS('Prematch Backend 2A'!829:829,_xlfn.MAKEARRAY(1,A829-2,_xlfn.LAMBDA(_xlpm.r,_xlpm.c,_xlpm.c))))</f>
        <v/>
      </c>
    </row>
    <row r="830" spans="2:2" x14ac:dyDescent="0.2">
      <c r="B830" t="str" cm="1">
        <f t="array" ref="B830">IF(A830="","",_xlfn.CHOOSECOLS('Prematch Backend 2A'!830:830,_xlfn.MAKEARRAY(1,A830-2,_xlfn.LAMBDA(_xlpm.r,_xlpm.c,_xlpm.c))))</f>
        <v/>
      </c>
    </row>
    <row r="831" spans="2:2" x14ac:dyDescent="0.2">
      <c r="B831" t="str" cm="1">
        <f t="array" ref="B831">IF(A831="","",_xlfn.CHOOSECOLS('Prematch Backend 2A'!831:831,_xlfn.MAKEARRAY(1,A831-2,_xlfn.LAMBDA(_xlpm.r,_xlpm.c,_xlpm.c))))</f>
        <v/>
      </c>
    </row>
    <row r="832" spans="2:2" x14ac:dyDescent="0.2">
      <c r="B832" t="str" cm="1">
        <f t="array" ref="B832">IF(A832="","",_xlfn.CHOOSECOLS('Prematch Backend 2A'!832:832,_xlfn.MAKEARRAY(1,A832-2,_xlfn.LAMBDA(_xlpm.r,_xlpm.c,_xlpm.c))))</f>
        <v/>
      </c>
    </row>
    <row r="833" spans="2:2" x14ac:dyDescent="0.2">
      <c r="B833" t="str" cm="1">
        <f t="array" ref="B833">IF(A833="","",_xlfn.CHOOSECOLS('Prematch Backend 2A'!833:833,_xlfn.MAKEARRAY(1,A833-2,_xlfn.LAMBDA(_xlpm.r,_xlpm.c,_xlpm.c))))</f>
        <v/>
      </c>
    </row>
    <row r="834" spans="2:2" x14ac:dyDescent="0.2">
      <c r="B834" t="str" cm="1">
        <f t="array" ref="B834">IF(A834="","",_xlfn.CHOOSECOLS('Prematch Backend 2A'!834:834,_xlfn.MAKEARRAY(1,A834-2,_xlfn.LAMBDA(_xlpm.r,_xlpm.c,_xlpm.c))))</f>
        <v/>
      </c>
    </row>
    <row r="835" spans="2:2" x14ac:dyDescent="0.2">
      <c r="B835" t="str" cm="1">
        <f t="array" ref="B835">IF(A835="","",_xlfn.CHOOSECOLS('Prematch Backend 2A'!835:835,_xlfn.MAKEARRAY(1,A835-2,_xlfn.LAMBDA(_xlpm.r,_xlpm.c,_xlpm.c))))</f>
        <v/>
      </c>
    </row>
    <row r="836" spans="2:2" x14ac:dyDescent="0.2">
      <c r="B836" t="str" cm="1">
        <f t="array" ref="B836">IF(A836="","",_xlfn.CHOOSECOLS('Prematch Backend 2A'!836:836,_xlfn.MAKEARRAY(1,A836-2,_xlfn.LAMBDA(_xlpm.r,_xlpm.c,_xlpm.c))))</f>
        <v/>
      </c>
    </row>
    <row r="837" spans="2:2" x14ac:dyDescent="0.2">
      <c r="B837" t="str" cm="1">
        <f t="array" ref="B837">IF(A837="","",_xlfn.CHOOSECOLS('Prematch Backend 2A'!837:837,_xlfn.MAKEARRAY(1,A837-2,_xlfn.LAMBDA(_xlpm.r,_xlpm.c,_xlpm.c))))</f>
        <v/>
      </c>
    </row>
    <row r="838" spans="2:2" x14ac:dyDescent="0.2">
      <c r="B838" t="str" cm="1">
        <f t="array" ref="B838">IF(A838="","",_xlfn.CHOOSECOLS('Prematch Backend 2A'!838:838,_xlfn.MAKEARRAY(1,A838-2,_xlfn.LAMBDA(_xlpm.r,_xlpm.c,_xlpm.c))))</f>
        <v/>
      </c>
    </row>
    <row r="839" spans="2:2" x14ac:dyDescent="0.2">
      <c r="B839" t="str" cm="1">
        <f t="array" ref="B839">IF(A839="","",_xlfn.CHOOSECOLS('Prematch Backend 2A'!839:839,_xlfn.MAKEARRAY(1,A839-2,_xlfn.LAMBDA(_xlpm.r,_xlpm.c,_xlpm.c))))</f>
        <v/>
      </c>
    </row>
    <row r="840" spans="2:2" x14ac:dyDescent="0.2">
      <c r="B840" t="str" cm="1">
        <f t="array" ref="B840">IF(A840="","",_xlfn.CHOOSECOLS('Prematch Backend 2A'!840:840,_xlfn.MAKEARRAY(1,A840-2,_xlfn.LAMBDA(_xlpm.r,_xlpm.c,_xlpm.c))))</f>
        <v/>
      </c>
    </row>
    <row r="841" spans="2:2" x14ac:dyDescent="0.2">
      <c r="B841" t="str" cm="1">
        <f t="array" ref="B841">IF(A841="","",_xlfn.CHOOSECOLS('Prematch Backend 2A'!841:841,_xlfn.MAKEARRAY(1,A841-2,_xlfn.LAMBDA(_xlpm.r,_xlpm.c,_xlpm.c))))</f>
        <v/>
      </c>
    </row>
    <row r="842" spans="2:2" x14ac:dyDescent="0.2">
      <c r="B842" t="str" cm="1">
        <f t="array" ref="B842">IF(A842="","",_xlfn.CHOOSECOLS('Prematch Backend 2A'!842:842,_xlfn.MAKEARRAY(1,A842-2,_xlfn.LAMBDA(_xlpm.r,_xlpm.c,_xlpm.c))))</f>
        <v/>
      </c>
    </row>
    <row r="843" spans="2:2" x14ac:dyDescent="0.2">
      <c r="B843" t="str" cm="1">
        <f t="array" ref="B843">IF(A843="","",_xlfn.CHOOSECOLS('Prematch Backend 2A'!843:843,_xlfn.MAKEARRAY(1,A843-2,_xlfn.LAMBDA(_xlpm.r,_xlpm.c,_xlpm.c))))</f>
        <v/>
      </c>
    </row>
    <row r="844" spans="2:2" x14ac:dyDescent="0.2">
      <c r="B844" t="str" cm="1">
        <f t="array" ref="B844">IF(A844="","",_xlfn.CHOOSECOLS('Prematch Backend 2A'!844:844,_xlfn.MAKEARRAY(1,A844-2,_xlfn.LAMBDA(_xlpm.r,_xlpm.c,_xlpm.c))))</f>
        <v/>
      </c>
    </row>
    <row r="845" spans="2:2" x14ac:dyDescent="0.2">
      <c r="B845" t="str" cm="1">
        <f t="array" ref="B845">IF(A845="","",_xlfn.CHOOSECOLS('Prematch Backend 2A'!845:845,_xlfn.MAKEARRAY(1,A845-2,_xlfn.LAMBDA(_xlpm.r,_xlpm.c,_xlpm.c))))</f>
        <v/>
      </c>
    </row>
    <row r="846" spans="2:2" x14ac:dyDescent="0.2">
      <c r="B846" t="str" cm="1">
        <f t="array" ref="B846">IF(A846="","",_xlfn.CHOOSECOLS('Prematch Backend 2A'!846:846,_xlfn.MAKEARRAY(1,A846-2,_xlfn.LAMBDA(_xlpm.r,_xlpm.c,_xlpm.c))))</f>
        <v/>
      </c>
    </row>
    <row r="847" spans="2:2" x14ac:dyDescent="0.2">
      <c r="B847" t="str" cm="1">
        <f t="array" ref="B847">IF(A847="","",_xlfn.CHOOSECOLS('Prematch Backend 2A'!847:847,_xlfn.MAKEARRAY(1,A847-2,_xlfn.LAMBDA(_xlpm.r,_xlpm.c,_xlpm.c))))</f>
        <v/>
      </c>
    </row>
    <row r="848" spans="2:2" x14ac:dyDescent="0.2">
      <c r="B848" t="str" cm="1">
        <f t="array" ref="B848">IF(A848="","",_xlfn.CHOOSECOLS('Prematch Backend 2A'!848:848,_xlfn.MAKEARRAY(1,A848-2,_xlfn.LAMBDA(_xlpm.r,_xlpm.c,_xlpm.c))))</f>
        <v/>
      </c>
    </row>
    <row r="849" spans="2:2" x14ac:dyDescent="0.2">
      <c r="B849" t="str" cm="1">
        <f t="array" ref="B849">IF(A849="","",_xlfn.CHOOSECOLS('Prematch Backend 2A'!849:849,_xlfn.MAKEARRAY(1,A849-2,_xlfn.LAMBDA(_xlpm.r,_xlpm.c,_xlpm.c))))</f>
        <v/>
      </c>
    </row>
    <row r="850" spans="2:2" x14ac:dyDescent="0.2">
      <c r="B850" t="str" cm="1">
        <f t="array" ref="B850">IF(A850="","",_xlfn.CHOOSECOLS('Prematch Backend 2A'!850:850,_xlfn.MAKEARRAY(1,A850-2,_xlfn.LAMBDA(_xlpm.r,_xlpm.c,_xlpm.c))))</f>
        <v/>
      </c>
    </row>
    <row r="851" spans="2:2" x14ac:dyDescent="0.2">
      <c r="B851" t="str" cm="1">
        <f t="array" ref="B851">IF(A851="","",_xlfn.CHOOSECOLS('Prematch Backend 2A'!851:851,_xlfn.MAKEARRAY(1,A851-2,_xlfn.LAMBDA(_xlpm.r,_xlpm.c,_xlpm.c))))</f>
        <v/>
      </c>
    </row>
    <row r="852" spans="2:2" x14ac:dyDescent="0.2">
      <c r="B852" t="str" cm="1">
        <f t="array" ref="B852">IF(A852="","",_xlfn.CHOOSECOLS('Prematch Backend 2A'!852:852,_xlfn.MAKEARRAY(1,A852-2,_xlfn.LAMBDA(_xlpm.r,_xlpm.c,_xlpm.c))))</f>
        <v/>
      </c>
    </row>
    <row r="853" spans="2:2" x14ac:dyDescent="0.2">
      <c r="B853" t="str" cm="1">
        <f t="array" ref="B853">IF(A853="","",_xlfn.CHOOSECOLS('Prematch Backend 2A'!853:853,_xlfn.MAKEARRAY(1,A853-2,_xlfn.LAMBDA(_xlpm.r,_xlpm.c,_xlpm.c))))</f>
        <v/>
      </c>
    </row>
    <row r="854" spans="2:2" x14ac:dyDescent="0.2">
      <c r="B854" t="str" cm="1">
        <f t="array" ref="B854">IF(A854="","",_xlfn.CHOOSECOLS('Prematch Backend 2A'!854:854,_xlfn.MAKEARRAY(1,A854-2,_xlfn.LAMBDA(_xlpm.r,_xlpm.c,_xlpm.c))))</f>
        <v/>
      </c>
    </row>
    <row r="855" spans="2:2" x14ac:dyDescent="0.2">
      <c r="B855" t="str" cm="1">
        <f t="array" ref="B855">IF(A855="","",_xlfn.CHOOSECOLS('Prematch Backend 2A'!855:855,_xlfn.MAKEARRAY(1,A855-2,_xlfn.LAMBDA(_xlpm.r,_xlpm.c,_xlpm.c))))</f>
        <v/>
      </c>
    </row>
    <row r="856" spans="2:2" x14ac:dyDescent="0.2">
      <c r="B856" t="str" cm="1">
        <f t="array" ref="B856">IF(A856="","",_xlfn.CHOOSECOLS('Prematch Backend 2A'!856:856,_xlfn.MAKEARRAY(1,A856-2,_xlfn.LAMBDA(_xlpm.r,_xlpm.c,_xlpm.c))))</f>
        <v/>
      </c>
    </row>
    <row r="857" spans="2:2" x14ac:dyDescent="0.2">
      <c r="B857" t="str" cm="1">
        <f t="array" ref="B857">IF(A857="","",_xlfn.CHOOSECOLS('Prematch Backend 2A'!857:857,_xlfn.MAKEARRAY(1,A857-2,_xlfn.LAMBDA(_xlpm.r,_xlpm.c,_xlpm.c))))</f>
        <v/>
      </c>
    </row>
    <row r="858" spans="2:2" x14ac:dyDescent="0.2">
      <c r="B858" t="str" cm="1">
        <f t="array" ref="B858">IF(A858="","",_xlfn.CHOOSECOLS('Prematch Backend 2A'!858:858,_xlfn.MAKEARRAY(1,A858-2,_xlfn.LAMBDA(_xlpm.r,_xlpm.c,_xlpm.c))))</f>
        <v/>
      </c>
    </row>
    <row r="859" spans="2:2" x14ac:dyDescent="0.2">
      <c r="B859" t="str" cm="1">
        <f t="array" ref="B859">IF(A859="","",_xlfn.CHOOSECOLS('Prematch Backend 2A'!859:859,_xlfn.MAKEARRAY(1,A859-2,_xlfn.LAMBDA(_xlpm.r,_xlpm.c,_xlpm.c))))</f>
        <v/>
      </c>
    </row>
    <row r="860" spans="2:2" x14ac:dyDescent="0.2">
      <c r="B860" t="str" cm="1">
        <f t="array" ref="B860">IF(A860="","",_xlfn.CHOOSECOLS('Prematch Backend 2A'!860:860,_xlfn.MAKEARRAY(1,A860-2,_xlfn.LAMBDA(_xlpm.r,_xlpm.c,_xlpm.c))))</f>
        <v/>
      </c>
    </row>
    <row r="861" spans="2:2" x14ac:dyDescent="0.2">
      <c r="B861" t="str" cm="1">
        <f t="array" ref="B861">IF(A861="","",_xlfn.CHOOSECOLS('Prematch Backend 2A'!861:861,_xlfn.MAKEARRAY(1,A861-2,_xlfn.LAMBDA(_xlpm.r,_xlpm.c,_xlpm.c))))</f>
        <v/>
      </c>
    </row>
    <row r="862" spans="2:2" x14ac:dyDescent="0.2">
      <c r="B862" t="str" cm="1">
        <f t="array" ref="B862">IF(A862="","",_xlfn.CHOOSECOLS('Prematch Backend 2A'!862:862,_xlfn.MAKEARRAY(1,A862-2,_xlfn.LAMBDA(_xlpm.r,_xlpm.c,_xlpm.c))))</f>
        <v/>
      </c>
    </row>
    <row r="863" spans="2:2" x14ac:dyDescent="0.2">
      <c r="B863" t="str" cm="1">
        <f t="array" ref="B863">IF(A863="","",_xlfn.CHOOSECOLS('Prematch Backend 2A'!863:863,_xlfn.MAKEARRAY(1,A863-2,_xlfn.LAMBDA(_xlpm.r,_xlpm.c,_xlpm.c))))</f>
        <v/>
      </c>
    </row>
    <row r="864" spans="2:2" x14ac:dyDescent="0.2">
      <c r="B864" t="str" cm="1">
        <f t="array" ref="B864">IF(A864="","",_xlfn.CHOOSECOLS('Prematch Backend 2A'!864:864,_xlfn.MAKEARRAY(1,A864-2,_xlfn.LAMBDA(_xlpm.r,_xlpm.c,_xlpm.c))))</f>
        <v/>
      </c>
    </row>
    <row r="865" spans="2:2" x14ac:dyDescent="0.2">
      <c r="B865" t="str" cm="1">
        <f t="array" ref="B865">IF(A865="","",_xlfn.CHOOSECOLS('Prematch Backend 2A'!865:865,_xlfn.MAKEARRAY(1,A865-2,_xlfn.LAMBDA(_xlpm.r,_xlpm.c,_xlpm.c))))</f>
        <v/>
      </c>
    </row>
    <row r="866" spans="2:2" x14ac:dyDescent="0.2">
      <c r="B866" t="str" cm="1">
        <f t="array" ref="B866">IF(A866="","",_xlfn.CHOOSECOLS('Prematch Backend 2A'!866:866,_xlfn.MAKEARRAY(1,A866-2,_xlfn.LAMBDA(_xlpm.r,_xlpm.c,_xlpm.c))))</f>
        <v/>
      </c>
    </row>
    <row r="867" spans="2:2" x14ac:dyDescent="0.2">
      <c r="B867" t="str" cm="1">
        <f t="array" ref="B867">IF(A867="","",_xlfn.CHOOSECOLS('Prematch Backend 2A'!867:867,_xlfn.MAKEARRAY(1,A867-2,_xlfn.LAMBDA(_xlpm.r,_xlpm.c,_xlpm.c))))</f>
        <v/>
      </c>
    </row>
    <row r="868" spans="2:2" x14ac:dyDescent="0.2">
      <c r="B868" t="str" cm="1">
        <f t="array" ref="B868">IF(A868="","",_xlfn.CHOOSECOLS('Prematch Backend 2A'!868:868,_xlfn.MAKEARRAY(1,A868-2,_xlfn.LAMBDA(_xlpm.r,_xlpm.c,_xlpm.c))))</f>
        <v/>
      </c>
    </row>
    <row r="869" spans="2:2" x14ac:dyDescent="0.2">
      <c r="B869" t="str" cm="1">
        <f t="array" ref="B869">IF(A869="","",_xlfn.CHOOSECOLS('Prematch Backend 2A'!869:869,_xlfn.MAKEARRAY(1,A869-2,_xlfn.LAMBDA(_xlpm.r,_xlpm.c,_xlpm.c))))</f>
        <v/>
      </c>
    </row>
    <row r="870" spans="2:2" x14ac:dyDescent="0.2">
      <c r="B870" t="str" cm="1">
        <f t="array" ref="B870">IF(A870="","",_xlfn.CHOOSECOLS('Prematch Backend 2A'!870:870,_xlfn.MAKEARRAY(1,A870-2,_xlfn.LAMBDA(_xlpm.r,_xlpm.c,_xlpm.c))))</f>
        <v/>
      </c>
    </row>
    <row r="871" spans="2:2" x14ac:dyDescent="0.2">
      <c r="B871" t="str" cm="1">
        <f t="array" ref="B871">IF(A871="","",_xlfn.CHOOSECOLS('Prematch Backend 2A'!871:871,_xlfn.MAKEARRAY(1,A871-2,_xlfn.LAMBDA(_xlpm.r,_xlpm.c,_xlpm.c))))</f>
        <v/>
      </c>
    </row>
    <row r="872" spans="2:2" x14ac:dyDescent="0.2">
      <c r="B872" t="str" cm="1">
        <f t="array" ref="B872">IF(A872="","",_xlfn.CHOOSECOLS('Prematch Backend 2A'!872:872,_xlfn.MAKEARRAY(1,A872-2,_xlfn.LAMBDA(_xlpm.r,_xlpm.c,_xlpm.c))))</f>
        <v/>
      </c>
    </row>
    <row r="873" spans="2:2" x14ac:dyDescent="0.2">
      <c r="B873" t="str" cm="1">
        <f t="array" ref="B873">IF(A873="","",_xlfn.CHOOSECOLS('Prematch Backend 2A'!873:873,_xlfn.MAKEARRAY(1,A873-2,_xlfn.LAMBDA(_xlpm.r,_xlpm.c,_xlpm.c))))</f>
        <v/>
      </c>
    </row>
    <row r="874" spans="2:2" x14ac:dyDescent="0.2">
      <c r="B874" t="str" cm="1">
        <f t="array" ref="B874">IF(A874="","",_xlfn.CHOOSECOLS('Prematch Backend 2A'!874:874,_xlfn.MAKEARRAY(1,A874-2,_xlfn.LAMBDA(_xlpm.r,_xlpm.c,_xlpm.c))))</f>
        <v/>
      </c>
    </row>
    <row r="875" spans="2:2" x14ac:dyDescent="0.2">
      <c r="B875" t="str" cm="1">
        <f t="array" ref="B875">IF(A875="","",_xlfn.CHOOSECOLS('Prematch Backend 2A'!875:875,_xlfn.MAKEARRAY(1,A875-2,_xlfn.LAMBDA(_xlpm.r,_xlpm.c,_xlpm.c))))</f>
        <v/>
      </c>
    </row>
    <row r="876" spans="2:2" x14ac:dyDescent="0.2">
      <c r="B876" t="str" cm="1">
        <f t="array" ref="B876">IF(A876="","",_xlfn.CHOOSECOLS('Prematch Backend 2A'!876:876,_xlfn.MAKEARRAY(1,A876-2,_xlfn.LAMBDA(_xlpm.r,_xlpm.c,_xlpm.c))))</f>
        <v/>
      </c>
    </row>
    <row r="877" spans="2:2" x14ac:dyDescent="0.2">
      <c r="B877" t="str" cm="1">
        <f t="array" ref="B877">IF(A877="","",_xlfn.CHOOSECOLS('Prematch Backend 2A'!877:877,_xlfn.MAKEARRAY(1,A877-2,_xlfn.LAMBDA(_xlpm.r,_xlpm.c,_xlpm.c))))</f>
        <v/>
      </c>
    </row>
    <row r="878" spans="2:2" x14ac:dyDescent="0.2">
      <c r="B878" t="str" cm="1">
        <f t="array" ref="B878">IF(A878="","",_xlfn.CHOOSECOLS('Prematch Backend 2A'!878:878,_xlfn.MAKEARRAY(1,A878-2,_xlfn.LAMBDA(_xlpm.r,_xlpm.c,_xlpm.c))))</f>
        <v/>
      </c>
    </row>
    <row r="879" spans="2:2" x14ac:dyDescent="0.2">
      <c r="B879" t="str" cm="1">
        <f t="array" ref="B879">IF(A879="","",_xlfn.CHOOSECOLS('Prematch Backend 2A'!879:879,_xlfn.MAKEARRAY(1,A879-2,_xlfn.LAMBDA(_xlpm.r,_xlpm.c,_xlpm.c))))</f>
        <v/>
      </c>
    </row>
    <row r="880" spans="2:2" x14ac:dyDescent="0.2">
      <c r="B880" t="str" cm="1">
        <f t="array" ref="B880">IF(A880="","",_xlfn.CHOOSECOLS('Prematch Backend 2A'!880:880,_xlfn.MAKEARRAY(1,A880-2,_xlfn.LAMBDA(_xlpm.r,_xlpm.c,_xlpm.c))))</f>
        <v/>
      </c>
    </row>
    <row r="881" spans="2:2" x14ac:dyDescent="0.2">
      <c r="B881" t="str" cm="1">
        <f t="array" ref="B881">IF(A881="","",_xlfn.CHOOSECOLS('Prematch Backend 2A'!881:881,_xlfn.MAKEARRAY(1,A881-2,_xlfn.LAMBDA(_xlpm.r,_xlpm.c,_xlpm.c))))</f>
        <v/>
      </c>
    </row>
    <row r="882" spans="2:2" x14ac:dyDescent="0.2">
      <c r="B882" t="str" cm="1">
        <f t="array" ref="B882">IF(A882="","",_xlfn.CHOOSECOLS('Prematch Backend 2A'!882:882,_xlfn.MAKEARRAY(1,A882-2,_xlfn.LAMBDA(_xlpm.r,_xlpm.c,_xlpm.c))))</f>
        <v/>
      </c>
    </row>
    <row r="883" spans="2:2" x14ac:dyDescent="0.2">
      <c r="B883" t="str" cm="1">
        <f t="array" ref="B883">IF(A883="","",_xlfn.CHOOSECOLS('Prematch Backend 2A'!883:883,_xlfn.MAKEARRAY(1,A883-2,_xlfn.LAMBDA(_xlpm.r,_xlpm.c,_xlpm.c))))</f>
        <v/>
      </c>
    </row>
    <row r="884" spans="2:2" x14ac:dyDescent="0.2">
      <c r="B884" t="str" cm="1">
        <f t="array" ref="B884">IF(A884="","",_xlfn.CHOOSECOLS('Prematch Backend 2A'!884:884,_xlfn.MAKEARRAY(1,A884-2,_xlfn.LAMBDA(_xlpm.r,_xlpm.c,_xlpm.c))))</f>
        <v/>
      </c>
    </row>
    <row r="885" spans="2:2" x14ac:dyDescent="0.2">
      <c r="B885" t="str" cm="1">
        <f t="array" ref="B885">IF(A885="","",_xlfn.CHOOSECOLS('Prematch Backend 2A'!885:885,_xlfn.MAKEARRAY(1,A885-2,_xlfn.LAMBDA(_xlpm.r,_xlpm.c,_xlpm.c))))</f>
        <v/>
      </c>
    </row>
    <row r="886" spans="2:2" x14ac:dyDescent="0.2">
      <c r="B886" t="str" cm="1">
        <f t="array" ref="B886">IF(A886="","",_xlfn.CHOOSECOLS('Prematch Backend 2A'!886:886,_xlfn.MAKEARRAY(1,A886-2,_xlfn.LAMBDA(_xlpm.r,_xlpm.c,_xlpm.c))))</f>
        <v/>
      </c>
    </row>
    <row r="887" spans="2:2" x14ac:dyDescent="0.2">
      <c r="B887" t="str" cm="1">
        <f t="array" ref="B887">IF(A887="","",_xlfn.CHOOSECOLS('Prematch Backend 2A'!887:887,_xlfn.MAKEARRAY(1,A887-2,_xlfn.LAMBDA(_xlpm.r,_xlpm.c,_xlpm.c))))</f>
        <v/>
      </c>
    </row>
    <row r="888" spans="2:2" x14ac:dyDescent="0.2">
      <c r="B888" t="str" cm="1">
        <f t="array" ref="B888">IF(A888="","",_xlfn.CHOOSECOLS('Prematch Backend 2A'!888:888,_xlfn.MAKEARRAY(1,A888-2,_xlfn.LAMBDA(_xlpm.r,_xlpm.c,_xlpm.c))))</f>
        <v/>
      </c>
    </row>
    <row r="889" spans="2:2" x14ac:dyDescent="0.2">
      <c r="B889" t="str" cm="1">
        <f t="array" ref="B889">IF(A889="","",_xlfn.CHOOSECOLS('Prematch Backend 2A'!889:889,_xlfn.MAKEARRAY(1,A889-2,_xlfn.LAMBDA(_xlpm.r,_xlpm.c,_xlpm.c))))</f>
        <v/>
      </c>
    </row>
    <row r="890" spans="2:2" x14ac:dyDescent="0.2">
      <c r="B890" t="str" cm="1">
        <f t="array" ref="B890">IF(A890="","",_xlfn.CHOOSECOLS('Prematch Backend 2A'!890:890,_xlfn.MAKEARRAY(1,A890-2,_xlfn.LAMBDA(_xlpm.r,_xlpm.c,_xlpm.c))))</f>
        <v/>
      </c>
    </row>
    <row r="891" spans="2:2" x14ac:dyDescent="0.2">
      <c r="B891" t="str" cm="1">
        <f t="array" ref="B891">IF(A891="","",_xlfn.CHOOSECOLS('Prematch Backend 2A'!891:891,_xlfn.MAKEARRAY(1,A891-2,_xlfn.LAMBDA(_xlpm.r,_xlpm.c,_xlpm.c))))</f>
        <v/>
      </c>
    </row>
    <row r="892" spans="2:2" x14ac:dyDescent="0.2">
      <c r="B892" t="str" cm="1">
        <f t="array" ref="B892">IF(A892="","",_xlfn.CHOOSECOLS('Prematch Backend 2A'!892:892,_xlfn.MAKEARRAY(1,A892-2,_xlfn.LAMBDA(_xlpm.r,_xlpm.c,_xlpm.c))))</f>
        <v/>
      </c>
    </row>
    <row r="893" spans="2:2" x14ac:dyDescent="0.2">
      <c r="B893" t="str" cm="1">
        <f t="array" ref="B893">IF(A893="","",_xlfn.CHOOSECOLS('Prematch Backend 2A'!893:893,_xlfn.MAKEARRAY(1,A893-2,_xlfn.LAMBDA(_xlpm.r,_xlpm.c,_xlpm.c))))</f>
        <v/>
      </c>
    </row>
    <row r="894" spans="2:2" x14ac:dyDescent="0.2">
      <c r="B894" t="str" cm="1">
        <f t="array" ref="B894">IF(A894="","",_xlfn.CHOOSECOLS('Prematch Backend 2A'!894:894,_xlfn.MAKEARRAY(1,A894-2,_xlfn.LAMBDA(_xlpm.r,_xlpm.c,_xlpm.c))))</f>
        <v/>
      </c>
    </row>
    <row r="895" spans="2:2" x14ac:dyDescent="0.2">
      <c r="B895" t="str" cm="1">
        <f t="array" ref="B895">IF(A895="","",_xlfn.CHOOSECOLS('Prematch Backend 2A'!895:895,_xlfn.MAKEARRAY(1,A895-2,_xlfn.LAMBDA(_xlpm.r,_xlpm.c,_xlpm.c))))</f>
        <v/>
      </c>
    </row>
    <row r="896" spans="2:2" x14ac:dyDescent="0.2">
      <c r="B896" t="str" cm="1">
        <f t="array" ref="B896">IF(A896="","",_xlfn.CHOOSECOLS('Prematch Backend 2A'!896:896,_xlfn.MAKEARRAY(1,A896-2,_xlfn.LAMBDA(_xlpm.r,_xlpm.c,_xlpm.c))))</f>
        <v/>
      </c>
    </row>
    <row r="897" spans="2:2" x14ac:dyDescent="0.2">
      <c r="B897" t="str" cm="1">
        <f t="array" ref="B897">IF(A897="","",_xlfn.CHOOSECOLS('Prematch Backend 2A'!897:897,_xlfn.MAKEARRAY(1,A897-2,_xlfn.LAMBDA(_xlpm.r,_xlpm.c,_xlpm.c))))</f>
        <v/>
      </c>
    </row>
    <row r="898" spans="2:2" x14ac:dyDescent="0.2">
      <c r="B898" t="str" cm="1">
        <f t="array" ref="B898">IF(A898="","",_xlfn.CHOOSECOLS('Prematch Backend 2A'!898:898,_xlfn.MAKEARRAY(1,A898-2,_xlfn.LAMBDA(_xlpm.r,_xlpm.c,_xlpm.c))))</f>
        <v/>
      </c>
    </row>
    <row r="899" spans="2:2" x14ac:dyDescent="0.2">
      <c r="B899" t="str" cm="1">
        <f t="array" ref="B899">IF(A899="","",_xlfn.CHOOSECOLS('Prematch Backend 2A'!899:899,_xlfn.MAKEARRAY(1,A899-2,_xlfn.LAMBDA(_xlpm.r,_xlpm.c,_xlpm.c))))</f>
        <v/>
      </c>
    </row>
    <row r="900" spans="2:2" x14ac:dyDescent="0.2">
      <c r="B900" t="str" cm="1">
        <f t="array" ref="B900">IF(A900="","",_xlfn.CHOOSECOLS('Prematch Backend 2A'!900:900,_xlfn.MAKEARRAY(1,A900-2,_xlfn.LAMBDA(_xlpm.r,_xlpm.c,_xlpm.c))))</f>
        <v/>
      </c>
    </row>
    <row r="901" spans="2:2" x14ac:dyDescent="0.2">
      <c r="B901" t="str" cm="1">
        <f t="array" ref="B901">IF(A901="","",_xlfn.CHOOSECOLS('Prematch Backend 2A'!901:901,_xlfn.MAKEARRAY(1,A901-2,_xlfn.LAMBDA(_xlpm.r,_xlpm.c,_xlpm.c))))</f>
        <v/>
      </c>
    </row>
    <row r="902" spans="2:2" x14ac:dyDescent="0.2">
      <c r="B902" t="str" cm="1">
        <f t="array" ref="B902">IF(A902="","",_xlfn.CHOOSECOLS('Prematch Backend 2A'!902:902,_xlfn.MAKEARRAY(1,A902-2,_xlfn.LAMBDA(_xlpm.r,_xlpm.c,_xlpm.c))))</f>
        <v/>
      </c>
    </row>
    <row r="903" spans="2:2" x14ac:dyDescent="0.2">
      <c r="B903" t="str" cm="1">
        <f t="array" ref="B903">IF(A903="","",_xlfn.CHOOSECOLS('Prematch Backend 2A'!903:903,_xlfn.MAKEARRAY(1,A903-2,_xlfn.LAMBDA(_xlpm.r,_xlpm.c,_xlpm.c))))</f>
        <v/>
      </c>
    </row>
    <row r="904" spans="2:2" x14ac:dyDescent="0.2">
      <c r="B904" t="str" cm="1">
        <f t="array" ref="B904">IF(A904="","",_xlfn.CHOOSECOLS('Prematch Backend 2A'!904:904,_xlfn.MAKEARRAY(1,A904-2,_xlfn.LAMBDA(_xlpm.r,_xlpm.c,_xlpm.c))))</f>
        <v/>
      </c>
    </row>
    <row r="905" spans="2:2" x14ac:dyDescent="0.2">
      <c r="B905" t="str" cm="1">
        <f t="array" ref="B905">IF(A905="","",_xlfn.CHOOSECOLS('Prematch Backend 2A'!905:905,_xlfn.MAKEARRAY(1,A905-2,_xlfn.LAMBDA(_xlpm.r,_xlpm.c,_xlpm.c))))</f>
        <v/>
      </c>
    </row>
    <row r="906" spans="2:2" x14ac:dyDescent="0.2">
      <c r="B906" t="str" cm="1">
        <f t="array" ref="B906">IF(A906="","",_xlfn.CHOOSECOLS('Prematch Backend 2A'!906:906,_xlfn.MAKEARRAY(1,A906-2,_xlfn.LAMBDA(_xlpm.r,_xlpm.c,_xlpm.c))))</f>
        <v/>
      </c>
    </row>
    <row r="907" spans="2:2" x14ac:dyDescent="0.2">
      <c r="B907" t="str" cm="1">
        <f t="array" ref="B907">IF(A907="","",_xlfn.CHOOSECOLS('Prematch Backend 2A'!907:907,_xlfn.MAKEARRAY(1,A907-2,_xlfn.LAMBDA(_xlpm.r,_xlpm.c,_xlpm.c))))</f>
        <v/>
      </c>
    </row>
    <row r="908" spans="2:2" x14ac:dyDescent="0.2">
      <c r="B908" t="str" cm="1">
        <f t="array" ref="B908">IF(A908="","",_xlfn.CHOOSECOLS('Prematch Backend 2A'!908:908,_xlfn.MAKEARRAY(1,A908-2,_xlfn.LAMBDA(_xlpm.r,_xlpm.c,_xlpm.c))))</f>
        <v/>
      </c>
    </row>
    <row r="909" spans="2:2" x14ac:dyDescent="0.2">
      <c r="B909" t="str" cm="1">
        <f t="array" ref="B909">IF(A909="","",_xlfn.CHOOSECOLS('Prematch Backend 2A'!909:909,_xlfn.MAKEARRAY(1,A909-2,_xlfn.LAMBDA(_xlpm.r,_xlpm.c,_xlpm.c))))</f>
        <v/>
      </c>
    </row>
    <row r="910" spans="2:2" x14ac:dyDescent="0.2">
      <c r="B910" t="str" cm="1">
        <f t="array" ref="B910">IF(A910="","",_xlfn.CHOOSECOLS('Prematch Backend 2A'!910:910,_xlfn.MAKEARRAY(1,A910-2,_xlfn.LAMBDA(_xlpm.r,_xlpm.c,_xlpm.c))))</f>
        <v/>
      </c>
    </row>
    <row r="911" spans="2:2" x14ac:dyDescent="0.2">
      <c r="B911" t="str" cm="1">
        <f t="array" ref="B911">IF(A911="","",_xlfn.CHOOSECOLS('Prematch Backend 2A'!911:911,_xlfn.MAKEARRAY(1,A911-2,_xlfn.LAMBDA(_xlpm.r,_xlpm.c,_xlpm.c))))</f>
        <v/>
      </c>
    </row>
    <row r="912" spans="2:2" x14ac:dyDescent="0.2">
      <c r="B912" t="str" cm="1">
        <f t="array" ref="B912">IF(A912="","",_xlfn.CHOOSECOLS('Prematch Backend 2A'!912:912,_xlfn.MAKEARRAY(1,A912-2,_xlfn.LAMBDA(_xlpm.r,_xlpm.c,_xlpm.c))))</f>
        <v/>
      </c>
    </row>
    <row r="913" spans="2:2" x14ac:dyDescent="0.2">
      <c r="B913" t="str" cm="1">
        <f t="array" ref="B913">IF(A913="","",_xlfn.CHOOSECOLS('Prematch Backend 2A'!913:913,_xlfn.MAKEARRAY(1,A913-2,_xlfn.LAMBDA(_xlpm.r,_xlpm.c,_xlpm.c))))</f>
        <v/>
      </c>
    </row>
    <row r="914" spans="2:2" x14ac:dyDescent="0.2">
      <c r="B914" t="str" cm="1">
        <f t="array" ref="B914">IF(A914="","",_xlfn.CHOOSECOLS('Prematch Backend 2A'!914:914,_xlfn.MAKEARRAY(1,A914-2,_xlfn.LAMBDA(_xlpm.r,_xlpm.c,_xlpm.c))))</f>
        <v/>
      </c>
    </row>
    <row r="915" spans="2:2" x14ac:dyDescent="0.2">
      <c r="B915" t="str" cm="1">
        <f t="array" ref="B915">IF(A915="","",_xlfn.CHOOSECOLS('Prematch Backend 2A'!915:915,_xlfn.MAKEARRAY(1,A915-2,_xlfn.LAMBDA(_xlpm.r,_xlpm.c,_xlpm.c))))</f>
        <v/>
      </c>
    </row>
    <row r="916" spans="2:2" x14ac:dyDescent="0.2">
      <c r="B916" t="str" cm="1">
        <f t="array" ref="B916">IF(A916="","",_xlfn.CHOOSECOLS('Prematch Backend 2A'!916:916,_xlfn.MAKEARRAY(1,A916-2,_xlfn.LAMBDA(_xlpm.r,_xlpm.c,_xlpm.c))))</f>
        <v/>
      </c>
    </row>
    <row r="917" spans="2:2" x14ac:dyDescent="0.2">
      <c r="B917" t="str" cm="1">
        <f t="array" ref="B917">IF(A917="","",_xlfn.CHOOSECOLS('Prematch Backend 2A'!917:917,_xlfn.MAKEARRAY(1,A917-2,_xlfn.LAMBDA(_xlpm.r,_xlpm.c,_xlpm.c))))</f>
        <v/>
      </c>
    </row>
    <row r="918" spans="2:2" x14ac:dyDescent="0.2">
      <c r="B918" t="str" cm="1">
        <f t="array" ref="B918">IF(A918="","",_xlfn.CHOOSECOLS('Prematch Backend 2A'!918:918,_xlfn.MAKEARRAY(1,A918-2,_xlfn.LAMBDA(_xlpm.r,_xlpm.c,_xlpm.c))))</f>
        <v/>
      </c>
    </row>
    <row r="919" spans="2:2" x14ac:dyDescent="0.2">
      <c r="B919" t="str" cm="1">
        <f t="array" ref="B919">IF(A919="","",_xlfn.CHOOSECOLS('Prematch Backend 2A'!919:919,_xlfn.MAKEARRAY(1,A919-2,_xlfn.LAMBDA(_xlpm.r,_xlpm.c,_xlpm.c))))</f>
        <v/>
      </c>
    </row>
    <row r="920" spans="2:2" x14ac:dyDescent="0.2">
      <c r="B920" t="str" cm="1">
        <f t="array" ref="B920">IF(A920="","",_xlfn.CHOOSECOLS('Prematch Backend 2A'!920:920,_xlfn.MAKEARRAY(1,A920-2,_xlfn.LAMBDA(_xlpm.r,_xlpm.c,_xlpm.c))))</f>
        <v/>
      </c>
    </row>
    <row r="921" spans="2:2" x14ac:dyDescent="0.2">
      <c r="B921" t="str" cm="1">
        <f t="array" ref="B921">IF(A921="","",_xlfn.CHOOSECOLS('Prematch Backend 2A'!921:921,_xlfn.MAKEARRAY(1,A921-2,_xlfn.LAMBDA(_xlpm.r,_xlpm.c,_xlpm.c))))</f>
        <v/>
      </c>
    </row>
    <row r="922" spans="2:2" x14ac:dyDescent="0.2">
      <c r="B922" t="str" cm="1">
        <f t="array" ref="B922">IF(A922="","",_xlfn.CHOOSECOLS('Prematch Backend 2A'!922:922,_xlfn.MAKEARRAY(1,A922-2,_xlfn.LAMBDA(_xlpm.r,_xlpm.c,_xlpm.c))))</f>
        <v/>
      </c>
    </row>
    <row r="923" spans="2:2" x14ac:dyDescent="0.2">
      <c r="B923" t="str" cm="1">
        <f t="array" ref="B923">IF(A923="","",_xlfn.CHOOSECOLS('Prematch Backend 2A'!923:923,_xlfn.MAKEARRAY(1,A923-2,_xlfn.LAMBDA(_xlpm.r,_xlpm.c,_xlpm.c))))</f>
        <v/>
      </c>
    </row>
    <row r="924" spans="2:2" x14ac:dyDescent="0.2">
      <c r="B924" t="str" cm="1">
        <f t="array" ref="B924">IF(A924="","",_xlfn.CHOOSECOLS('Prematch Backend 2A'!924:924,_xlfn.MAKEARRAY(1,A924-2,_xlfn.LAMBDA(_xlpm.r,_xlpm.c,_xlpm.c))))</f>
        <v/>
      </c>
    </row>
    <row r="925" spans="2:2" x14ac:dyDescent="0.2">
      <c r="B925" t="str" cm="1">
        <f t="array" ref="B925">IF(A925="","",_xlfn.CHOOSECOLS('Prematch Backend 2A'!925:925,_xlfn.MAKEARRAY(1,A925-2,_xlfn.LAMBDA(_xlpm.r,_xlpm.c,_xlpm.c))))</f>
        <v/>
      </c>
    </row>
    <row r="926" spans="2:2" x14ac:dyDescent="0.2">
      <c r="B926" t="str" cm="1">
        <f t="array" ref="B926">IF(A926="","",_xlfn.CHOOSECOLS('Prematch Backend 2A'!926:926,_xlfn.MAKEARRAY(1,A926-2,_xlfn.LAMBDA(_xlpm.r,_xlpm.c,_xlpm.c))))</f>
        <v/>
      </c>
    </row>
    <row r="927" spans="2:2" x14ac:dyDescent="0.2">
      <c r="B927" t="str" cm="1">
        <f t="array" ref="B927">IF(A927="","",_xlfn.CHOOSECOLS('Prematch Backend 2A'!927:927,_xlfn.MAKEARRAY(1,A927-2,_xlfn.LAMBDA(_xlpm.r,_xlpm.c,_xlpm.c))))</f>
        <v/>
      </c>
    </row>
    <row r="928" spans="2:2" x14ac:dyDescent="0.2">
      <c r="B928" t="str" cm="1">
        <f t="array" ref="B928">IF(A928="","",_xlfn.CHOOSECOLS('Prematch Backend 2A'!928:928,_xlfn.MAKEARRAY(1,A928-2,_xlfn.LAMBDA(_xlpm.r,_xlpm.c,_xlpm.c))))</f>
        <v/>
      </c>
    </row>
    <row r="929" spans="2:2" x14ac:dyDescent="0.2">
      <c r="B929" t="str" cm="1">
        <f t="array" ref="B929">IF(A929="","",_xlfn.CHOOSECOLS('Prematch Backend 2A'!929:929,_xlfn.MAKEARRAY(1,A929-2,_xlfn.LAMBDA(_xlpm.r,_xlpm.c,_xlpm.c))))</f>
        <v/>
      </c>
    </row>
    <row r="930" spans="2:2" x14ac:dyDescent="0.2">
      <c r="B930" t="str" cm="1">
        <f t="array" ref="B930">IF(A930="","",_xlfn.CHOOSECOLS('Prematch Backend 2A'!930:930,_xlfn.MAKEARRAY(1,A930-2,_xlfn.LAMBDA(_xlpm.r,_xlpm.c,_xlpm.c))))</f>
        <v/>
      </c>
    </row>
    <row r="931" spans="2:2" x14ac:dyDescent="0.2">
      <c r="B931" t="str" cm="1">
        <f t="array" ref="B931">IF(A931="","",_xlfn.CHOOSECOLS('Prematch Backend 2A'!931:931,_xlfn.MAKEARRAY(1,A931-2,_xlfn.LAMBDA(_xlpm.r,_xlpm.c,_xlpm.c))))</f>
        <v/>
      </c>
    </row>
    <row r="932" spans="2:2" x14ac:dyDescent="0.2">
      <c r="B932" t="str" cm="1">
        <f t="array" ref="B932">IF(A932="","",_xlfn.CHOOSECOLS('Prematch Backend 2A'!932:932,_xlfn.MAKEARRAY(1,A932-2,_xlfn.LAMBDA(_xlpm.r,_xlpm.c,_xlpm.c))))</f>
        <v/>
      </c>
    </row>
    <row r="933" spans="2:2" x14ac:dyDescent="0.2">
      <c r="B933" t="str" cm="1">
        <f t="array" ref="B933">IF(A933="","",_xlfn.CHOOSECOLS('Prematch Backend 2A'!933:933,_xlfn.MAKEARRAY(1,A933-2,_xlfn.LAMBDA(_xlpm.r,_xlpm.c,_xlpm.c))))</f>
        <v/>
      </c>
    </row>
    <row r="934" spans="2:2" x14ac:dyDescent="0.2">
      <c r="B934" t="str" cm="1">
        <f t="array" ref="B934">IF(A934="","",_xlfn.CHOOSECOLS('Prematch Backend 2A'!934:934,_xlfn.MAKEARRAY(1,A934-2,_xlfn.LAMBDA(_xlpm.r,_xlpm.c,_xlpm.c))))</f>
        <v/>
      </c>
    </row>
    <row r="935" spans="2:2" x14ac:dyDescent="0.2">
      <c r="B935" t="str" cm="1">
        <f t="array" ref="B935">IF(A935="","",_xlfn.CHOOSECOLS('Prematch Backend 2A'!935:935,_xlfn.MAKEARRAY(1,A935-2,_xlfn.LAMBDA(_xlpm.r,_xlpm.c,_xlpm.c))))</f>
        <v/>
      </c>
    </row>
    <row r="936" spans="2:2" x14ac:dyDescent="0.2">
      <c r="B936" t="str" cm="1">
        <f t="array" ref="B936">IF(A936="","",_xlfn.CHOOSECOLS('Prematch Backend 2A'!936:936,_xlfn.MAKEARRAY(1,A936-2,_xlfn.LAMBDA(_xlpm.r,_xlpm.c,_xlpm.c))))</f>
        <v/>
      </c>
    </row>
    <row r="937" spans="2:2" x14ac:dyDescent="0.2">
      <c r="B937" t="str" cm="1">
        <f t="array" ref="B937">IF(A937="","",_xlfn.CHOOSECOLS('Prematch Backend 2A'!937:937,_xlfn.MAKEARRAY(1,A937-2,_xlfn.LAMBDA(_xlpm.r,_xlpm.c,_xlpm.c))))</f>
        <v/>
      </c>
    </row>
    <row r="938" spans="2:2" x14ac:dyDescent="0.2">
      <c r="B938" t="str" cm="1">
        <f t="array" ref="B938">IF(A938="","",_xlfn.CHOOSECOLS('Prematch Backend 2A'!938:938,_xlfn.MAKEARRAY(1,A938-2,_xlfn.LAMBDA(_xlpm.r,_xlpm.c,_xlpm.c))))</f>
        <v/>
      </c>
    </row>
    <row r="939" spans="2:2" x14ac:dyDescent="0.2">
      <c r="B939" t="str" cm="1">
        <f t="array" ref="B939">IF(A939="","",_xlfn.CHOOSECOLS('Prematch Backend 2A'!939:939,_xlfn.MAKEARRAY(1,A939-2,_xlfn.LAMBDA(_xlpm.r,_xlpm.c,_xlpm.c))))</f>
        <v/>
      </c>
    </row>
    <row r="940" spans="2:2" x14ac:dyDescent="0.2">
      <c r="B940" t="str" cm="1">
        <f t="array" ref="B940">IF(A940="","",_xlfn.CHOOSECOLS('Prematch Backend 2A'!940:940,_xlfn.MAKEARRAY(1,A940-2,_xlfn.LAMBDA(_xlpm.r,_xlpm.c,_xlpm.c))))</f>
        <v/>
      </c>
    </row>
    <row r="941" spans="2:2" x14ac:dyDescent="0.2">
      <c r="B941" t="str" cm="1">
        <f t="array" ref="B941">IF(A941="","",_xlfn.CHOOSECOLS('Prematch Backend 2A'!941:941,_xlfn.MAKEARRAY(1,A941-2,_xlfn.LAMBDA(_xlpm.r,_xlpm.c,_xlpm.c))))</f>
        <v/>
      </c>
    </row>
    <row r="942" spans="2:2" x14ac:dyDescent="0.2">
      <c r="B942" t="str" cm="1">
        <f t="array" ref="B942">IF(A942="","",_xlfn.CHOOSECOLS('Prematch Backend 2A'!942:942,_xlfn.MAKEARRAY(1,A942-2,_xlfn.LAMBDA(_xlpm.r,_xlpm.c,_xlpm.c))))</f>
        <v/>
      </c>
    </row>
    <row r="943" spans="2:2" x14ac:dyDescent="0.2">
      <c r="B943" t="str" cm="1">
        <f t="array" ref="B943">IF(A943="","",_xlfn.CHOOSECOLS('Prematch Backend 2A'!943:943,_xlfn.MAKEARRAY(1,A943-2,_xlfn.LAMBDA(_xlpm.r,_xlpm.c,_xlpm.c))))</f>
        <v/>
      </c>
    </row>
    <row r="944" spans="2:2" x14ac:dyDescent="0.2">
      <c r="B944" t="str" cm="1">
        <f t="array" ref="B944">IF(A944="","",_xlfn.CHOOSECOLS('Prematch Backend 2A'!944:944,_xlfn.MAKEARRAY(1,A944-2,_xlfn.LAMBDA(_xlpm.r,_xlpm.c,_xlpm.c))))</f>
        <v/>
      </c>
    </row>
    <row r="945" spans="2:2" x14ac:dyDescent="0.2">
      <c r="B945" t="str" cm="1">
        <f t="array" ref="B945">IF(A945="","",_xlfn.CHOOSECOLS('Prematch Backend 2A'!945:945,_xlfn.MAKEARRAY(1,A945-2,_xlfn.LAMBDA(_xlpm.r,_xlpm.c,_xlpm.c))))</f>
        <v/>
      </c>
    </row>
    <row r="946" spans="2:2" x14ac:dyDescent="0.2">
      <c r="B946" t="str" cm="1">
        <f t="array" ref="B946">IF(A946="","",_xlfn.CHOOSECOLS('Prematch Backend 2A'!946:946,_xlfn.MAKEARRAY(1,A946-2,_xlfn.LAMBDA(_xlpm.r,_xlpm.c,_xlpm.c))))</f>
        <v/>
      </c>
    </row>
    <row r="947" spans="2:2" x14ac:dyDescent="0.2">
      <c r="B947" t="str" cm="1">
        <f t="array" ref="B947">IF(A947="","",_xlfn.CHOOSECOLS('Prematch Backend 2A'!947:947,_xlfn.MAKEARRAY(1,A947-2,_xlfn.LAMBDA(_xlpm.r,_xlpm.c,_xlpm.c))))</f>
        <v/>
      </c>
    </row>
    <row r="948" spans="2:2" x14ac:dyDescent="0.2">
      <c r="B948" t="str" cm="1">
        <f t="array" ref="B948">IF(A948="","",_xlfn.CHOOSECOLS('Prematch Backend 2A'!948:948,_xlfn.MAKEARRAY(1,A948-2,_xlfn.LAMBDA(_xlpm.r,_xlpm.c,_xlpm.c))))</f>
        <v/>
      </c>
    </row>
    <row r="949" spans="2:2" x14ac:dyDescent="0.2">
      <c r="B949" t="str" cm="1">
        <f t="array" ref="B949">IF(A949="","",_xlfn.CHOOSECOLS('Prematch Backend 2A'!949:949,_xlfn.MAKEARRAY(1,A949-2,_xlfn.LAMBDA(_xlpm.r,_xlpm.c,_xlpm.c))))</f>
        <v/>
      </c>
    </row>
    <row r="950" spans="2:2" x14ac:dyDescent="0.2">
      <c r="B950" t="str" cm="1">
        <f t="array" ref="B950">IF(A950="","",_xlfn.CHOOSECOLS('Prematch Backend 2A'!950:950,_xlfn.MAKEARRAY(1,A950-2,_xlfn.LAMBDA(_xlpm.r,_xlpm.c,_xlpm.c))))</f>
        <v/>
      </c>
    </row>
    <row r="951" spans="2:2" x14ac:dyDescent="0.2">
      <c r="B951" t="str" cm="1">
        <f t="array" ref="B951">IF(A951="","",_xlfn.CHOOSECOLS('Prematch Backend 2A'!951:951,_xlfn.MAKEARRAY(1,A951-2,_xlfn.LAMBDA(_xlpm.r,_xlpm.c,_xlpm.c))))</f>
        <v/>
      </c>
    </row>
    <row r="952" spans="2:2" x14ac:dyDescent="0.2">
      <c r="B952" t="str" cm="1">
        <f t="array" ref="B952">IF(A952="","",_xlfn.CHOOSECOLS('Prematch Backend 2A'!952:952,_xlfn.MAKEARRAY(1,A952-2,_xlfn.LAMBDA(_xlpm.r,_xlpm.c,_xlpm.c))))</f>
        <v/>
      </c>
    </row>
    <row r="953" spans="2:2" x14ac:dyDescent="0.2">
      <c r="B953" t="str" cm="1">
        <f t="array" ref="B953">IF(A953="","",_xlfn.CHOOSECOLS('Prematch Backend 2A'!953:953,_xlfn.MAKEARRAY(1,A953-2,_xlfn.LAMBDA(_xlpm.r,_xlpm.c,_xlpm.c))))</f>
        <v/>
      </c>
    </row>
    <row r="954" spans="2:2" x14ac:dyDescent="0.2">
      <c r="B954" t="str" cm="1">
        <f t="array" ref="B954">IF(A954="","",_xlfn.CHOOSECOLS('Prematch Backend 2A'!954:954,_xlfn.MAKEARRAY(1,A954-2,_xlfn.LAMBDA(_xlpm.r,_xlpm.c,_xlpm.c))))</f>
        <v/>
      </c>
    </row>
    <row r="955" spans="2:2" x14ac:dyDescent="0.2">
      <c r="B955" t="str" cm="1">
        <f t="array" ref="B955">IF(A955="","",_xlfn.CHOOSECOLS('Prematch Backend 2A'!955:955,_xlfn.MAKEARRAY(1,A955-2,_xlfn.LAMBDA(_xlpm.r,_xlpm.c,_xlpm.c))))</f>
        <v/>
      </c>
    </row>
    <row r="956" spans="2:2" x14ac:dyDescent="0.2">
      <c r="B956" t="str" cm="1">
        <f t="array" ref="B956">IF(A956="","",_xlfn.CHOOSECOLS('Prematch Backend 2A'!956:956,_xlfn.MAKEARRAY(1,A956-2,_xlfn.LAMBDA(_xlpm.r,_xlpm.c,_xlpm.c))))</f>
        <v/>
      </c>
    </row>
    <row r="957" spans="2:2" x14ac:dyDescent="0.2">
      <c r="B957" t="str" cm="1">
        <f t="array" ref="B957">IF(A957="","",_xlfn.CHOOSECOLS('Prematch Backend 2A'!957:957,_xlfn.MAKEARRAY(1,A957-2,_xlfn.LAMBDA(_xlpm.r,_xlpm.c,_xlpm.c))))</f>
        <v/>
      </c>
    </row>
    <row r="958" spans="2:2" x14ac:dyDescent="0.2">
      <c r="B958" t="str" cm="1">
        <f t="array" ref="B958">IF(A958="","",_xlfn.CHOOSECOLS('Prematch Backend 2A'!958:958,_xlfn.MAKEARRAY(1,A958-2,_xlfn.LAMBDA(_xlpm.r,_xlpm.c,_xlpm.c))))</f>
        <v/>
      </c>
    </row>
    <row r="959" spans="2:2" x14ac:dyDescent="0.2">
      <c r="B959" t="str" cm="1">
        <f t="array" ref="B959">IF(A959="","",_xlfn.CHOOSECOLS('Prematch Backend 2A'!959:959,_xlfn.MAKEARRAY(1,A959-2,_xlfn.LAMBDA(_xlpm.r,_xlpm.c,_xlpm.c))))</f>
        <v/>
      </c>
    </row>
    <row r="960" spans="2:2" x14ac:dyDescent="0.2">
      <c r="B960" t="str" cm="1">
        <f t="array" ref="B960">IF(A960="","",_xlfn.CHOOSECOLS('Prematch Backend 2A'!960:960,_xlfn.MAKEARRAY(1,A960-2,_xlfn.LAMBDA(_xlpm.r,_xlpm.c,_xlpm.c))))</f>
        <v/>
      </c>
    </row>
    <row r="961" spans="2:2" x14ac:dyDescent="0.2">
      <c r="B961" t="str" cm="1">
        <f t="array" ref="B961">IF(A961="","",_xlfn.CHOOSECOLS('Prematch Backend 2A'!961:961,_xlfn.MAKEARRAY(1,A961-2,_xlfn.LAMBDA(_xlpm.r,_xlpm.c,_xlpm.c))))</f>
        <v/>
      </c>
    </row>
    <row r="962" spans="2:2" x14ac:dyDescent="0.2">
      <c r="B962" t="str" cm="1">
        <f t="array" ref="B962">IF(A962="","",_xlfn.CHOOSECOLS('Prematch Backend 2A'!962:962,_xlfn.MAKEARRAY(1,A962-2,_xlfn.LAMBDA(_xlpm.r,_xlpm.c,_xlpm.c))))</f>
        <v/>
      </c>
    </row>
    <row r="963" spans="2:2" x14ac:dyDescent="0.2">
      <c r="B963" t="str" cm="1">
        <f t="array" ref="B963">IF(A963="","",_xlfn.CHOOSECOLS('Prematch Backend 2A'!963:963,_xlfn.MAKEARRAY(1,A963-2,_xlfn.LAMBDA(_xlpm.r,_xlpm.c,_xlpm.c))))</f>
        <v/>
      </c>
    </row>
    <row r="964" spans="2:2" x14ac:dyDescent="0.2">
      <c r="B964" t="str" cm="1">
        <f t="array" ref="B964">IF(A964="","",_xlfn.CHOOSECOLS('Prematch Backend 2A'!964:964,_xlfn.MAKEARRAY(1,A964-2,_xlfn.LAMBDA(_xlpm.r,_xlpm.c,_xlpm.c))))</f>
        <v/>
      </c>
    </row>
    <row r="965" spans="2:2" x14ac:dyDescent="0.2">
      <c r="B965" t="str" cm="1">
        <f t="array" ref="B965">IF(A965="","",_xlfn.CHOOSECOLS('Prematch Backend 2A'!965:965,_xlfn.MAKEARRAY(1,A965-2,_xlfn.LAMBDA(_xlpm.r,_xlpm.c,_xlpm.c))))</f>
        <v/>
      </c>
    </row>
    <row r="966" spans="2:2" x14ac:dyDescent="0.2">
      <c r="B966" t="str" cm="1">
        <f t="array" ref="B966">IF(A966="","",_xlfn.CHOOSECOLS('Prematch Backend 2A'!966:966,_xlfn.MAKEARRAY(1,A966-2,_xlfn.LAMBDA(_xlpm.r,_xlpm.c,_xlpm.c))))</f>
        <v/>
      </c>
    </row>
    <row r="967" spans="2:2" x14ac:dyDescent="0.2">
      <c r="B967" t="str" cm="1">
        <f t="array" ref="B967">IF(A967="","",_xlfn.CHOOSECOLS('Prematch Backend 2A'!967:967,_xlfn.MAKEARRAY(1,A967-2,_xlfn.LAMBDA(_xlpm.r,_xlpm.c,_xlpm.c))))</f>
        <v/>
      </c>
    </row>
    <row r="968" spans="2:2" x14ac:dyDescent="0.2">
      <c r="B968" t="str" cm="1">
        <f t="array" ref="B968">IF(A968="","",_xlfn.CHOOSECOLS('Prematch Backend 2A'!968:968,_xlfn.MAKEARRAY(1,A968-2,_xlfn.LAMBDA(_xlpm.r,_xlpm.c,_xlpm.c))))</f>
        <v/>
      </c>
    </row>
    <row r="969" spans="2:2" x14ac:dyDescent="0.2">
      <c r="B969" t="str" cm="1">
        <f t="array" ref="B969">IF(A969="","",_xlfn.CHOOSECOLS('Prematch Backend 2A'!969:969,_xlfn.MAKEARRAY(1,A969-2,_xlfn.LAMBDA(_xlpm.r,_xlpm.c,_xlpm.c))))</f>
        <v/>
      </c>
    </row>
    <row r="970" spans="2:2" x14ac:dyDescent="0.2">
      <c r="B970" t="str" cm="1">
        <f t="array" ref="B970">IF(A970="","",_xlfn.CHOOSECOLS('Prematch Backend 2A'!970:970,_xlfn.MAKEARRAY(1,A970-2,_xlfn.LAMBDA(_xlpm.r,_xlpm.c,_xlpm.c))))</f>
        <v/>
      </c>
    </row>
    <row r="971" spans="2:2" x14ac:dyDescent="0.2">
      <c r="B971" t="str" cm="1">
        <f t="array" ref="B971">IF(A971="","",_xlfn.CHOOSECOLS('Prematch Backend 2A'!971:971,_xlfn.MAKEARRAY(1,A971-2,_xlfn.LAMBDA(_xlpm.r,_xlpm.c,_xlpm.c))))</f>
        <v/>
      </c>
    </row>
    <row r="972" spans="2:2" x14ac:dyDescent="0.2">
      <c r="B972" t="str" cm="1">
        <f t="array" ref="B972">IF(A972="","",_xlfn.CHOOSECOLS('Prematch Backend 2A'!972:972,_xlfn.MAKEARRAY(1,A972-2,_xlfn.LAMBDA(_xlpm.r,_xlpm.c,_xlpm.c))))</f>
        <v/>
      </c>
    </row>
    <row r="973" spans="2:2" x14ac:dyDescent="0.2">
      <c r="B973" t="str" cm="1">
        <f t="array" ref="B973">IF(A973="","",_xlfn.CHOOSECOLS('Prematch Backend 2A'!973:973,_xlfn.MAKEARRAY(1,A973-2,_xlfn.LAMBDA(_xlpm.r,_xlpm.c,_xlpm.c))))</f>
        <v/>
      </c>
    </row>
    <row r="974" spans="2:2" x14ac:dyDescent="0.2">
      <c r="B974" t="str" cm="1">
        <f t="array" ref="B974">IF(A974="","",_xlfn.CHOOSECOLS('Prematch Backend 2A'!974:974,_xlfn.MAKEARRAY(1,A974-2,_xlfn.LAMBDA(_xlpm.r,_xlpm.c,_xlpm.c))))</f>
        <v/>
      </c>
    </row>
    <row r="975" spans="2:2" x14ac:dyDescent="0.2">
      <c r="B975" t="str" cm="1">
        <f t="array" ref="B975">IF(A975="","",_xlfn.CHOOSECOLS('Prematch Backend 2A'!975:975,_xlfn.MAKEARRAY(1,A975-2,_xlfn.LAMBDA(_xlpm.r,_xlpm.c,_xlpm.c))))</f>
        <v/>
      </c>
    </row>
    <row r="976" spans="2:2" x14ac:dyDescent="0.2">
      <c r="B976" t="str" cm="1">
        <f t="array" ref="B976">IF(A976="","",_xlfn.CHOOSECOLS('Prematch Backend 2A'!976:976,_xlfn.MAKEARRAY(1,A976-2,_xlfn.LAMBDA(_xlpm.r,_xlpm.c,_xlpm.c))))</f>
        <v/>
      </c>
    </row>
    <row r="977" spans="2:2" x14ac:dyDescent="0.2">
      <c r="B977" t="str" cm="1">
        <f t="array" ref="B977">IF(A977="","",_xlfn.CHOOSECOLS('Prematch Backend 2A'!977:977,_xlfn.MAKEARRAY(1,A977-2,_xlfn.LAMBDA(_xlpm.r,_xlpm.c,_xlpm.c))))</f>
        <v/>
      </c>
    </row>
    <row r="978" spans="2:2" x14ac:dyDescent="0.2">
      <c r="B978" t="str" cm="1">
        <f t="array" ref="B978">IF(A978="","",_xlfn.CHOOSECOLS('Prematch Backend 2A'!978:978,_xlfn.MAKEARRAY(1,A978-2,_xlfn.LAMBDA(_xlpm.r,_xlpm.c,_xlpm.c))))</f>
        <v/>
      </c>
    </row>
    <row r="979" spans="2:2" x14ac:dyDescent="0.2">
      <c r="B979" t="str" cm="1">
        <f t="array" ref="B979">IF(A979="","",_xlfn.CHOOSECOLS('Prematch Backend 2A'!979:979,_xlfn.MAKEARRAY(1,A979-2,_xlfn.LAMBDA(_xlpm.r,_xlpm.c,_xlpm.c))))</f>
        <v/>
      </c>
    </row>
    <row r="980" spans="2:2" x14ac:dyDescent="0.2">
      <c r="B980" t="str" cm="1">
        <f t="array" ref="B980">IF(A980="","",_xlfn.CHOOSECOLS('Prematch Backend 2A'!980:980,_xlfn.MAKEARRAY(1,A980-2,_xlfn.LAMBDA(_xlpm.r,_xlpm.c,_xlpm.c))))</f>
        <v/>
      </c>
    </row>
    <row r="981" spans="2:2" x14ac:dyDescent="0.2">
      <c r="B981" t="str" cm="1">
        <f t="array" ref="B981">IF(A981="","",_xlfn.CHOOSECOLS('Prematch Backend 2A'!981:981,_xlfn.MAKEARRAY(1,A981-2,_xlfn.LAMBDA(_xlpm.r,_xlpm.c,_xlpm.c))))</f>
        <v/>
      </c>
    </row>
    <row r="982" spans="2:2" x14ac:dyDescent="0.2">
      <c r="B982" t="str" cm="1">
        <f t="array" ref="B982">IF(A982="","",_xlfn.CHOOSECOLS('Prematch Backend 2A'!982:982,_xlfn.MAKEARRAY(1,A982-2,_xlfn.LAMBDA(_xlpm.r,_xlpm.c,_xlpm.c))))</f>
        <v/>
      </c>
    </row>
    <row r="983" spans="2:2" x14ac:dyDescent="0.2">
      <c r="B983" t="str" cm="1">
        <f t="array" ref="B983">IF(A983="","",_xlfn.CHOOSECOLS('Prematch Backend 2A'!983:983,_xlfn.MAKEARRAY(1,A983-2,_xlfn.LAMBDA(_xlpm.r,_xlpm.c,_xlpm.c))))</f>
        <v/>
      </c>
    </row>
    <row r="984" spans="2:2" x14ac:dyDescent="0.2">
      <c r="B984" t="str" cm="1">
        <f t="array" ref="B984">IF(A984="","",_xlfn.CHOOSECOLS('Prematch Backend 2A'!984:984,_xlfn.MAKEARRAY(1,A984-2,_xlfn.LAMBDA(_xlpm.r,_xlpm.c,_xlpm.c))))</f>
        <v/>
      </c>
    </row>
    <row r="985" spans="2:2" x14ac:dyDescent="0.2">
      <c r="B985" t="str" cm="1">
        <f t="array" ref="B985">IF(A985="","",_xlfn.CHOOSECOLS('Prematch Backend 2A'!985:985,_xlfn.MAKEARRAY(1,A985-2,_xlfn.LAMBDA(_xlpm.r,_xlpm.c,_xlpm.c))))</f>
        <v/>
      </c>
    </row>
    <row r="986" spans="2:2" x14ac:dyDescent="0.2">
      <c r="B986" t="str" cm="1">
        <f t="array" ref="B986">IF(A986="","",_xlfn.CHOOSECOLS('Prematch Backend 2A'!986:986,_xlfn.MAKEARRAY(1,A986-2,_xlfn.LAMBDA(_xlpm.r,_xlpm.c,_xlpm.c))))</f>
        <v/>
      </c>
    </row>
    <row r="987" spans="2:2" x14ac:dyDescent="0.2">
      <c r="B987" t="str" cm="1">
        <f t="array" ref="B987">IF(A987="","",_xlfn.CHOOSECOLS('Prematch Backend 2A'!987:987,_xlfn.MAKEARRAY(1,A987-2,_xlfn.LAMBDA(_xlpm.r,_xlpm.c,_xlpm.c))))</f>
        <v/>
      </c>
    </row>
    <row r="988" spans="2:2" x14ac:dyDescent="0.2">
      <c r="B988" t="str" cm="1">
        <f t="array" ref="B988">IF(A988="","",_xlfn.CHOOSECOLS('Prematch Backend 2A'!988:988,_xlfn.MAKEARRAY(1,A988-2,_xlfn.LAMBDA(_xlpm.r,_xlpm.c,_xlpm.c))))</f>
        <v/>
      </c>
    </row>
    <row r="989" spans="2:2" x14ac:dyDescent="0.2">
      <c r="B989" t="str" cm="1">
        <f t="array" ref="B989">IF(A989="","",_xlfn.CHOOSECOLS('Prematch Backend 2A'!989:989,_xlfn.MAKEARRAY(1,A989-2,_xlfn.LAMBDA(_xlpm.r,_xlpm.c,_xlpm.c))))</f>
        <v/>
      </c>
    </row>
    <row r="990" spans="2:2" x14ac:dyDescent="0.2">
      <c r="B990" t="str" cm="1">
        <f t="array" ref="B990">IF(A990="","",_xlfn.CHOOSECOLS('Prematch Backend 2A'!990:990,_xlfn.MAKEARRAY(1,A990-2,_xlfn.LAMBDA(_xlpm.r,_xlpm.c,_xlpm.c))))</f>
        <v/>
      </c>
    </row>
    <row r="991" spans="2:2" x14ac:dyDescent="0.2">
      <c r="B991" t="str" cm="1">
        <f t="array" ref="B991">IF(A991="","",_xlfn.CHOOSECOLS('Prematch Backend 2A'!991:991,_xlfn.MAKEARRAY(1,A991-2,_xlfn.LAMBDA(_xlpm.r,_xlpm.c,_xlpm.c))))</f>
        <v/>
      </c>
    </row>
    <row r="992" spans="2:2" x14ac:dyDescent="0.2">
      <c r="B992" t="str" cm="1">
        <f t="array" ref="B992">IF(A992="","",_xlfn.CHOOSECOLS('Prematch Backend 2A'!992:992,_xlfn.MAKEARRAY(1,A992-2,_xlfn.LAMBDA(_xlpm.r,_xlpm.c,_xlpm.c))))</f>
        <v/>
      </c>
    </row>
    <row r="993" spans="2:2" x14ac:dyDescent="0.2">
      <c r="B993" t="str" cm="1">
        <f t="array" ref="B993">IF(A993="","",_xlfn.CHOOSECOLS('Prematch Backend 2A'!993:993,_xlfn.MAKEARRAY(1,A993-2,_xlfn.LAMBDA(_xlpm.r,_xlpm.c,_xlpm.c))))</f>
        <v/>
      </c>
    </row>
    <row r="994" spans="2:2" x14ac:dyDescent="0.2">
      <c r="B994" t="str" cm="1">
        <f t="array" ref="B994">IF(A994="","",_xlfn.CHOOSECOLS('Prematch Backend 2A'!994:994,_xlfn.MAKEARRAY(1,A994-2,_xlfn.LAMBDA(_xlpm.r,_xlpm.c,_xlpm.c))))</f>
        <v/>
      </c>
    </row>
    <row r="995" spans="2:2" x14ac:dyDescent="0.2">
      <c r="B995" t="str" cm="1">
        <f t="array" ref="B995">IF(A995="","",_xlfn.CHOOSECOLS('Prematch Backend 2A'!995:995,_xlfn.MAKEARRAY(1,A995-2,_xlfn.LAMBDA(_xlpm.r,_xlpm.c,_xlpm.c))))</f>
        <v/>
      </c>
    </row>
    <row r="996" spans="2:2" x14ac:dyDescent="0.2">
      <c r="B996" t="str" cm="1">
        <f t="array" ref="B996">IF(A996="","",_xlfn.CHOOSECOLS('Prematch Backend 2A'!996:996,_xlfn.MAKEARRAY(1,A996-2,_xlfn.LAMBDA(_xlpm.r,_xlpm.c,_xlpm.c))))</f>
        <v/>
      </c>
    </row>
    <row r="997" spans="2:2" x14ac:dyDescent="0.2">
      <c r="B997" t="str" cm="1">
        <f t="array" ref="B997">IF(A997="","",_xlfn.CHOOSECOLS('Prematch Backend 2A'!997:997,_xlfn.MAKEARRAY(1,A997-2,_xlfn.LAMBDA(_xlpm.r,_xlpm.c,_xlpm.c))))</f>
        <v/>
      </c>
    </row>
    <row r="998" spans="2:2" x14ac:dyDescent="0.2">
      <c r="B998" t="str" cm="1">
        <f t="array" ref="B998">IF(A998="","",_xlfn.CHOOSECOLS('Prematch Backend 2A'!998:998,_xlfn.MAKEARRAY(1,A998-2,_xlfn.LAMBDA(_xlpm.r,_xlpm.c,_xlpm.c))))</f>
        <v/>
      </c>
    </row>
    <row r="999" spans="2:2" x14ac:dyDescent="0.2">
      <c r="B999" t="str" cm="1">
        <f t="array" ref="B999">IF(A999="","",_xlfn.CHOOSECOLS('Prematch Backend 2A'!999:999,_xlfn.MAKEARRAY(1,A999-2,_xlfn.LAMBDA(_xlpm.r,_xlpm.c,_xlpm.c))))</f>
        <v/>
      </c>
    </row>
    <row r="1000" spans="2:2" x14ac:dyDescent="0.2">
      <c r="B1000" t="str" cm="1">
        <f t="array" ref="B1000">IF(A1000="","",_xlfn.CHOOSECOLS('Prematch Backend 2A'!1000:1000,_xlfn.MAKEARRAY(1,A1000-2,_xlfn.LAMBDA(_xlpm.r,_xlpm.c,_xlpm.c))))</f>
        <v/>
      </c>
    </row>
    <row r="1001" spans="2:2" x14ac:dyDescent="0.2">
      <c r="B1001" t="str" cm="1">
        <f t="array" ref="B1001">IF(A1001="","",_xlfn.CHOOSECOLS('Prematch Backend 2A'!1001:1001,_xlfn.MAKEARRAY(1,A1001-2,_xlfn.LAMBDA(_xlpm.r,_xlpm.c,_xlpm.c))))</f>
        <v/>
      </c>
    </row>
    <row r="1002" spans="2:2" x14ac:dyDescent="0.2">
      <c r="B1002" t="str" cm="1">
        <f t="array" ref="B1002">IF(A1002="","",_xlfn.CHOOSECOLS('Prematch Backend 2A'!1002:1002,_xlfn.MAKEARRAY(1,A1002-2,_xlfn.LAMBDA(_xlpm.r,_xlpm.c,_xlpm.c))))</f>
        <v/>
      </c>
    </row>
    <row r="1003" spans="2:2" x14ac:dyDescent="0.2">
      <c r="B1003" t="str" cm="1">
        <f t="array" ref="B1003">IF(A1003="","",_xlfn.CHOOSECOLS('Prematch Backend 2A'!1003:1003,_xlfn.MAKEARRAY(1,A1003-2,_xlfn.LAMBDA(_xlpm.r,_xlpm.c,_xlpm.c))))</f>
        <v/>
      </c>
    </row>
    <row r="1004" spans="2:2" x14ac:dyDescent="0.2">
      <c r="B1004" t="str" cm="1">
        <f t="array" ref="B1004">IF(A1004="","",_xlfn.CHOOSECOLS('Prematch Backend 2A'!1004:1004,_xlfn.MAKEARRAY(1,A1004-2,_xlfn.LAMBDA(_xlpm.r,_xlpm.c,_xlpm.c))))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E756A-8204-4D0C-8456-F9D831C0FDE0}">
  <sheetPr codeName="Sheet16"/>
  <dimension ref="B1:H336"/>
  <sheetViews>
    <sheetView topLeftCell="B1" zoomScale="99" workbookViewId="0">
      <selection activeCell="F2" sqref="F2"/>
    </sheetView>
  </sheetViews>
  <sheetFormatPr baseColWidth="10" defaultColWidth="8.83203125" defaultRowHeight="15" x14ac:dyDescent="0.2"/>
  <cols>
    <col min="1" max="1" width="0" hidden="1" customWidth="1"/>
    <col min="7" max="8" width="11" customWidth="1"/>
  </cols>
  <sheetData>
    <row r="1" spans="2:7" x14ac:dyDescent="0.2">
      <c r="B1" t="s">
        <v>167</v>
      </c>
      <c r="D1" t="s">
        <v>168</v>
      </c>
    </row>
    <row r="2" spans="2:7" x14ac:dyDescent="0.2">
      <c r="B2">
        <f>'Prematch Backend 4A'!A2</f>
        <v>5000</v>
      </c>
      <c r="D2">
        <v>1</v>
      </c>
    </row>
    <row r="3" spans="2:7" x14ac:dyDescent="0.2">
      <c r="C3" t="s">
        <v>173</v>
      </c>
      <c r="D3" t="s">
        <v>174</v>
      </c>
      <c r="F3" t="s">
        <v>173</v>
      </c>
      <c r="G3" t="s">
        <v>174</v>
      </c>
    </row>
    <row r="5" spans="2:7" x14ac:dyDescent="0.2">
      <c r="C5" t="e" cm="1">
        <f t="array" ref="C5">_xlfn.TOCOL(_xlfn.CHOOSECOLS('Prematch Backend 4B'!5:5, _xlfn.MAKEARRAY(('Prematch Backend 4B'!E2)/4,1,_xlfn.LAMBDA(_xlpm.r,_xlpm.c,_xlpm.r*4-1))))</f>
        <v>#VALUE!</v>
      </c>
      <c r="D5" t="e" cm="1">
        <f t="array" ref="D5">ABS(_xlfn.TOCOL(_xlfn.CHOOSECOLS('Prematch Backend 4B'!5:5, _xlfn.MAKEARRAY(('Prematch Backend 4B'!E2)/4,1,_xlfn.LAMBDA(_xlpm.r,_xlpm.c,_xlpm.r*4-3)))))</f>
        <v>#VALUE!</v>
      </c>
      <c r="F5" t="e" cm="1" vm="2">
        <f t="array" ref="F5">_xlfn.TOCOL(IF(_xlfn.BYROW(G5:G1000,_xlfn.LAMBDA(_xlpm.r,MAX(getData(C5:C1000,D5:D1000,D5:D1000,_xlpm.r))))=0,"",_xlfn.BYROW(G5:G1000,_xlfn.LAMBDA(_xlpm.r,MAX(getData(C5:C1000,D5:D1000,D5:D1000,_xlpm.r))))),3)</f>
        <v>#VALUE!</v>
      </c>
      <c r="G5" t="e" cm="1">
        <f t="array" ref="G5">_xlfn.TOCOL(_xlfn._xlws.SORT(_xlfn.UNIQUE(D5:D1000)),1)</f>
        <v>#VALUE!</v>
      </c>
    </row>
    <row r="17" spans="8:8" x14ac:dyDescent="0.2">
      <c r="H17" t="str">
        <f t="shared" ref="H17:H80" si="0">IF(C16=0,"",C16)</f>
        <v/>
      </c>
    </row>
    <row r="18" spans="8:8" x14ac:dyDescent="0.2">
      <c r="H18" t="str">
        <f t="shared" si="0"/>
        <v/>
      </c>
    </row>
    <row r="19" spans="8:8" x14ac:dyDescent="0.2">
      <c r="H19" t="str">
        <f t="shared" si="0"/>
        <v/>
      </c>
    </row>
    <row r="20" spans="8:8" x14ac:dyDescent="0.2">
      <c r="H20" t="str">
        <f t="shared" si="0"/>
        <v/>
      </c>
    </row>
    <row r="21" spans="8:8" x14ac:dyDescent="0.2">
      <c r="H21" t="str">
        <f t="shared" si="0"/>
        <v/>
      </c>
    </row>
    <row r="22" spans="8:8" x14ac:dyDescent="0.2">
      <c r="H22" t="str">
        <f t="shared" si="0"/>
        <v/>
      </c>
    </row>
    <row r="23" spans="8:8" x14ac:dyDescent="0.2">
      <c r="H23" t="str">
        <f t="shared" si="0"/>
        <v/>
      </c>
    </row>
    <row r="24" spans="8:8" x14ac:dyDescent="0.2">
      <c r="H24" t="str">
        <f t="shared" si="0"/>
        <v/>
      </c>
    </row>
    <row r="25" spans="8:8" x14ac:dyDescent="0.2">
      <c r="H25" t="str">
        <f t="shared" si="0"/>
        <v/>
      </c>
    </row>
    <row r="26" spans="8:8" x14ac:dyDescent="0.2">
      <c r="H26" t="str">
        <f t="shared" si="0"/>
        <v/>
      </c>
    </row>
    <row r="27" spans="8:8" x14ac:dyDescent="0.2">
      <c r="H27" t="str">
        <f t="shared" si="0"/>
        <v/>
      </c>
    </row>
    <row r="28" spans="8:8" x14ac:dyDescent="0.2">
      <c r="H28" t="str">
        <f t="shared" si="0"/>
        <v/>
      </c>
    </row>
    <row r="29" spans="8:8" x14ac:dyDescent="0.2">
      <c r="H29" t="str">
        <f t="shared" si="0"/>
        <v/>
      </c>
    </row>
    <row r="30" spans="8:8" x14ac:dyDescent="0.2">
      <c r="H30" t="str">
        <f t="shared" si="0"/>
        <v/>
      </c>
    </row>
    <row r="31" spans="8:8" x14ac:dyDescent="0.2">
      <c r="H31" t="str">
        <f t="shared" si="0"/>
        <v/>
      </c>
    </row>
    <row r="32" spans="8:8" x14ac:dyDescent="0.2">
      <c r="H32" t="str">
        <f t="shared" si="0"/>
        <v/>
      </c>
    </row>
    <row r="33" spans="8:8" x14ac:dyDescent="0.2">
      <c r="H33" t="str">
        <f t="shared" si="0"/>
        <v/>
      </c>
    </row>
    <row r="34" spans="8:8" x14ac:dyDescent="0.2">
      <c r="H34" t="str">
        <f t="shared" si="0"/>
        <v/>
      </c>
    </row>
    <row r="35" spans="8:8" x14ac:dyDescent="0.2">
      <c r="H35" t="str">
        <f t="shared" si="0"/>
        <v/>
      </c>
    </row>
    <row r="36" spans="8:8" x14ac:dyDescent="0.2">
      <c r="H36" t="str">
        <f t="shared" si="0"/>
        <v/>
      </c>
    </row>
    <row r="37" spans="8:8" x14ac:dyDescent="0.2">
      <c r="H37" t="str">
        <f t="shared" si="0"/>
        <v/>
      </c>
    </row>
    <row r="38" spans="8:8" x14ac:dyDescent="0.2">
      <c r="H38" t="str">
        <f t="shared" si="0"/>
        <v/>
      </c>
    </row>
    <row r="39" spans="8:8" x14ac:dyDescent="0.2">
      <c r="H39" t="str">
        <f t="shared" si="0"/>
        <v/>
      </c>
    </row>
    <row r="40" spans="8:8" x14ac:dyDescent="0.2">
      <c r="H40" t="str">
        <f t="shared" si="0"/>
        <v/>
      </c>
    </row>
    <row r="41" spans="8:8" x14ac:dyDescent="0.2">
      <c r="H41" t="str">
        <f t="shared" si="0"/>
        <v/>
      </c>
    </row>
    <row r="42" spans="8:8" x14ac:dyDescent="0.2">
      <c r="H42" t="str">
        <f t="shared" si="0"/>
        <v/>
      </c>
    </row>
    <row r="43" spans="8:8" x14ac:dyDescent="0.2">
      <c r="H43" t="str">
        <f t="shared" si="0"/>
        <v/>
      </c>
    </row>
    <row r="44" spans="8:8" x14ac:dyDescent="0.2">
      <c r="H44" t="str">
        <f t="shared" si="0"/>
        <v/>
      </c>
    </row>
    <row r="45" spans="8:8" x14ac:dyDescent="0.2">
      <c r="H45" t="str">
        <f t="shared" si="0"/>
        <v/>
      </c>
    </row>
    <row r="46" spans="8:8" x14ac:dyDescent="0.2">
      <c r="H46" t="str">
        <f t="shared" si="0"/>
        <v/>
      </c>
    </row>
    <row r="47" spans="8:8" x14ac:dyDescent="0.2">
      <c r="H47" t="str">
        <f t="shared" si="0"/>
        <v/>
      </c>
    </row>
    <row r="48" spans="8:8" x14ac:dyDescent="0.2">
      <c r="H48" t="str">
        <f t="shared" si="0"/>
        <v/>
      </c>
    </row>
    <row r="49" spans="8:8" x14ac:dyDescent="0.2">
      <c r="H49" t="str">
        <f t="shared" si="0"/>
        <v/>
      </c>
    </row>
    <row r="50" spans="8:8" x14ac:dyDescent="0.2">
      <c r="H50" t="str">
        <f t="shared" si="0"/>
        <v/>
      </c>
    </row>
    <row r="51" spans="8:8" x14ac:dyDescent="0.2">
      <c r="H51" t="str">
        <f t="shared" si="0"/>
        <v/>
      </c>
    </row>
    <row r="52" spans="8:8" x14ac:dyDescent="0.2">
      <c r="H52" t="str">
        <f t="shared" si="0"/>
        <v/>
      </c>
    </row>
    <row r="53" spans="8:8" x14ac:dyDescent="0.2">
      <c r="H53" t="str">
        <f t="shared" si="0"/>
        <v/>
      </c>
    </row>
    <row r="54" spans="8:8" x14ac:dyDescent="0.2">
      <c r="H54" t="str">
        <f t="shared" si="0"/>
        <v/>
      </c>
    </row>
    <row r="55" spans="8:8" x14ac:dyDescent="0.2">
      <c r="H55" t="str">
        <f t="shared" si="0"/>
        <v/>
      </c>
    </row>
    <row r="56" spans="8:8" x14ac:dyDescent="0.2">
      <c r="H56" t="str">
        <f t="shared" si="0"/>
        <v/>
      </c>
    </row>
    <row r="57" spans="8:8" x14ac:dyDescent="0.2">
      <c r="H57" t="str">
        <f t="shared" si="0"/>
        <v/>
      </c>
    </row>
    <row r="58" spans="8:8" x14ac:dyDescent="0.2">
      <c r="H58" t="str">
        <f t="shared" si="0"/>
        <v/>
      </c>
    </row>
    <row r="59" spans="8:8" x14ac:dyDescent="0.2">
      <c r="H59" t="str">
        <f t="shared" si="0"/>
        <v/>
      </c>
    </row>
    <row r="60" spans="8:8" x14ac:dyDescent="0.2">
      <c r="H60" t="str">
        <f t="shared" si="0"/>
        <v/>
      </c>
    </row>
    <row r="61" spans="8:8" x14ac:dyDescent="0.2">
      <c r="H61" t="str">
        <f t="shared" si="0"/>
        <v/>
      </c>
    </row>
    <row r="62" spans="8:8" x14ac:dyDescent="0.2">
      <c r="H62" t="str">
        <f t="shared" si="0"/>
        <v/>
      </c>
    </row>
    <row r="63" spans="8:8" x14ac:dyDescent="0.2">
      <c r="H63" t="str">
        <f t="shared" si="0"/>
        <v/>
      </c>
    </row>
    <row r="64" spans="8:8" x14ac:dyDescent="0.2">
      <c r="H64" t="str">
        <f t="shared" si="0"/>
        <v/>
      </c>
    </row>
    <row r="65" spans="8:8" x14ac:dyDescent="0.2">
      <c r="H65" t="str">
        <f t="shared" si="0"/>
        <v/>
      </c>
    </row>
    <row r="66" spans="8:8" x14ac:dyDescent="0.2">
      <c r="H66" t="str">
        <f t="shared" si="0"/>
        <v/>
      </c>
    </row>
    <row r="67" spans="8:8" x14ac:dyDescent="0.2">
      <c r="H67" t="str">
        <f t="shared" si="0"/>
        <v/>
      </c>
    </row>
    <row r="68" spans="8:8" x14ac:dyDescent="0.2">
      <c r="H68" t="str">
        <f t="shared" si="0"/>
        <v/>
      </c>
    </row>
    <row r="69" spans="8:8" x14ac:dyDescent="0.2">
      <c r="H69" t="str">
        <f t="shared" si="0"/>
        <v/>
      </c>
    </row>
    <row r="70" spans="8:8" x14ac:dyDescent="0.2">
      <c r="H70" t="str">
        <f t="shared" si="0"/>
        <v/>
      </c>
    </row>
    <row r="71" spans="8:8" x14ac:dyDescent="0.2">
      <c r="H71" t="str">
        <f t="shared" si="0"/>
        <v/>
      </c>
    </row>
    <row r="72" spans="8:8" x14ac:dyDescent="0.2">
      <c r="H72" t="str">
        <f t="shared" si="0"/>
        <v/>
      </c>
    </row>
    <row r="73" spans="8:8" x14ac:dyDescent="0.2">
      <c r="H73" t="str">
        <f t="shared" si="0"/>
        <v/>
      </c>
    </row>
    <row r="74" spans="8:8" x14ac:dyDescent="0.2">
      <c r="H74" t="str">
        <f t="shared" si="0"/>
        <v/>
      </c>
    </row>
    <row r="75" spans="8:8" x14ac:dyDescent="0.2">
      <c r="H75" t="str">
        <f t="shared" si="0"/>
        <v/>
      </c>
    </row>
    <row r="76" spans="8:8" x14ac:dyDescent="0.2">
      <c r="H76" t="str">
        <f t="shared" si="0"/>
        <v/>
      </c>
    </row>
    <row r="77" spans="8:8" x14ac:dyDescent="0.2">
      <c r="H77" t="str">
        <f t="shared" si="0"/>
        <v/>
      </c>
    </row>
    <row r="78" spans="8:8" x14ac:dyDescent="0.2">
      <c r="H78" t="str">
        <f t="shared" si="0"/>
        <v/>
      </c>
    </row>
    <row r="79" spans="8:8" x14ac:dyDescent="0.2">
      <c r="H79" t="str">
        <f t="shared" si="0"/>
        <v/>
      </c>
    </row>
    <row r="80" spans="8:8" x14ac:dyDescent="0.2">
      <c r="H80" t="str">
        <f t="shared" si="0"/>
        <v/>
      </c>
    </row>
    <row r="81" spans="8:8" x14ac:dyDescent="0.2">
      <c r="H81" t="str">
        <f t="shared" ref="H81:H144" si="1">IF(C80=0,"",C80)</f>
        <v/>
      </c>
    </row>
    <row r="82" spans="8:8" x14ac:dyDescent="0.2">
      <c r="H82" t="str">
        <f t="shared" si="1"/>
        <v/>
      </c>
    </row>
    <row r="83" spans="8:8" x14ac:dyDescent="0.2">
      <c r="H83" t="str">
        <f t="shared" si="1"/>
        <v/>
      </c>
    </row>
    <row r="84" spans="8:8" x14ac:dyDescent="0.2">
      <c r="H84" t="str">
        <f t="shared" si="1"/>
        <v/>
      </c>
    </row>
    <row r="85" spans="8:8" x14ac:dyDescent="0.2">
      <c r="H85" t="str">
        <f t="shared" si="1"/>
        <v/>
      </c>
    </row>
    <row r="86" spans="8:8" x14ac:dyDescent="0.2">
      <c r="H86" t="str">
        <f t="shared" si="1"/>
        <v/>
      </c>
    </row>
    <row r="87" spans="8:8" x14ac:dyDescent="0.2">
      <c r="H87" t="str">
        <f t="shared" si="1"/>
        <v/>
      </c>
    </row>
    <row r="88" spans="8:8" x14ac:dyDescent="0.2">
      <c r="H88" t="str">
        <f t="shared" si="1"/>
        <v/>
      </c>
    </row>
    <row r="89" spans="8:8" x14ac:dyDescent="0.2">
      <c r="H89" t="str">
        <f t="shared" si="1"/>
        <v/>
      </c>
    </row>
    <row r="90" spans="8:8" x14ac:dyDescent="0.2">
      <c r="H90" t="str">
        <f t="shared" si="1"/>
        <v/>
      </c>
    </row>
    <row r="91" spans="8:8" x14ac:dyDescent="0.2">
      <c r="H91" t="str">
        <f t="shared" si="1"/>
        <v/>
      </c>
    </row>
    <row r="92" spans="8:8" x14ac:dyDescent="0.2">
      <c r="H92" t="str">
        <f t="shared" si="1"/>
        <v/>
      </c>
    </row>
    <row r="93" spans="8:8" x14ac:dyDescent="0.2">
      <c r="H93" t="str">
        <f t="shared" si="1"/>
        <v/>
      </c>
    </row>
    <row r="94" spans="8:8" x14ac:dyDescent="0.2">
      <c r="H94" t="str">
        <f t="shared" si="1"/>
        <v/>
      </c>
    </row>
    <row r="95" spans="8:8" x14ac:dyDescent="0.2">
      <c r="H95" t="str">
        <f t="shared" si="1"/>
        <v/>
      </c>
    </row>
    <row r="96" spans="8:8" x14ac:dyDescent="0.2">
      <c r="H96" t="str">
        <f t="shared" si="1"/>
        <v/>
      </c>
    </row>
    <row r="97" spans="8:8" x14ac:dyDescent="0.2">
      <c r="H97" t="str">
        <f t="shared" si="1"/>
        <v/>
      </c>
    </row>
    <row r="98" spans="8:8" x14ac:dyDescent="0.2">
      <c r="H98" t="str">
        <f t="shared" si="1"/>
        <v/>
      </c>
    </row>
    <row r="99" spans="8:8" x14ac:dyDescent="0.2">
      <c r="H99" t="str">
        <f t="shared" si="1"/>
        <v/>
      </c>
    </row>
    <row r="100" spans="8:8" x14ac:dyDescent="0.2">
      <c r="H100" t="str">
        <f t="shared" si="1"/>
        <v/>
      </c>
    </row>
    <row r="101" spans="8:8" x14ac:dyDescent="0.2">
      <c r="H101" t="str">
        <f t="shared" si="1"/>
        <v/>
      </c>
    </row>
    <row r="102" spans="8:8" x14ac:dyDescent="0.2">
      <c r="H102" t="str">
        <f t="shared" si="1"/>
        <v/>
      </c>
    </row>
    <row r="103" spans="8:8" x14ac:dyDescent="0.2">
      <c r="H103" t="str">
        <f t="shared" si="1"/>
        <v/>
      </c>
    </row>
    <row r="104" spans="8:8" x14ac:dyDescent="0.2">
      <c r="H104" t="str">
        <f t="shared" si="1"/>
        <v/>
      </c>
    </row>
    <row r="105" spans="8:8" x14ac:dyDescent="0.2">
      <c r="H105" t="str">
        <f t="shared" si="1"/>
        <v/>
      </c>
    </row>
    <row r="106" spans="8:8" x14ac:dyDescent="0.2">
      <c r="H106" t="str">
        <f t="shared" si="1"/>
        <v/>
      </c>
    </row>
    <row r="107" spans="8:8" x14ac:dyDescent="0.2">
      <c r="H107" t="str">
        <f t="shared" si="1"/>
        <v/>
      </c>
    </row>
    <row r="108" spans="8:8" x14ac:dyDescent="0.2">
      <c r="H108" t="str">
        <f t="shared" si="1"/>
        <v/>
      </c>
    </row>
    <row r="109" spans="8:8" x14ac:dyDescent="0.2">
      <c r="H109" t="str">
        <f t="shared" si="1"/>
        <v/>
      </c>
    </row>
    <row r="110" spans="8:8" x14ac:dyDescent="0.2">
      <c r="H110" t="str">
        <f t="shared" si="1"/>
        <v/>
      </c>
    </row>
    <row r="111" spans="8:8" x14ac:dyDescent="0.2">
      <c r="H111" t="str">
        <f t="shared" si="1"/>
        <v/>
      </c>
    </row>
    <row r="112" spans="8:8" x14ac:dyDescent="0.2">
      <c r="H112" t="str">
        <f t="shared" si="1"/>
        <v/>
      </c>
    </row>
    <row r="113" spans="8:8" x14ac:dyDescent="0.2">
      <c r="H113" t="str">
        <f t="shared" si="1"/>
        <v/>
      </c>
    </row>
    <row r="114" spans="8:8" x14ac:dyDescent="0.2">
      <c r="H114" t="str">
        <f t="shared" si="1"/>
        <v/>
      </c>
    </row>
    <row r="115" spans="8:8" x14ac:dyDescent="0.2">
      <c r="H115" t="str">
        <f t="shared" si="1"/>
        <v/>
      </c>
    </row>
    <row r="116" spans="8:8" x14ac:dyDescent="0.2">
      <c r="H116" t="str">
        <f t="shared" si="1"/>
        <v/>
      </c>
    </row>
    <row r="117" spans="8:8" x14ac:dyDescent="0.2">
      <c r="H117" t="str">
        <f t="shared" si="1"/>
        <v/>
      </c>
    </row>
    <row r="118" spans="8:8" x14ac:dyDescent="0.2">
      <c r="H118" t="str">
        <f t="shared" si="1"/>
        <v/>
      </c>
    </row>
    <row r="119" spans="8:8" x14ac:dyDescent="0.2">
      <c r="H119" t="str">
        <f t="shared" si="1"/>
        <v/>
      </c>
    </row>
    <row r="120" spans="8:8" x14ac:dyDescent="0.2">
      <c r="H120" t="str">
        <f t="shared" si="1"/>
        <v/>
      </c>
    </row>
    <row r="121" spans="8:8" x14ac:dyDescent="0.2">
      <c r="H121" t="str">
        <f t="shared" si="1"/>
        <v/>
      </c>
    </row>
    <row r="122" spans="8:8" x14ac:dyDescent="0.2">
      <c r="H122" t="str">
        <f t="shared" si="1"/>
        <v/>
      </c>
    </row>
    <row r="123" spans="8:8" x14ac:dyDescent="0.2">
      <c r="H123" t="str">
        <f t="shared" si="1"/>
        <v/>
      </c>
    </row>
    <row r="124" spans="8:8" x14ac:dyDescent="0.2">
      <c r="H124" t="str">
        <f t="shared" si="1"/>
        <v/>
      </c>
    </row>
    <row r="125" spans="8:8" x14ac:dyDescent="0.2">
      <c r="H125" t="str">
        <f t="shared" si="1"/>
        <v/>
      </c>
    </row>
    <row r="126" spans="8:8" x14ac:dyDescent="0.2">
      <c r="H126" t="str">
        <f t="shared" si="1"/>
        <v/>
      </c>
    </row>
    <row r="127" spans="8:8" x14ac:dyDescent="0.2">
      <c r="H127" t="str">
        <f t="shared" si="1"/>
        <v/>
      </c>
    </row>
    <row r="128" spans="8:8" x14ac:dyDescent="0.2">
      <c r="H128" t="str">
        <f t="shared" si="1"/>
        <v/>
      </c>
    </row>
    <row r="129" spans="8:8" x14ac:dyDescent="0.2">
      <c r="H129" t="str">
        <f t="shared" si="1"/>
        <v/>
      </c>
    </row>
    <row r="130" spans="8:8" x14ac:dyDescent="0.2">
      <c r="H130" t="str">
        <f t="shared" si="1"/>
        <v/>
      </c>
    </row>
    <row r="131" spans="8:8" x14ac:dyDescent="0.2">
      <c r="H131" t="str">
        <f t="shared" si="1"/>
        <v/>
      </c>
    </row>
    <row r="132" spans="8:8" x14ac:dyDescent="0.2">
      <c r="H132" t="str">
        <f t="shared" si="1"/>
        <v/>
      </c>
    </row>
    <row r="133" spans="8:8" x14ac:dyDescent="0.2">
      <c r="H133" t="str">
        <f t="shared" si="1"/>
        <v/>
      </c>
    </row>
    <row r="134" spans="8:8" x14ac:dyDescent="0.2">
      <c r="H134" t="str">
        <f t="shared" si="1"/>
        <v/>
      </c>
    </row>
    <row r="135" spans="8:8" x14ac:dyDescent="0.2">
      <c r="H135" t="str">
        <f t="shared" si="1"/>
        <v/>
      </c>
    </row>
    <row r="136" spans="8:8" x14ac:dyDescent="0.2">
      <c r="H136" t="str">
        <f t="shared" si="1"/>
        <v/>
      </c>
    </row>
    <row r="137" spans="8:8" x14ac:dyDescent="0.2">
      <c r="H137" t="str">
        <f t="shared" si="1"/>
        <v/>
      </c>
    </row>
    <row r="138" spans="8:8" x14ac:dyDescent="0.2">
      <c r="H138" t="str">
        <f t="shared" si="1"/>
        <v/>
      </c>
    </row>
    <row r="139" spans="8:8" x14ac:dyDescent="0.2">
      <c r="H139" t="str">
        <f t="shared" si="1"/>
        <v/>
      </c>
    </row>
    <row r="140" spans="8:8" x14ac:dyDescent="0.2">
      <c r="H140" t="str">
        <f t="shared" si="1"/>
        <v/>
      </c>
    </row>
    <row r="141" spans="8:8" x14ac:dyDescent="0.2">
      <c r="H141" t="str">
        <f t="shared" si="1"/>
        <v/>
      </c>
    </row>
    <row r="142" spans="8:8" x14ac:dyDescent="0.2">
      <c r="H142" t="str">
        <f t="shared" si="1"/>
        <v/>
      </c>
    </row>
    <row r="143" spans="8:8" x14ac:dyDescent="0.2">
      <c r="H143" t="str">
        <f t="shared" si="1"/>
        <v/>
      </c>
    </row>
    <row r="144" spans="8:8" x14ac:dyDescent="0.2">
      <c r="H144" t="str">
        <f t="shared" si="1"/>
        <v/>
      </c>
    </row>
    <row r="145" spans="8:8" x14ac:dyDescent="0.2">
      <c r="H145" t="str">
        <f t="shared" ref="H145:H208" si="2">IF(C144=0,"",C144)</f>
        <v/>
      </c>
    </row>
    <row r="146" spans="8:8" x14ac:dyDescent="0.2">
      <c r="H146" t="str">
        <f t="shared" si="2"/>
        <v/>
      </c>
    </row>
    <row r="147" spans="8:8" x14ac:dyDescent="0.2">
      <c r="H147" t="str">
        <f t="shared" si="2"/>
        <v/>
      </c>
    </row>
    <row r="148" spans="8:8" x14ac:dyDescent="0.2">
      <c r="H148" t="str">
        <f t="shared" si="2"/>
        <v/>
      </c>
    </row>
    <row r="149" spans="8:8" x14ac:dyDescent="0.2">
      <c r="H149" t="str">
        <f t="shared" si="2"/>
        <v/>
      </c>
    </row>
    <row r="150" spans="8:8" x14ac:dyDescent="0.2">
      <c r="H150" t="str">
        <f t="shared" si="2"/>
        <v/>
      </c>
    </row>
    <row r="151" spans="8:8" x14ac:dyDescent="0.2">
      <c r="H151" t="str">
        <f t="shared" si="2"/>
        <v/>
      </c>
    </row>
    <row r="152" spans="8:8" x14ac:dyDescent="0.2">
      <c r="H152" t="str">
        <f t="shared" si="2"/>
        <v/>
      </c>
    </row>
    <row r="153" spans="8:8" x14ac:dyDescent="0.2">
      <c r="H153" t="str">
        <f t="shared" si="2"/>
        <v/>
      </c>
    </row>
    <row r="154" spans="8:8" x14ac:dyDescent="0.2">
      <c r="H154" t="str">
        <f t="shared" si="2"/>
        <v/>
      </c>
    </row>
    <row r="155" spans="8:8" x14ac:dyDescent="0.2">
      <c r="H155" t="str">
        <f t="shared" si="2"/>
        <v/>
      </c>
    </row>
    <row r="156" spans="8:8" x14ac:dyDescent="0.2">
      <c r="H156" t="str">
        <f t="shared" si="2"/>
        <v/>
      </c>
    </row>
    <row r="157" spans="8:8" x14ac:dyDescent="0.2">
      <c r="H157" t="str">
        <f t="shared" si="2"/>
        <v/>
      </c>
    </row>
    <row r="158" spans="8:8" x14ac:dyDescent="0.2">
      <c r="H158" t="str">
        <f t="shared" si="2"/>
        <v/>
      </c>
    </row>
    <row r="159" spans="8:8" x14ac:dyDescent="0.2">
      <c r="H159" t="str">
        <f t="shared" si="2"/>
        <v/>
      </c>
    </row>
    <row r="160" spans="8:8" x14ac:dyDescent="0.2">
      <c r="H160" t="str">
        <f t="shared" si="2"/>
        <v/>
      </c>
    </row>
    <row r="161" spans="8:8" x14ac:dyDescent="0.2">
      <c r="H161" t="str">
        <f t="shared" si="2"/>
        <v/>
      </c>
    </row>
    <row r="162" spans="8:8" x14ac:dyDescent="0.2">
      <c r="H162" t="str">
        <f t="shared" si="2"/>
        <v/>
      </c>
    </row>
    <row r="163" spans="8:8" x14ac:dyDescent="0.2">
      <c r="H163" t="str">
        <f t="shared" si="2"/>
        <v/>
      </c>
    </row>
    <row r="164" spans="8:8" x14ac:dyDescent="0.2">
      <c r="H164" t="str">
        <f t="shared" si="2"/>
        <v/>
      </c>
    </row>
    <row r="165" spans="8:8" x14ac:dyDescent="0.2">
      <c r="H165" t="str">
        <f t="shared" si="2"/>
        <v/>
      </c>
    </row>
    <row r="166" spans="8:8" x14ac:dyDescent="0.2">
      <c r="H166" t="str">
        <f t="shared" si="2"/>
        <v/>
      </c>
    </row>
    <row r="167" spans="8:8" x14ac:dyDescent="0.2">
      <c r="H167" t="str">
        <f t="shared" si="2"/>
        <v/>
      </c>
    </row>
    <row r="168" spans="8:8" x14ac:dyDescent="0.2">
      <c r="H168" t="str">
        <f t="shared" si="2"/>
        <v/>
      </c>
    </row>
    <row r="169" spans="8:8" x14ac:dyDescent="0.2">
      <c r="H169" t="str">
        <f t="shared" si="2"/>
        <v/>
      </c>
    </row>
    <row r="170" spans="8:8" x14ac:dyDescent="0.2">
      <c r="H170" t="str">
        <f t="shared" si="2"/>
        <v/>
      </c>
    </row>
    <row r="171" spans="8:8" x14ac:dyDescent="0.2">
      <c r="H171" t="str">
        <f t="shared" si="2"/>
        <v/>
      </c>
    </row>
    <row r="172" spans="8:8" x14ac:dyDescent="0.2">
      <c r="H172" t="str">
        <f t="shared" si="2"/>
        <v/>
      </c>
    </row>
    <row r="173" spans="8:8" x14ac:dyDescent="0.2">
      <c r="H173" t="str">
        <f t="shared" si="2"/>
        <v/>
      </c>
    </row>
    <row r="174" spans="8:8" x14ac:dyDescent="0.2">
      <c r="H174" t="str">
        <f t="shared" si="2"/>
        <v/>
      </c>
    </row>
    <row r="175" spans="8:8" x14ac:dyDescent="0.2">
      <c r="H175" t="str">
        <f t="shared" si="2"/>
        <v/>
      </c>
    </row>
    <row r="176" spans="8:8" x14ac:dyDescent="0.2">
      <c r="H176" t="str">
        <f t="shared" si="2"/>
        <v/>
      </c>
    </row>
    <row r="177" spans="8:8" x14ac:dyDescent="0.2">
      <c r="H177" t="str">
        <f t="shared" si="2"/>
        <v/>
      </c>
    </row>
    <row r="178" spans="8:8" x14ac:dyDescent="0.2">
      <c r="H178" t="str">
        <f t="shared" si="2"/>
        <v/>
      </c>
    </row>
    <row r="179" spans="8:8" x14ac:dyDescent="0.2">
      <c r="H179" t="str">
        <f t="shared" si="2"/>
        <v/>
      </c>
    </row>
    <row r="180" spans="8:8" x14ac:dyDescent="0.2">
      <c r="H180" t="str">
        <f t="shared" si="2"/>
        <v/>
      </c>
    </row>
    <row r="181" spans="8:8" x14ac:dyDescent="0.2">
      <c r="H181" t="str">
        <f t="shared" si="2"/>
        <v/>
      </c>
    </row>
    <row r="182" spans="8:8" x14ac:dyDescent="0.2">
      <c r="H182" t="str">
        <f t="shared" si="2"/>
        <v/>
      </c>
    </row>
    <row r="183" spans="8:8" x14ac:dyDescent="0.2">
      <c r="H183" t="str">
        <f t="shared" si="2"/>
        <v/>
      </c>
    </row>
    <row r="184" spans="8:8" x14ac:dyDescent="0.2">
      <c r="H184" t="str">
        <f t="shared" si="2"/>
        <v/>
      </c>
    </row>
    <row r="185" spans="8:8" x14ac:dyDescent="0.2">
      <c r="H185" t="str">
        <f t="shared" si="2"/>
        <v/>
      </c>
    </row>
    <row r="186" spans="8:8" x14ac:dyDescent="0.2">
      <c r="H186" t="str">
        <f t="shared" si="2"/>
        <v/>
      </c>
    </row>
    <row r="187" spans="8:8" x14ac:dyDescent="0.2">
      <c r="H187" t="str">
        <f t="shared" si="2"/>
        <v/>
      </c>
    </row>
    <row r="188" spans="8:8" x14ac:dyDescent="0.2">
      <c r="H188" t="str">
        <f t="shared" si="2"/>
        <v/>
      </c>
    </row>
    <row r="189" spans="8:8" x14ac:dyDescent="0.2">
      <c r="H189" t="str">
        <f t="shared" si="2"/>
        <v/>
      </c>
    </row>
    <row r="190" spans="8:8" x14ac:dyDescent="0.2">
      <c r="H190" t="str">
        <f t="shared" si="2"/>
        <v/>
      </c>
    </row>
    <row r="191" spans="8:8" x14ac:dyDescent="0.2">
      <c r="H191" t="str">
        <f t="shared" si="2"/>
        <v/>
      </c>
    </row>
    <row r="192" spans="8:8" x14ac:dyDescent="0.2">
      <c r="H192" t="str">
        <f t="shared" si="2"/>
        <v/>
      </c>
    </row>
    <row r="193" spans="8:8" x14ac:dyDescent="0.2">
      <c r="H193" t="str">
        <f t="shared" si="2"/>
        <v/>
      </c>
    </row>
    <row r="194" spans="8:8" x14ac:dyDescent="0.2">
      <c r="H194" t="str">
        <f t="shared" si="2"/>
        <v/>
      </c>
    </row>
    <row r="195" spans="8:8" x14ac:dyDescent="0.2">
      <c r="H195" t="str">
        <f t="shared" si="2"/>
        <v/>
      </c>
    </row>
    <row r="196" spans="8:8" x14ac:dyDescent="0.2">
      <c r="H196" t="str">
        <f t="shared" si="2"/>
        <v/>
      </c>
    </row>
    <row r="197" spans="8:8" x14ac:dyDescent="0.2">
      <c r="H197" t="str">
        <f t="shared" si="2"/>
        <v/>
      </c>
    </row>
    <row r="198" spans="8:8" x14ac:dyDescent="0.2">
      <c r="H198" t="str">
        <f t="shared" si="2"/>
        <v/>
      </c>
    </row>
    <row r="199" spans="8:8" x14ac:dyDescent="0.2">
      <c r="H199" t="str">
        <f t="shared" si="2"/>
        <v/>
      </c>
    </row>
    <row r="200" spans="8:8" x14ac:dyDescent="0.2">
      <c r="H200" t="str">
        <f t="shared" si="2"/>
        <v/>
      </c>
    </row>
    <row r="201" spans="8:8" x14ac:dyDescent="0.2">
      <c r="H201" t="str">
        <f t="shared" si="2"/>
        <v/>
      </c>
    </row>
    <row r="202" spans="8:8" x14ac:dyDescent="0.2">
      <c r="H202" t="str">
        <f t="shared" si="2"/>
        <v/>
      </c>
    </row>
    <row r="203" spans="8:8" x14ac:dyDescent="0.2">
      <c r="H203" t="str">
        <f t="shared" si="2"/>
        <v/>
      </c>
    </row>
    <row r="204" spans="8:8" x14ac:dyDescent="0.2">
      <c r="H204" t="str">
        <f t="shared" si="2"/>
        <v/>
      </c>
    </row>
    <row r="205" spans="8:8" x14ac:dyDescent="0.2">
      <c r="H205" t="str">
        <f t="shared" si="2"/>
        <v/>
      </c>
    </row>
    <row r="206" spans="8:8" x14ac:dyDescent="0.2">
      <c r="H206" t="str">
        <f t="shared" si="2"/>
        <v/>
      </c>
    </row>
    <row r="207" spans="8:8" x14ac:dyDescent="0.2">
      <c r="H207" t="str">
        <f t="shared" si="2"/>
        <v/>
      </c>
    </row>
    <row r="208" spans="8:8" x14ac:dyDescent="0.2">
      <c r="H208" t="str">
        <f t="shared" si="2"/>
        <v/>
      </c>
    </row>
    <row r="209" spans="8:8" x14ac:dyDescent="0.2">
      <c r="H209" t="str">
        <f t="shared" ref="H209:H272" si="3">IF(C208=0,"",C208)</f>
        <v/>
      </c>
    </row>
    <row r="210" spans="8:8" x14ac:dyDescent="0.2">
      <c r="H210" t="str">
        <f t="shared" si="3"/>
        <v/>
      </c>
    </row>
    <row r="211" spans="8:8" x14ac:dyDescent="0.2">
      <c r="H211" t="str">
        <f t="shared" si="3"/>
        <v/>
      </c>
    </row>
    <row r="212" spans="8:8" x14ac:dyDescent="0.2">
      <c r="H212" t="str">
        <f t="shared" si="3"/>
        <v/>
      </c>
    </row>
    <row r="213" spans="8:8" x14ac:dyDescent="0.2">
      <c r="H213" t="str">
        <f t="shared" si="3"/>
        <v/>
      </c>
    </row>
    <row r="214" spans="8:8" x14ac:dyDescent="0.2">
      <c r="H214" t="str">
        <f t="shared" si="3"/>
        <v/>
      </c>
    </row>
    <row r="215" spans="8:8" x14ac:dyDescent="0.2">
      <c r="H215" t="str">
        <f t="shared" si="3"/>
        <v/>
      </c>
    </row>
    <row r="216" spans="8:8" x14ac:dyDescent="0.2">
      <c r="H216" t="str">
        <f t="shared" si="3"/>
        <v/>
      </c>
    </row>
    <row r="217" spans="8:8" x14ac:dyDescent="0.2">
      <c r="H217" t="str">
        <f t="shared" si="3"/>
        <v/>
      </c>
    </row>
    <row r="218" spans="8:8" x14ac:dyDescent="0.2">
      <c r="H218" t="str">
        <f t="shared" si="3"/>
        <v/>
      </c>
    </row>
    <row r="219" spans="8:8" x14ac:dyDescent="0.2">
      <c r="H219" t="str">
        <f t="shared" si="3"/>
        <v/>
      </c>
    </row>
    <row r="220" spans="8:8" x14ac:dyDescent="0.2">
      <c r="H220" t="str">
        <f t="shared" si="3"/>
        <v/>
      </c>
    </row>
    <row r="221" spans="8:8" x14ac:dyDescent="0.2">
      <c r="H221" t="str">
        <f t="shared" si="3"/>
        <v/>
      </c>
    </row>
    <row r="222" spans="8:8" x14ac:dyDescent="0.2">
      <c r="H222" t="str">
        <f t="shared" si="3"/>
        <v/>
      </c>
    </row>
    <row r="223" spans="8:8" x14ac:dyDescent="0.2">
      <c r="H223" t="str">
        <f t="shared" si="3"/>
        <v/>
      </c>
    </row>
    <row r="224" spans="8:8" x14ac:dyDescent="0.2">
      <c r="H224" t="str">
        <f t="shared" si="3"/>
        <v/>
      </c>
    </row>
    <row r="225" spans="8:8" x14ac:dyDescent="0.2">
      <c r="H225" t="str">
        <f t="shared" si="3"/>
        <v/>
      </c>
    </row>
    <row r="226" spans="8:8" x14ac:dyDescent="0.2">
      <c r="H226" t="str">
        <f t="shared" si="3"/>
        <v/>
      </c>
    </row>
    <row r="227" spans="8:8" x14ac:dyDescent="0.2">
      <c r="H227" t="str">
        <f t="shared" si="3"/>
        <v/>
      </c>
    </row>
    <row r="228" spans="8:8" x14ac:dyDescent="0.2">
      <c r="H228" t="str">
        <f t="shared" si="3"/>
        <v/>
      </c>
    </row>
    <row r="229" spans="8:8" x14ac:dyDescent="0.2">
      <c r="H229" t="str">
        <f t="shared" si="3"/>
        <v/>
      </c>
    </row>
    <row r="230" spans="8:8" x14ac:dyDescent="0.2">
      <c r="H230" t="str">
        <f t="shared" si="3"/>
        <v/>
      </c>
    </row>
    <row r="231" spans="8:8" x14ac:dyDescent="0.2">
      <c r="H231" t="str">
        <f t="shared" si="3"/>
        <v/>
      </c>
    </row>
    <row r="232" spans="8:8" x14ac:dyDescent="0.2">
      <c r="H232" t="str">
        <f t="shared" si="3"/>
        <v/>
      </c>
    </row>
    <row r="233" spans="8:8" x14ac:dyDescent="0.2">
      <c r="H233" t="str">
        <f t="shared" si="3"/>
        <v/>
      </c>
    </row>
    <row r="234" spans="8:8" x14ac:dyDescent="0.2">
      <c r="H234" t="str">
        <f t="shared" si="3"/>
        <v/>
      </c>
    </row>
    <row r="235" spans="8:8" x14ac:dyDescent="0.2">
      <c r="H235" t="str">
        <f t="shared" si="3"/>
        <v/>
      </c>
    </row>
    <row r="236" spans="8:8" x14ac:dyDescent="0.2">
      <c r="H236" t="str">
        <f t="shared" si="3"/>
        <v/>
      </c>
    </row>
    <row r="237" spans="8:8" x14ac:dyDescent="0.2">
      <c r="H237" t="str">
        <f t="shared" si="3"/>
        <v/>
      </c>
    </row>
    <row r="238" spans="8:8" x14ac:dyDescent="0.2">
      <c r="H238" t="str">
        <f t="shared" si="3"/>
        <v/>
      </c>
    </row>
    <row r="239" spans="8:8" x14ac:dyDescent="0.2">
      <c r="H239" t="str">
        <f t="shared" si="3"/>
        <v/>
      </c>
    </row>
    <row r="240" spans="8:8" x14ac:dyDescent="0.2">
      <c r="H240" t="str">
        <f t="shared" si="3"/>
        <v/>
      </c>
    </row>
    <row r="241" spans="8:8" x14ac:dyDescent="0.2">
      <c r="H241" t="str">
        <f t="shared" si="3"/>
        <v/>
      </c>
    </row>
    <row r="242" spans="8:8" x14ac:dyDescent="0.2">
      <c r="H242" t="str">
        <f t="shared" si="3"/>
        <v/>
      </c>
    </row>
    <row r="243" spans="8:8" x14ac:dyDescent="0.2">
      <c r="H243" t="str">
        <f t="shared" si="3"/>
        <v/>
      </c>
    </row>
    <row r="244" spans="8:8" x14ac:dyDescent="0.2">
      <c r="H244" t="str">
        <f t="shared" si="3"/>
        <v/>
      </c>
    </row>
    <row r="245" spans="8:8" x14ac:dyDescent="0.2">
      <c r="H245" t="str">
        <f t="shared" si="3"/>
        <v/>
      </c>
    </row>
    <row r="246" spans="8:8" x14ac:dyDescent="0.2">
      <c r="H246" t="str">
        <f t="shared" si="3"/>
        <v/>
      </c>
    </row>
    <row r="247" spans="8:8" x14ac:dyDescent="0.2">
      <c r="H247" t="str">
        <f t="shared" si="3"/>
        <v/>
      </c>
    </row>
    <row r="248" spans="8:8" x14ac:dyDescent="0.2">
      <c r="H248" t="str">
        <f t="shared" si="3"/>
        <v/>
      </c>
    </row>
    <row r="249" spans="8:8" x14ac:dyDescent="0.2">
      <c r="H249" t="str">
        <f t="shared" si="3"/>
        <v/>
      </c>
    </row>
    <row r="250" spans="8:8" x14ac:dyDescent="0.2">
      <c r="H250" t="str">
        <f t="shared" si="3"/>
        <v/>
      </c>
    </row>
    <row r="251" spans="8:8" x14ac:dyDescent="0.2">
      <c r="H251" t="str">
        <f t="shared" si="3"/>
        <v/>
      </c>
    </row>
    <row r="252" spans="8:8" x14ac:dyDescent="0.2">
      <c r="H252" t="str">
        <f t="shared" si="3"/>
        <v/>
      </c>
    </row>
    <row r="253" spans="8:8" x14ac:dyDescent="0.2">
      <c r="H253" t="str">
        <f t="shared" si="3"/>
        <v/>
      </c>
    </row>
    <row r="254" spans="8:8" x14ac:dyDescent="0.2">
      <c r="H254" t="str">
        <f t="shared" si="3"/>
        <v/>
      </c>
    </row>
    <row r="255" spans="8:8" x14ac:dyDescent="0.2">
      <c r="H255" t="str">
        <f t="shared" si="3"/>
        <v/>
      </c>
    </row>
    <row r="256" spans="8:8" x14ac:dyDescent="0.2">
      <c r="H256" t="str">
        <f t="shared" si="3"/>
        <v/>
      </c>
    </row>
    <row r="257" spans="8:8" x14ac:dyDescent="0.2">
      <c r="H257" t="str">
        <f t="shared" si="3"/>
        <v/>
      </c>
    </row>
    <row r="258" spans="8:8" x14ac:dyDescent="0.2">
      <c r="H258" t="str">
        <f t="shared" si="3"/>
        <v/>
      </c>
    </row>
    <row r="259" spans="8:8" x14ac:dyDescent="0.2">
      <c r="H259" t="str">
        <f t="shared" si="3"/>
        <v/>
      </c>
    </row>
    <row r="260" spans="8:8" x14ac:dyDescent="0.2">
      <c r="H260" t="str">
        <f t="shared" si="3"/>
        <v/>
      </c>
    </row>
    <row r="261" spans="8:8" x14ac:dyDescent="0.2">
      <c r="H261" t="str">
        <f t="shared" si="3"/>
        <v/>
      </c>
    </row>
    <row r="262" spans="8:8" x14ac:dyDescent="0.2">
      <c r="H262" t="str">
        <f t="shared" si="3"/>
        <v/>
      </c>
    </row>
    <row r="263" spans="8:8" x14ac:dyDescent="0.2">
      <c r="H263" t="str">
        <f t="shared" si="3"/>
        <v/>
      </c>
    </row>
    <row r="264" spans="8:8" x14ac:dyDescent="0.2">
      <c r="H264" t="str">
        <f t="shared" si="3"/>
        <v/>
      </c>
    </row>
    <row r="265" spans="8:8" x14ac:dyDescent="0.2">
      <c r="H265" t="str">
        <f t="shared" si="3"/>
        <v/>
      </c>
    </row>
    <row r="266" spans="8:8" x14ac:dyDescent="0.2">
      <c r="H266" t="str">
        <f t="shared" si="3"/>
        <v/>
      </c>
    </row>
    <row r="267" spans="8:8" x14ac:dyDescent="0.2">
      <c r="H267" t="str">
        <f t="shared" si="3"/>
        <v/>
      </c>
    </row>
    <row r="268" spans="8:8" x14ac:dyDescent="0.2">
      <c r="H268" t="str">
        <f t="shared" si="3"/>
        <v/>
      </c>
    </row>
    <row r="269" spans="8:8" x14ac:dyDescent="0.2">
      <c r="H269" t="str">
        <f t="shared" si="3"/>
        <v/>
      </c>
    </row>
    <row r="270" spans="8:8" x14ac:dyDescent="0.2">
      <c r="H270" t="str">
        <f t="shared" si="3"/>
        <v/>
      </c>
    </row>
    <row r="271" spans="8:8" x14ac:dyDescent="0.2">
      <c r="H271" t="str">
        <f t="shared" si="3"/>
        <v/>
      </c>
    </row>
    <row r="272" spans="8:8" x14ac:dyDescent="0.2">
      <c r="H272" t="str">
        <f t="shared" si="3"/>
        <v/>
      </c>
    </row>
    <row r="273" spans="8:8" x14ac:dyDescent="0.2">
      <c r="H273" t="str">
        <f t="shared" ref="H273:H336" si="4">IF(C272=0,"",C272)</f>
        <v/>
      </c>
    </row>
    <row r="274" spans="8:8" x14ac:dyDescent="0.2">
      <c r="H274" t="str">
        <f t="shared" si="4"/>
        <v/>
      </c>
    </row>
    <row r="275" spans="8:8" x14ac:dyDescent="0.2">
      <c r="H275" t="str">
        <f t="shared" si="4"/>
        <v/>
      </c>
    </row>
    <row r="276" spans="8:8" x14ac:dyDescent="0.2">
      <c r="H276" t="str">
        <f t="shared" si="4"/>
        <v/>
      </c>
    </row>
    <row r="277" spans="8:8" x14ac:dyDescent="0.2">
      <c r="H277" t="str">
        <f t="shared" si="4"/>
        <v/>
      </c>
    </row>
    <row r="278" spans="8:8" x14ac:dyDescent="0.2">
      <c r="H278" t="str">
        <f t="shared" si="4"/>
        <v/>
      </c>
    </row>
    <row r="279" spans="8:8" x14ac:dyDescent="0.2">
      <c r="H279" t="str">
        <f t="shared" si="4"/>
        <v/>
      </c>
    </row>
    <row r="280" spans="8:8" x14ac:dyDescent="0.2">
      <c r="H280" t="str">
        <f t="shared" si="4"/>
        <v/>
      </c>
    </row>
    <row r="281" spans="8:8" x14ac:dyDescent="0.2">
      <c r="H281" t="str">
        <f t="shared" si="4"/>
        <v/>
      </c>
    </row>
    <row r="282" spans="8:8" x14ac:dyDescent="0.2">
      <c r="H282" t="str">
        <f t="shared" si="4"/>
        <v/>
      </c>
    </row>
    <row r="283" spans="8:8" x14ac:dyDescent="0.2">
      <c r="H283" t="str">
        <f t="shared" si="4"/>
        <v/>
      </c>
    </row>
    <row r="284" spans="8:8" x14ac:dyDescent="0.2">
      <c r="H284" t="str">
        <f t="shared" si="4"/>
        <v/>
      </c>
    </row>
    <row r="285" spans="8:8" x14ac:dyDescent="0.2">
      <c r="H285" t="str">
        <f t="shared" si="4"/>
        <v/>
      </c>
    </row>
    <row r="286" spans="8:8" x14ac:dyDescent="0.2">
      <c r="H286" t="str">
        <f t="shared" si="4"/>
        <v/>
      </c>
    </row>
    <row r="287" spans="8:8" x14ac:dyDescent="0.2">
      <c r="H287" t="str">
        <f t="shared" si="4"/>
        <v/>
      </c>
    </row>
    <row r="288" spans="8:8" x14ac:dyDescent="0.2">
      <c r="H288" t="str">
        <f t="shared" si="4"/>
        <v/>
      </c>
    </row>
    <row r="289" spans="8:8" x14ac:dyDescent="0.2">
      <c r="H289" t="str">
        <f t="shared" si="4"/>
        <v/>
      </c>
    </row>
    <row r="290" spans="8:8" x14ac:dyDescent="0.2">
      <c r="H290" t="str">
        <f t="shared" si="4"/>
        <v/>
      </c>
    </row>
    <row r="291" spans="8:8" x14ac:dyDescent="0.2">
      <c r="H291" t="str">
        <f t="shared" si="4"/>
        <v/>
      </c>
    </row>
    <row r="292" spans="8:8" x14ac:dyDescent="0.2">
      <c r="H292" t="str">
        <f t="shared" si="4"/>
        <v/>
      </c>
    </row>
    <row r="293" spans="8:8" x14ac:dyDescent="0.2">
      <c r="H293" t="str">
        <f t="shared" si="4"/>
        <v/>
      </c>
    </row>
    <row r="294" spans="8:8" x14ac:dyDescent="0.2">
      <c r="H294" t="str">
        <f t="shared" si="4"/>
        <v/>
      </c>
    </row>
    <row r="295" spans="8:8" x14ac:dyDescent="0.2">
      <c r="H295" t="str">
        <f t="shared" si="4"/>
        <v/>
      </c>
    </row>
    <row r="296" spans="8:8" x14ac:dyDescent="0.2">
      <c r="H296" t="str">
        <f t="shared" si="4"/>
        <v/>
      </c>
    </row>
    <row r="297" spans="8:8" x14ac:dyDescent="0.2">
      <c r="H297" t="str">
        <f t="shared" si="4"/>
        <v/>
      </c>
    </row>
    <row r="298" spans="8:8" x14ac:dyDescent="0.2">
      <c r="H298" t="str">
        <f t="shared" si="4"/>
        <v/>
      </c>
    </row>
    <row r="299" spans="8:8" x14ac:dyDescent="0.2">
      <c r="H299" t="str">
        <f t="shared" si="4"/>
        <v/>
      </c>
    </row>
    <row r="300" spans="8:8" x14ac:dyDescent="0.2">
      <c r="H300" t="str">
        <f t="shared" si="4"/>
        <v/>
      </c>
    </row>
    <row r="301" spans="8:8" x14ac:dyDescent="0.2">
      <c r="H301" t="str">
        <f t="shared" si="4"/>
        <v/>
      </c>
    </row>
    <row r="302" spans="8:8" x14ac:dyDescent="0.2">
      <c r="H302" t="str">
        <f t="shared" si="4"/>
        <v/>
      </c>
    </row>
    <row r="303" spans="8:8" x14ac:dyDescent="0.2">
      <c r="H303" t="str">
        <f t="shared" si="4"/>
        <v/>
      </c>
    </row>
    <row r="304" spans="8:8" x14ac:dyDescent="0.2">
      <c r="H304" t="str">
        <f t="shared" si="4"/>
        <v/>
      </c>
    </row>
    <row r="305" spans="8:8" x14ac:dyDescent="0.2">
      <c r="H305" t="str">
        <f t="shared" si="4"/>
        <v/>
      </c>
    </row>
    <row r="306" spans="8:8" x14ac:dyDescent="0.2">
      <c r="H306" t="str">
        <f t="shared" si="4"/>
        <v/>
      </c>
    </row>
    <row r="307" spans="8:8" x14ac:dyDescent="0.2">
      <c r="H307" t="str">
        <f t="shared" si="4"/>
        <v/>
      </c>
    </row>
    <row r="308" spans="8:8" x14ac:dyDescent="0.2">
      <c r="H308" t="str">
        <f t="shared" si="4"/>
        <v/>
      </c>
    </row>
    <row r="309" spans="8:8" x14ac:dyDescent="0.2">
      <c r="H309" t="str">
        <f t="shared" si="4"/>
        <v/>
      </c>
    </row>
    <row r="310" spans="8:8" x14ac:dyDescent="0.2">
      <c r="H310" t="str">
        <f t="shared" si="4"/>
        <v/>
      </c>
    </row>
    <row r="311" spans="8:8" x14ac:dyDescent="0.2">
      <c r="H311" t="str">
        <f t="shared" si="4"/>
        <v/>
      </c>
    </row>
    <row r="312" spans="8:8" x14ac:dyDescent="0.2">
      <c r="H312" t="str">
        <f t="shared" si="4"/>
        <v/>
      </c>
    </row>
    <row r="313" spans="8:8" x14ac:dyDescent="0.2">
      <c r="H313" t="str">
        <f t="shared" si="4"/>
        <v/>
      </c>
    </row>
    <row r="314" spans="8:8" x14ac:dyDescent="0.2">
      <c r="H314" t="str">
        <f t="shared" si="4"/>
        <v/>
      </c>
    </row>
    <row r="315" spans="8:8" x14ac:dyDescent="0.2">
      <c r="H315" t="str">
        <f t="shared" si="4"/>
        <v/>
      </c>
    </row>
    <row r="316" spans="8:8" x14ac:dyDescent="0.2">
      <c r="H316" t="str">
        <f t="shared" si="4"/>
        <v/>
      </c>
    </row>
    <row r="317" spans="8:8" x14ac:dyDescent="0.2">
      <c r="H317" t="str">
        <f t="shared" si="4"/>
        <v/>
      </c>
    </row>
    <row r="318" spans="8:8" x14ac:dyDescent="0.2">
      <c r="H318" t="str">
        <f t="shared" si="4"/>
        <v/>
      </c>
    </row>
    <row r="319" spans="8:8" x14ac:dyDescent="0.2">
      <c r="H319" t="str">
        <f t="shared" si="4"/>
        <v/>
      </c>
    </row>
    <row r="320" spans="8:8" x14ac:dyDescent="0.2">
      <c r="H320" t="str">
        <f t="shared" si="4"/>
        <v/>
      </c>
    </row>
    <row r="321" spans="8:8" x14ac:dyDescent="0.2">
      <c r="H321" t="str">
        <f t="shared" si="4"/>
        <v/>
      </c>
    </row>
    <row r="322" spans="8:8" x14ac:dyDescent="0.2">
      <c r="H322" t="str">
        <f t="shared" si="4"/>
        <v/>
      </c>
    </row>
    <row r="323" spans="8:8" x14ac:dyDescent="0.2">
      <c r="H323" t="str">
        <f t="shared" si="4"/>
        <v/>
      </c>
    </row>
    <row r="324" spans="8:8" x14ac:dyDescent="0.2">
      <c r="H324" t="str">
        <f t="shared" si="4"/>
        <v/>
      </c>
    </row>
    <row r="325" spans="8:8" x14ac:dyDescent="0.2">
      <c r="H325" t="str">
        <f t="shared" si="4"/>
        <v/>
      </c>
    </row>
    <row r="326" spans="8:8" x14ac:dyDescent="0.2">
      <c r="H326" t="str">
        <f t="shared" si="4"/>
        <v/>
      </c>
    </row>
    <row r="327" spans="8:8" x14ac:dyDescent="0.2">
      <c r="H327" t="str">
        <f t="shared" si="4"/>
        <v/>
      </c>
    </row>
    <row r="328" spans="8:8" x14ac:dyDescent="0.2">
      <c r="H328" t="str">
        <f t="shared" si="4"/>
        <v/>
      </c>
    </row>
    <row r="329" spans="8:8" x14ac:dyDescent="0.2">
      <c r="H329" t="str">
        <f t="shared" si="4"/>
        <v/>
      </c>
    </row>
    <row r="330" spans="8:8" x14ac:dyDescent="0.2">
      <c r="H330" t="str">
        <f t="shared" si="4"/>
        <v/>
      </c>
    </row>
    <row r="331" spans="8:8" x14ac:dyDescent="0.2">
      <c r="H331" t="str">
        <f t="shared" si="4"/>
        <v/>
      </c>
    </row>
    <row r="332" spans="8:8" x14ac:dyDescent="0.2">
      <c r="H332" t="str">
        <f t="shared" si="4"/>
        <v/>
      </c>
    </row>
    <row r="333" spans="8:8" x14ac:dyDescent="0.2">
      <c r="H333" t="str">
        <f t="shared" si="4"/>
        <v/>
      </c>
    </row>
    <row r="334" spans="8:8" x14ac:dyDescent="0.2">
      <c r="H334" t="str">
        <f t="shared" si="4"/>
        <v/>
      </c>
    </row>
    <row r="335" spans="8:8" x14ac:dyDescent="0.2">
      <c r="H335" t="str">
        <f t="shared" si="4"/>
        <v/>
      </c>
    </row>
    <row r="336" spans="8:8" x14ac:dyDescent="0.2">
      <c r="H336" t="str">
        <f t="shared" si="4"/>
        <v/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5A98-499A-4BA5-822C-D7D4CB5DE583}">
  <sheetPr codeName="Sheet17"/>
  <dimension ref="A1:E7"/>
  <sheetViews>
    <sheetView workbookViewId="0">
      <selection activeCell="F2" sqref="F2"/>
    </sheetView>
  </sheetViews>
  <sheetFormatPr baseColWidth="10" defaultColWidth="8.83203125" defaultRowHeight="15" x14ac:dyDescent="0.2"/>
  <sheetData>
    <row r="1" spans="1:5" x14ac:dyDescent="0.2">
      <c r="A1" t="s">
        <v>167</v>
      </c>
      <c r="C1" t="s">
        <v>168</v>
      </c>
      <c r="E1" t="s">
        <v>169</v>
      </c>
    </row>
    <row r="2" spans="1:5" x14ac:dyDescent="0.2">
      <c r="A2">
        <f>Prematch!I2</f>
        <v>6443</v>
      </c>
      <c r="C2">
        <f>'Auto Path Backend 3'!E2</f>
        <v>0</v>
      </c>
      <c r="E2" t="e" cm="1">
        <f t="array" ref="E2">MAX(_xlfn.BYCOL(5:5, _xlfn.LAMBDA(_xlpm.ARRAY,IF(_xlpm.ARRAY="teleOp", COLUMN(_xlpm.ARRAY), 0))))</f>
        <v>#VALUE!</v>
      </c>
    </row>
    <row r="3" spans="1:5" x14ac:dyDescent="0.2">
      <c r="B3">
        <f>COLUMN(B3)</f>
        <v>2</v>
      </c>
    </row>
    <row r="4" spans="1:5" x14ac:dyDescent="0.2">
      <c r="A4" t="s">
        <v>170</v>
      </c>
    </row>
    <row r="5" spans="1:5" x14ac:dyDescent="0.2">
      <c r="A5" t="e" cm="1">
        <f t="array" ref="A5">_xlfn.CHOOSEROWS(7:100,C2)</f>
        <v>#VALUE!</v>
      </c>
    </row>
    <row r="6" spans="1:5" x14ac:dyDescent="0.2">
      <c r="A6" t="s">
        <v>171</v>
      </c>
    </row>
    <row r="7" spans="1:5" x14ac:dyDescent="0.2">
      <c r="A7" t="e" cm="1">
        <f t="array" ref="A7">IF(_xlfn.CHOOSEROWS(Sheet1!AD:FN,getDataRows(Sheet1!D:D,Sheet1!E:E,'Prematch Backend 5A'!A2))=0,"",_xlfn.CHOOSEROWS(Sheet1!AD:FN,getDataRows(Sheet1!D:D,Sheet1!E:E,'Prematch Backend 5A'!A2)))</f>
        <v>#VALUE!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B25E4-64B6-4E5D-BB2B-E0C27AEE902B}">
  <sheetPr codeName="Sheet18"/>
  <dimension ref="A1:E1004"/>
  <sheetViews>
    <sheetView zoomScaleNormal="86" workbookViewId="0">
      <selection activeCell="F2" sqref="F2"/>
    </sheetView>
  </sheetViews>
  <sheetFormatPr baseColWidth="10" defaultColWidth="8.83203125" defaultRowHeight="15" x14ac:dyDescent="0.2"/>
  <sheetData>
    <row r="1" spans="1:5" x14ac:dyDescent="0.2">
      <c r="A1" t="s">
        <v>167</v>
      </c>
      <c r="C1" t="s">
        <v>168</v>
      </c>
      <c r="E1" t="s">
        <v>169</v>
      </c>
    </row>
    <row r="2" spans="1:5" x14ac:dyDescent="0.2">
      <c r="A2">
        <f>'Prematch Backend 5A'!A2</f>
        <v>6443</v>
      </c>
      <c r="C2">
        <f>'Auto Path Backend 3'!E2</f>
        <v>0</v>
      </c>
      <c r="E2">
        <f>COUNTA(5:5)</f>
        <v>1</v>
      </c>
    </row>
    <row r="3" spans="1:5" x14ac:dyDescent="0.2">
      <c r="B3">
        <f>COLUMN(B3)</f>
        <v>2</v>
      </c>
    </row>
    <row r="4" spans="1:5" x14ac:dyDescent="0.2">
      <c r="A4" t="s">
        <v>170</v>
      </c>
    </row>
    <row r="5" spans="1:5" x14ac:dyDescent="0.2">
      <c r="A5" t="e" cm="1">
        <f t="array" ref="A5">_xlfn.TOROW(_xlfn.CHOOSEROWS(B7:AAA100,_xlfn.MAKEARRAY(1,COUNTA(C7:C100),_xlfn.LAMBDA(_xlpm.r,_xlpm.c,_xlpm.c))),1)</f>
        <v>#VALUE!</v>
      </c>
    </row>
    <row r="6" spans="1:5" x14ac:dyDescent="0.2">
      <c r="A6" t="s">
        <v>171</v>
      </c>
    </row>
    <row r="7" spans="1:5" x14ac:dyDescent="0.2">
      <c r="A7" t="e" cm="1">
        <f t="array" ref="A7">IF(MAX(_xlfn.BYCOL('Prematch Backend 5A'!7:7, _xlfn.LAMBDA(_xlpm.ARRAY,IF(_xlpm.ARRAY="teleOp", COLUMN(_xlpm.ARRAY), 0))))=0,"",MAX(_xlfn.BYCOL('Prematch Backend 5A'!7:7, _xlfn.LAMBDA(_xlpm.ARRAY,IF(_xlpm.ARRAY="teleOp", COLUMN(_xlpm.ARRAY), 0)))))</f>
        <v>#VALUE!</v>
      </c>
      <c r="B7" t="e" cm="1">
        <f t="array" ref="B7">IF(A7="","",_xlfn.CHOOSECOLS('Prematch Backend 2A'!7:7,_xlfn.MAKEARRAY(1,A7-2,_xlfn.LAMBDA(_xlpm.r,_xlpm.c,_xlpm.c))))</f>
        <v>#VALUE!</v>
      </c>
    </row>
    <row r="8" spans="1:5" x14ac:dyDescent="0.2">
      <c r="A8" t="str" cm="1">
        <f t="array" ref="A8">IF(MAX(_xlfn.BYCOL('Prematch Backend 5A'!8:8, _xlfn.LAMBDA(_xlpm.ARRAY,IF(_xlpm.ARRAY="teleOp", COLUMN(_xlpm.ARRAY), 0))))=0,"",MAX(_xlfn.BYCOL('Prematch Backend 5A'!8:8, _xlfn.LAMBDA(_xlpm.ARRAY,IF(_xlpm.ARRAY="teleOp", COLUMN(_xlpm.ARRAY), 0)))))</f>
        <v/>
      </c>
      <c r="B8" t="str" cm="1">
        <f t="array" ref="B8">IF(A8="","",_xlfn.CHOOSECOLS('Prematch Backend 2A'!8:8,_xlfn.MAKEARRAY(1,A8-2,_xlfn.LAMBDA(_xlpm.r,_xlpm.c,_xlpm.c))))</f>
        <v/>
      </c>
    </row>
    <row r="9" spans="1:5" x14ac:dyDescent="0.2">
      <c r="A9" t="str" cm="1">
        <f t="array" ref="A9">IF(MAX(_xlfn.BYCOL('Prematch Backend 5A'!9:9, _xlfn.LAMBDA(_xlpm.ARRAY,IF(_xlpm.ARRAY="teleOp", COLUMN(_xlpm.ARRAY), 0))))=0,"",MAX(_xlfn.BYCOL('Prematch Backend 5A'!9:9, _xlfn.LAMBDA(_xlpm.ARRAY,IF(_xlpm.ARRAY="teleOp", COLUMN(_xlpm.ARRAY), 0)))))</f>
        <v/>
      </c>
      <c r="B9" t="str" cm="1">
        <f t="array" ref="B9">IF(A9="","",_xlfn.CHOOSECOLS('Prematch Backend 2A'!9:9,_xlfn.MAKEARRAY(1,A9-2,_xlfn.LAMBDA(_xlpm.r,_xlpm.c,_xlpm.c))))</f>
        <v/>
      </c>
    </row>
    <row r="10" spans="1:5" x14ac:dyDescent="0.2">
      <c r="A10" t="str" cm="1">
        <f t="array" ref="A10">IF(MAX(_xlfn.BYCOL('Prematch Backend 5A'!10:10, _xlfn.LAMBDA(_xlpm.ARRAY,IF(_xlpm.ARRAY="teleOp", COLUMN(_xlpm.ARRAY), 0))))=0,"",MAX(_xlfn.BYCOL('Prematch Backend 5A'!10:10, _xlfn.LAMBDA(_xlpm.ARRAY,IF(_xlpm.ARRAY="teleOp", COLUMN(_xlpm.ARRAY), 0)))))</f>
        <v/>
      </c>
      <c r="B10" t="str" cm="1">
        <f t="array" ref="B10">IF(A10="","",_xlfn.CHOOSECOLS('Prematch Backend 2A'!10:10,_xlfn.MAKEARRAY(1,A10-2,_xlfn.LAMBDA(_xlpm.r,_xlpm.c,_xlpm.c))))</f>
        <v/>
      </c>
    </row>
    <row r="11" spans="1:5" x14ac:dyDescent="0.2">
      <c r="A11" t="str" cm="1">
        <f t="array" ref="A11">IF(MAX(_xlfn.BYCOL('Prematch Backend 5A'!11:11, _xlfn.LAMBDA(_xlpm.ARRAY,IF(_xlpm.ARRAY="teleOp", COLUMN(_xlpm.ARRAY), 0))))=0,"",MAX(_xlfn.BYCOL('Prematch Backend 5A'!11:11, _xlfn.LAMBDA(_xlpm.ARRAY,IF(_xlpm.ARRAY="teleOp", COLUMN(_xlpm.ARRAY), 0)))))</f>
        <v/>
      </c>
      <c r="B11" t="str" cm="1">
        <f t="array" ref="B11">IF(A11="","",_xlfn.CHOOSECOLS('Prematch Backend 2A'!11:11,_xlfn.MAKEARRAY(1,A11-2,_xlfn.LAMBDA(_xlpm.r,_xlpm.c,_xlpm.c))))</f>
        <v/>
      </c>
    </row>
    <row r="12" spans="1:5" x14ac:dyDescent="0.2">
      <c r="A12" t="str" cm="1">
        <f t="array" ref="A12">IF(MAX(_xlfn.BYCOL('Prematch Backend 5A'!12:12, _xlfn.LAMBDA(_xlpm.ARRAY,IF(_xlpm.ARRAY="teleOp", COLUMN(_xlpm.ARRAY), 0))))=0,"",MAX(_xlfn.BYCOL('Prematch Backend 5A'!12:12, _xlfn.LAMBDA(_xlpm.ARRAY,IF(_xlpm.ARRAY="teleOp", COLUMN(_xlpm.ARRAY), 0)))))</f>
        <v/>
      </c>
      <c r="B12" t="str" cm="1">
        <f t="array" ref="B12">IF(A12="","",_xlfn.CHOOSECOLS('Prematch Backend 2A'!12:12,_xlfn.MAKEARRAY(1,A12-2,_xlfn.LAMBDA(_xlpm.r,_xlpm.c,_xlpm.c))))</f>
        <v/>
      </c>
    </row>
    <row r="13" spans="1:5" x14ac:dyDescent="0.2">
      <c r="B13" t="str" cm="1">
        <f t="array" ref="B13">IF(A13="","",_xlfn.CHOOSECOLS('Prematch Backend 2A'!13:13,_xlfn.MAKEARRAY(1,A13-2,_xlfn.LAMBDA(_xlpm.r,_xlpm.c,_xlpm.c))))</f>
        <v/>
      </c>
    </row>
    <row r="14" spans="1:5" x14ac:dyDescent="0.2">
      <c r="A14" t="str" cm="1">
        <f t="array" ref="A14">IF(MAX(_xlfn.BYCOL('Prematch Backend 5A'!14:14, _xlfn.LAMBDA(_xlpm.ARRAY,IF(_xlpm.ARRAY="teleOp", COLUMN(_xlpm.ARRAY), 0))))=0,"",MAX(_xlfn.BYCOL('Prematch Backend 5A'!14:14, _xlfn.LAMBDA(_xlpm.ARRAY,IF(_xlpm.ARRAY="teleOp", COLUMN(_xlpm.ARRAY), 0)))))</f>
        <v/>
      </c>
      <c r="B14" t="str" cm="1">
        <f t="array" ref="B14">IF(A14="","",_xlfn.CHOOSECOLS('Prematch Backend 2A'!14:14,_xlfn.MAKEARRAY(1,A14-2,_xlfn.LAMBDA(_xlpm.r,_xlpm.c,_xlpm.c))))</f>
        <v/>
      </c>
    </row>
    <row r="15" spans="1:5" x14ac:dyDescent="0.2">
      <c r="A15" t="str" cm="1">
        <f t="array" ref="A15">IF(MAX(_xlfn.BYCOL('Prematch Backend 5A'!15:15, _xlfn.LAMBDA(_xlpm.ARRAY,IF(_xlpm.ARRAY="teleOp", COLUMN(_xlpm.ARRAY), 0))))=0,"",MAX(_xlfn.BYCOL('Prematch Backend 5A'!15:15, _xlfn.LAMBDA(_xlpm.ARRAY,IF(_xlpm.ARRAY="teleOp", COLUMN(_xlpm.ARRAY), 0)))))</f>
        <v/>
      </c>
      <c r="B15" t="str" cm="1">
        <f t="array" ref="B15">IF(A15="","",_xlfn.CHOOSECOLS('Prematch Backend 2A'!15:15,_xlfn.MAKEARRAY(1,A15-2,_xlfn.LAMBDA(_xlpm.r,_xlpm.c,_xlpm.c))))</f>
        <v/>
      </c>
    </row>
    <row r="16" spans="1:5" x14ac:dyDescent="0.2">
      <c r="A16" t="str" cm="1">
        <f t="array" ref="A16">IF(MAX(_xlfn.BYCOL('Prematch Backend 5A'!16:16, _xlfn.LAMBDA(_xlpm.ARRAY,IF(_xlpm.ARRAY="teleOp", COLUMN(_xlpm.ARRAY), 0))))=0,"",MAX(_xlfn.BYCOL('Prematch Backend 5A'!16:16, _xlfn.LAMBDA(_xlpm.ARRAY,IF(_xlpm.ARRAY="teleOp", COLUMN(_xlpm.ARRAY), 0)))))</f>
        <v/>
      </c>
      <c r="B16" t="str" cm="1">
        <f t="array" ref="B16">IF(A16="","",_xlfn.CHOOSECOLS('Prematch Backend 2A'!16:16,_xlfn.MAKEARRAY(1,A16-2,_xlfn.LAMBDA(_xlpm.r,_xlpm.c,_xlpm.c))))</f>
        <v/>
      </c>
    </row>
    <row r="17" spans="1:2" x14ac:dyDescent="0.2">
      <c r="A17" t="str" cm="1">
        <f t="array" ref="A17">IF(MAX(_xlfn.BYCOL('Prematch Backend 5A'!17:17, _xlfn.LAMBDA(_xlpm.ARRAY,IF(_xlpm.ARRAY="teleOp", COLUMN(_xlpm.ARRAY), 0))))=0,"",MAX(_xlfn.BYCOL('Prematch Backend 5A'!17:17, _xlfn.LAMBDA(_xlpm.ARRAY,IF(_xlpm.ARRAY="teleOp", COLUMN(_xlpm.ARRAY), 0)))))</f>
        <v/>
      </c>
      <c r="B17" t="str" cm="1">
        <f t="array" ref="B17">IF(A17="","",_xlfn.CHOOSECOLS('Prematch Backend 2A'!17:17,_xlfn.MAKEARRAY(1,A17-2,_xlfn.LAMBDA(_xlpm.r,_xlpm.c,_xlpm.c))))</f>
        <v/>
      </c>
    </row>
    <row r="18" spans="1:2" x14ac:dyDescent="0.2">
      <c r="A18" t="str" cm="1">
        <f t="array" ref="A18">IF(MAX(_xlfn.BYCOL('Prematch Backend 5A'!18:18, _xlfn.LAMBDA(_xlpm.ARRAY,IF(_xlpm.ARRAY="teleOp", COLUMN(_xlpm.ARRAY), 0))))=0,"",MAX(_xlfn.BYCOL('Prematch Backend 5A'!18:18, _xlfn.LAMBDA(_xlpm.ARRAY,IF(_xlpm.ARRAY="teleOp", COLUMN(_xlpm.ARRAY), 0)))))</f>
        <v/>
      </c>
      <c r="B18" t="str" cm="1">
        <f t="array" ref="B18">IF(A18="","",_xlfn.CHOOSECOLS('Prematch Backend 2A'!18:18,_xlfn.MAKEARRAY(1,A18-2,_xlfn.LAMBDA(_xlpm.r,_xlpm.c,_xlpm.c))))</f>
        <v/>
      </c>
    </row>
    <row r="19" spans="1:2" x14ac:dyDescent="0.2">
      <c r="A19" t="str" cm="1">
        <f t="array" ref="A19">IF(MAX(_xlfn.BYCOL('Prematch Backend 5A'!19:19, _xlfn.LAMBDA(_xlpm.ARRAY,IF(_xlpm.ARRAY="teleOp", COLUMN(_xlpm.ARRAY), 0))))=0,"",MAX(_xlfn.BYCOL('Prematch Backend 5A'!19:19, _xlfn.LAMBDA(_xlpm.ARRAY,IF(_xlpm.ARRAY="teleOp", COLUMN(_xlpm.ARRAY), 0)))))</f>
        <v/>
      </c>
      <c r="B19" t="str" cm="1">
        <f t="array" ref="B19">IF(A19="","",_xlfn.CHOOSECOLS('Prematch Backend 2A'!19:19,_xlfn.MAKEARRAY(1,A19-2,_xlfn.LAMBDA(_xlpm.r,_xlpm.c,_xlpm.c))))</f>
        <v/>
      </c>
    </row>
    <row r="20" spans="1:2" x14ac:dyDescent="0.2">
      <c r="A20" t="str" cm="1">
        <f t="array" ref="A20">IF(MAX(_xlfn.BYCOL('Prematch Backend 5A'!20:20, _xlfn.LAMBDA(_xlpm.ARRAY,IF(_xlpm.ARRAY="teleOp", COLUMN(_xlpm.ARRAY), 0))))=0,"",MAX(_xlfn.BYCOL('Prematch Backend 5A'!20:20, _xlfn.LAMBDA(_xlpm.ARRAY,IF(_xlpm.ARRAY="teleOp", COLUMN(_xlpm.ARRAY), 0)))))</f>
        <v/>
      </c>
      <c r="B20" t="str" cm="1">
        <f t="array" ref="B20">IF(A20="","",_xlfn.CHOOSECOLS('Prematch Backend 2A'!20:20,_xlfn.MAKEARRAY(1,A20-2,_xlfn.LAMBDA(_xlpm.r,_xlpm.c,_xlpm.c))))</f>
        <v/>
      </c>
    </row>
    <row r="21" spans="1:2" x14ac:dyDescent="0.2">
      <c r="A21" t="str" cm="1">
        <f t="array" ref="A21">IF(MAX(_xlfn.BYCOL('Prematch Backend 5A'!21:21, _xlfn.LAMBDA(_xlpm.ARRAY,IF(_xlpm.ARRAY="teleOp", COLUMN(_xlpm.ARRAY), 0))))=0,"",MAX(_xlfn.BYCOL('Prematch Backend 5A'!21:21, _xlfn.LAMBDA(_xlpm.ARRAY,IF(_xlpm.ARRAY="teleOp", COLUMN(_xlpm.ARRAY), 0)))))</f>
        <v/>
      </c>
      <c r="B21" t="str" cm="1">
        <f t="array" ref="B21">IF(A21="","",_xlfn.CHOOSECOLS('Prematch Backend 2A'!21:21,_xlfn.MAKEARRAY(1,A21-2,_xlfn.LAMBDA(_xlpm.r,_xlpm.c,_xlpm.c))))</f>
        <v/>
      </c>
    </row>
    <row r="22" spans="1:2" x14ac:dyDescent="0.2">
      <c r="A22" t="str" cm="1">
        <f t="array" ref="A22">IF(MAX(_xlfn.BYCOL('Prematch Backend 5A'!22:22, _xlfn.LAMBDA(_xlpm.ARRAY,IF(_xlpm.ARRAY="teleOp", COLUMN(_xlpm.ARRAY), 0))))=0,"",MAX(_xlfn.BYCOL('Prematch Backend 5A'!22:22, _xlfn.LAMBDA(_xlpm.ARRAY,IF(_xlpm.ARRAY="teleOp", COLUMN(_xlpm.ARRAY), 0)))))</f>
        <v/>
      </c>
      <c r="B22" t="str" cm="1">
        <f t="array" ref="B22">IF(A22="","",_xlfn.CHOOSECOLS('Prematch Backend 2A'!22:22,_xlfn.MAKEARRAY(1,A22-2,_xlfn.LAMBDA(_xlpm.r,_xlpm.c,_xlpm.c))))</f>
        <v/>
      </c>
    </row>
    <row r="23" spans="1:2" x14ac:dyDescent="0.2">
      <c r="A23" t="str" cm="1">
        <f t="array" ref="A23">IF(MAX(_xlfn.BYCOL('Prematch Backend 5A'!23:23, _xlfn.LAMBDA(_xlpm.ARRAY,IF(_xlpm.ARRAY="teleOp", COLUMN(_xlpm.ARRAY), 0))))=0,"",MAX(_xlfn.BYCOL('Prematch Backend 5A'!23:23, _xlfn.LAMBDA(_xlpm.ARRAY,IF(_xlpm.ARRAY="teleOp", COLUMN(_xlpm.ARRAY), 0)))))</f>
        <v/>
      </c>
      <c r="B23" t="str" cm="1">
        <f t="array" ref="B23">IF(A23="","",_xlfn.CHOOSECOLS('Prematch Backend 2A'!23:23,_xlfn.MAKEARRAY(1,A23-2,_xlfn.LAMBDA(_xlpm.r,_xlpm.c,_xlpm.c))))</f>
        <v/>
      </c>
    </row>
    <row r="24" spans="1:2" x14ac:dyDescent="0.2">
      <c r="A24" t="str" cm="1">
        <f t="array" ref="A24">IF(MAX(_xlfn.BYCOL('Prematch Backend 5A'!24:24, _xlfn.LAMBDA(_xlpm.ARRAY,IF(_xlpm.ARRAY="teleOp", COLUMN(_xlpm.ARRAY), 0))))=0,"",MAX(_xlfn.BYCOL('Prematch Backend 5A'!24:24, _xlfn.LAMBDA(_xlpm.ARRAY,IF(_xlpm.ARRAY="teleOp", COLUMN(_xlpm.ARRAY), 0)))))</f>
        <v/>
      </c>
      <c r="B24" t="str" cm="1">
        <f t="array" ref="B24">IF(A24="","",_xlfn.CHOOSECOLS('Prematch Backend 2A'!24:24,_xlfn.MAKEARRAY(1,A24-2,_xlfn.LAMBDA(_xlpm.r,_xlpm.c,_xlpm.c))))</f>
        <v/>
      </c>
    </row>
    <row r="25" spans="1:2" x14ac:dyDescent="0.2">
      <c r="A25" t="str" cm="1">
        <f t="array" ref="A25">IF(MAX(_xlfn.BYCOL('Prematch Backend 5A'!25:25, _xlfn.LAMBDA(_xlpm.ARRAY,IF(_xlpm.ARRAY="teleOp", COLUMN(_xlpm.ARRAY), 0))))=0,"",MAX(_xlfn.BYCOL('Prematch Backend 5A'!25:25, _xlfn.LAMBDA(_xlpm.ARRAY,IF(_xlpm.ARRAY="teleOp", COLUMN(_xlpm.ARRAY), 0)))))</f>
        <v/>
      </c>
      <c r="B25" t="str" cm="1">
        <f t="array" ref="B25">IF(A25="","",_xlfn.CHOOSECOLS('Prematch Backend 2A'!25:25,_xlfn.MAKEARRAY(1,A25-2,_xlfn.LAMBDA(_xlpm.r,_xlpm.c,_xlpm.c))))</f>
        <v/>
      </c>
    </row>
    <row r="26" spans="1:2" x14ac:dyDescent="0.2">
      <c r="A26" t="str" cm="1">
        <f t="array" ref="A26">IF(MAX(_xlfn.BYCOL('Prematch Backend 5A'!26:26, _xlfn.LAMBDA(_xlpm.ARRAY,IF(_xlpm.ARRAY="teleOp", COLUMN(_xlpm.ARRAY), 0))))=0,"",MAX(_xlfn.BYCOL('Prematch Backend 5A'!26:26, _xlfn.LAMBDA(_xlpm.ARRAY,IF(_xlpm.ARRAY="teleOp", COLUMN(_xlpm.ARRAY), 0)))))</f>
        <v/>
      </c>
      <c r="B26" t="str" cm="1">
        <f t="array" ref="B26">IF(A26="","",_xlfn.CHOOSECOLS('Prematch Backend 2A'!26:26,_xlfn.MAKEARRAY(1,A26-2,_xlfn.LAMBDA(_xlpm.r,_xlpm.c,_xlpm.c))))</f>
        <v/>
      </c>
    </row>
    <row r="27" spans="1:2" x14ac:dyDescent="0.2">
      <c r="A27" t="str" cm="1">
        <f t="array" ref="A27">IF(MAX(_xlfn.BYCOL('Prematch Backend 5A'!27:27, _xlfn.LAMBDA(_xlpm.ARRAY,IF(_xlpm.ARRAY="teleOp", COLUMN(_xlpm.ARRAY), 0))))=0,"",MAX(_xlfn.BYCOL('Prematch Backend 5A'!27:27, _xlfn.LAMBDA(_xlpm.ARRAY,IF(_xlpm.ARRAY="teleOp", COLUMN(_xlpm.ARRAY), 0)))))</f>
        <v/>
      </c>
      <c r="B27" t="str" cm="1">
        <f t="array" ref="B27">IF(A27="","",_xlfn.CHOOSECOLS('Prematch Backend 2A'!27:27,_xlfn.MAKEARRAY(1,A27-2,_xlfn.LAMBDA(_xlpm.r,_xlpm.c,_xlpm.c))))</f>
        <v/>
      </c>
    </row>
    <row r="28" spans="1:2" x14ac:dyDescent="0.2">
      <c r="A28" t="str" cm="1">
        <f t="array" ref="A28">IF(MAX(_xlfn.BYCOL('Prematch Backend 5A'!28:28, _xlfn.LAMBDA(_xlpm.ARRAY,IF(_xlpm.ARRAY="teleOp", COLUMN(_xlpm.ARRAY), 0))))=0,"",MAX(_xlfn.BYCOL('Prematch Backend 5A'!28:28, _xlfn.LAMBDA(_xlpm.ARRAY,IF(_xlpm.ARRAY="teleOp", COLUMN(_xlpm.ARRAY), 0)))))</f>
        <v/>
      </c>
      <c r="B28" t="str" cm="1">
        <f t="array" ref="B28">IF(A28="","",_xlfn.CHOOSECOLS('Prematch Backend 2A'!28:28,_xlfn.MAKEARRAY(1,A28-2,_xlfn.LAMBDA(_xlpm.r,_xlpm.c,_xlpm.c))))</f>
        <v/>
      </c>
    </row>
    <row r="29" spans="1:2" x14ac:dyDescent="0.2">
      <c r="A29" t="str" cm="1">
        <f t="array" ref="A29">IF(MAX(_xlfn.BYCOL('Prematch Backend 5A'!29:29, _xlfn.LAMBDA(_xlpm.ARRAY,IF(_xlpm.ARRAY="teleOp", COLUMN(_xlpm.ARRAY), 0))))=0,"",MAX(_xlfn.BYCOL('Prematch Backend 5A'!29:29, _xlfn.LAMBDA(_xlpm.ARRAY,IF(_xlpm.ARRAY="teleOp", COLUMN(_xlpm.ARRAY), 0)))))</f>
        <v/>
      </c>
      <c r="B29" t="str" cm="1">
        <f t="array" ref="B29">IF(A29="","",_xlfn.CHOOSECOLS('Prematch Backend 2A'!29:29,_xlfn.MAKEARRAY(1,A29-2,_xlfn.LAMBDA(_xlpm.r,_xlpm.c,_xlpm.c))))</f>
        <v/>
      </c>
    </row>
    <row r="30" spans="1:2" x14ac:dyDescent="0.2">
      <c r="A30" t="str" cm="1">
        <f t="array" ref="A30">IF(MAX(_xlfn.BYCOL('Prematch Backend 5A'!30:30, _xlfn.LAMBDA(_xlpm.ARRAY,IF(_xlpm.ARRAY="teleOp", COLUMN(_xlpm.ARRAY), 0))))=0,"",MAX(_xlfn.BYCOL('Prematch Backend 5A'!30:30, _xlfn.LAMBDA(_xlpm.ARRAY,IF(_xlpm.ARRAY="teleOp", COLUMN(_xlpm.ARRAY), 0)))))</f>
        <v/>
      </c>
      <c r="B30" t="str" cm="1">
        <f t="array" ref="B30">IF(A30="","",_xlfn.CHOOSECOLS('Prematch Backend 2A'!30:30,_xlfn.MAKEARRAY(1,A30-2,_xlfn.LAMBDA(_xlpm.r,_xlpm.c,_xlpm.c))))</f>
        <v/>
      </c>
    </row>
    <row r="31" spans="1:2" x14ac:dyDescent="0.2">
      <c r="A31" t="str" cm="1">
        <f t="array" ref="A31">IF(MAX(_xlfn.BYCOL('Prematch Backend 5A'!31:31, _xlfn.LAMBDA(_xlpm.ARRAY,IF(_xlpm.ARRAY="teleOp", COLUMN(_xlpm.ARRAY), 0))))=0,"",MAX(_xlfn.BYCOL('Prematch Backend 5A'!31:31, _xlfn.LAMBDA(_xlpm.ARRAY,IF(_xlpm.ARRAY="teleOp", COLUMN(_xlpm.ARRAY), 0)))))</f>
        <v/>
      </c>
      <c r="B31" t="str" cm="1">
        <f t="array" ref="B31">IF(A31="","",_xlfn.CHOOSECOLS('Prematch Backend 2A'!31:31,_xlfn.MAKEARRAY(1,A31-2,_xlfn.LAMBDA(_xlpm.r,_xlpm.c,_xlpm.c))))</f>
        <v/>
      </c>
    </row>
    <row r="32" spans="1:2" x14ac:dyDescent="0.2">
      <c r="A32" t="str" cm="1">
        <f t="array" ref="A32">IF(MAX(_xlfn.BYCOL('Prematch Backend 5A'!32:32, _xlfn.LAMBDA(_xlpm.ARRAY,IF(_xlpm.ARRAY="teleOp", COLUMN(_xlpm.ARRAY), 0))))=0,"",MAX(_xlfn.BYCOL('Prematch Backend 5A'!32:32, _xlfn.LAMBDA(_xlpm.ARRAY,IF(_xlpm.ARRAY="teleOp", COLUMN(_xlpm.ARRAY), 0)))))</f>
        <v/>
      </c>
      <c r="B32" t="str" cm="1">
        <f t="array" ref="B32">IF(A32="","",_xlfn.CHOOSECOLS('Prematch Backend 2A'!32:32,_xlfn.MAKEARRAY(1,A32-2,_xlfn.LAMBDA(_xlpm.r,_xlpm.c,_xlpm.c))))</f>
        <v/>
      </c>
    </row>
    <row r="33" spans="1:2" x14ac:dyDescent="0.2">
      <c r="A33" t="str" cm="1">
        <f t="array" ref="A33">IF(MAX(_xlfn.BYCOL('Prematch Backend 5A'!33:33, _xlfn.LAMBDA(_xlpm.ARRAY,IF(_xlpm.ARRAY="teleOp", COLUMN(_xlpm.ARRAY), 0))))=0,"",MAX(_xlfn.BYCOL('Prematch Backend 5A'!33:33, _xlfn.LAMBDA(_xlpm.ARRAY,IF(_xlpm.ARRAY="teleOp", COLUMN(_xlpm.ARRAY), 0)))))</f>
        <v/>
      </c>
      <c r="B33" t="str" cm="1">
        <f t="array" ref="B33">IF(A33="","",_xlfn.CHOOSECOLS('Prematch Backend 2A'!33:33,_xlfn.MAKEARRAY(1,A33-2,_xlfn.LAMBDA(_xlpm.r,_xlpm.c,_xlpm.c))))</f>
        <v/>
      </c>
    </row>
    <row r="34" spans="1:2" x14ac:dyDescent="0.2">
      <c r="A34" t="str" cm="1">
        <f t="array" ref="A34">IF(MAX(_xlfn.BYCOL('Prematch Backend 5A'!34:34, _xlfn.LAMBDA(_xlpm.ARRAY,IF(_xlpm.ARRAY="teleOp", COLUMN(_xlpm.ARRAY), 0))))=0,"",MAX(_xlfn.BYCOL('Prematch Backend 5A'!34:34, _xlfn.LAMBDA(_xlpm.ARRAY,IF(_xlpm.ARRAY="teleOp", COLUMN(_xlpm.ARRAY), 0)))))</f>
        <v/>
      </c>
      <c r="B34" t="str" cm="1">
        <f t="array" ref="B34">IF(A34="","",_xlfn.CHOOSECOLS('Prematch Backend 2A'!34:34,_xlfn.MAKEARRAY(1,A34-2,_xlfn.LAMBDA(_xlpm.r,_xlpm.c,_xlpm.c))))</f>
        <v/>
      </c>
    </row>
    <row r="35" spans="1:2" x14ac:dyDescent="0.2">
      <c r="A35" t="str" cm="1">
        <f t="array" ref="A35">IF(MAX(_xlfn.BYCOL('Prematch Backend 5A'!35:35, _xlfn.LAMBDA(_xlpm.ARRAY,IF(_xlpm.ARRAY="teleOp", COLUMN(_xlpm.ARRAY), 0))))=0,"",MAX(_xlfn.BYCOL('Prematch Backend 5A'!35:35, _xlfn.LAMBDA(_xlpm.ARRAY,IF(_xlpm.ARRAY="teleOp", COLUMN(_xlpm.ARRAY), 0)))))</f>
        <v/>
      </c>
      <c r="B35" t="str" cm="1">
        <f t="array" ref="B35">IF(A35="","",_xlfn.CHOOSECOLS('Prematch Backend 2A'!35:35,_xlfn.MAKEARRAY(1,A35-2,_xlfn.LAMBDA(_xlpm.r,_xlpm.c,_xlpm.c))))</f>
        <v/>
      </c>
    </row>
    <row r="36" spans="1:2" x14ac:dyDescent="0.2">
      <c r="A36" t="str" cm="1">
        <f t="array" ref="A36">IF(MAX(_xlfn.BYCOL('Prematch Backend 5A'!36:36, _xlfn.LAMBDA(_xlpm.ARRAY,IF(_xlpm.ARRAY="teleOp", COLUMN(_xlpm.ARRAY), 0))))=0,"",MAX(_xlfn.BYCOL('Prematch Backend 5A'!36:36, _xlfn.LAMBDA(_xlpm.ARRAY,IF(_xlpm.ARRAY="teleOp", COLUMN(_xlpm.ARRAY), 0)))))</f>
        <v/>
      </c>
      <c r="B36" t="str" cm="1">
        <f t="array" ref="B36">IF(A36="","",_xlfn.CHOOSECOLS('Prematch Backend 2A'!36:36,_xlfn.MAKEARRAY(1,A36-2,_xlfn.LAMBDA(_xlpm.r,_xlpm.c,_xlpm.c))))</f>
        <v/>
      </c>
    </row>
    <row r="37" spans="1:2" x14ac:dyDescent="0.2">
      <c r="A37" t="str" cm="1">
        <f t="array" ref="A37">IF(MAX(_xlfn.BYCOL('Prematch Backend 5A'!37:37, _xlfn.LAMBDA(_xlpm.ARRAY,IF(_xlpm.ARRAY="teleOp", COLUMN(_xlpm.ARRAY), 0))))=0,"",MAX(_xlfn.BYCOL('Prematch Backend 5A'!37:37, _xlfn.LAMBDA(_xlpm.ARRAY,IF(_xlpm.ARRAY="teleOp", COLUMN(_xlpm.ARRAY), 0)))))</f>
        <v/>
      </c>
      <c r="B37" t="str" cm="1">
        <f t="array" ref="B37">IF(A37="","",_xlfn.CHOOSECOLS('Prematch Backend 2A'!37:37,_xlfn.MAKEARRAY(1,A37-2,_xlfn.LAMBDA(_xlpm.r,_xlpm.c,_xlpm.c))))</f>
        <v/>
      </c>
    </row>
    <row r="38" spans="1:2" x14ac:dyDescent="0.2">
      <c r="A38" t="str" cm="1">
        <f t="array" ref="A38">IF(MAX(_xlfn.BYCOL('Prematch Backend 5A'!38:38, _xlfn.LAMBDA(_xlpm.ARRAY,IF(_xlpm.ARRAY="teleOp", COLUMN(_xlpm.ARRAY), 0))))=0,"",MAX(_xlfn.BYCOL('Prematch Backend 5A'!38:38, _xlfn.LAMBDA(_xlpm.ARRAY,IF(_xlpm.ARRAY="teleOp", COLUMN(_xlpm.ARRAY), 0)))))</f>
        <v/>
      </c>
      <c r="B38" t="str" cm="1">
        <f t="array" ref="B38">IF(A38="","",_xlfn.CHOOSECOLS('Prematch Backend 2A'!38:38,_xlfn.MAKEARRAY(1,A38-2,_xlfn.LAMBDA(_xlpm.r,_xlpm.c,_xlpm.c))))</f>
        <v/>
      </c>
    </row>
    <row r="39" spans="1:2" x14ac:dyDescent="0.2">
      <c r="A39" t="str" cm="1">
        <f t="array" ref="A39">IF(MAX(_xlfn.BYCOL('Prematch Backend 5A'!39:39, _xlfn.LAMBDA(_xlpm.ARRAY,IF(_xlpm.ARRAY="teleOp", COLUMN(_xlpm.ARRAY), 0))))=0,"",MAX(_xlfn.BYCOL('Prematch Backend 5A'!39:39, _xlfn.LAMBDA(_xlpm.ARRAY,IF(_xlpm.ARRAY="teleOp", COLUMN(_xlpm.ARRAY), 0)))))</f>
        <v/>
      </c>
      <c r="B39" t="str" cm="1">
        <f t="array" ref="B39">IF(A39="","",_xlfn.CHOOSECOLS('Prematch Backend 2A'!39:39,_xlfn.MAKEARRAY(1,A39-2,_xlfn.LAMBDA(_xlpm.r,_xlpm.c,_xlpm.c))))</f>
        <v/>
      </c>
    </row>
    <row r="40" spans="1:2" x14ac:dyDescent="0.2">
      <c r="A40" t="str" cm="1">
        <f t="array" ref="A40">IF(MAX(_xlfn.BYCOL('Prematch Backend 5A'!40:40, _xlfn.LAMBDA(_xlpm.ARRAY,IF(_xlpm.ARRAY="teleOp", COLUMN(_xlpm.ARRAY), 0))))=0,"",MAX(_xlfn.BYCOL('Prematch Backend 5A'!40:40, _xlfn.LAMBDA(_xlpm.ARRAY,IF(_xlpm.ARRAY="teleOp", COLUMN(_xlpm.ARRAY), 0)))))</f>
        <v/>
      </c>
      <c r="B40" t="str" cm="1">
        <f t="array" ref="B40">IF(A40="","",_xlfn.CHOOSECOLS('Prematch Backend 2A'!40:40,_xlfn.MAKEARRAY(1,A40-2,_xlfn.LAMBDA(_xlpm.r,_xlpm.c,_xlpm.c))))</f>
        <v/>
      </c>
    </row>
    <row r="41" spans="1:2" x14ac:dyDescent="0.2">
      <c r="A41" t="str" cm="1">
        <f t="array" ref="A41">IF(MAX(_xlfn.BYCOL('Prematch Backend 5A'!41:41, _xlfn.LAMBDA(_xlpm.ARRAY,IF(_xlpm.ARRAY="teleOp", COLUMN(_xlpm.ARRAY), 0))))=0,"",MAX(_xlfn.BYCOL('Prematch Backend 5A'!41:41, _xlfn.LAMBDA(_xlpm.ARRAY,IF(_xlpm.ARRAY="teleOp", COLUMN(_xlpm.ARRAY), 0)))))</f>
        <v/>
      </c>
      <c r="B41" t="str" cm="1">
        <f t="array" ref="B41">IF(A41="","",_xlfn.CHOOSECOLS('Prematch Backend 2A'!41:41,_xlfn.MAKEARRAY(1,A41-2,_xlfn.LAMBDA(_xlpm.r,_xlpm.c,_xlpm.c))))</f>
        <v/>
      </c>
    </row>
    <row r="42" spans="1:2" x14ac:dyDescent="0.2">
      <c r="A42" t="str" cm="1">
        <f t="array" ref="A42">IF(MAX(_xlfn.BYCOL('Prematch Backend 5A'!42:42, _xlfn.LAMBDA(_xlpm.ARRAY,IF(_xlpm.ARRAY="teleOp", COLUMN(_xlpm.ARRAY), 0))))=0,"",MAX(_xlfn.BYCOL('Prematch Backend 5A'!42:42, _xlfn.LAMBDA(_xlpm.ARRAY,IF(_xlpm.ARRAY="teleOp", COLUMN(_xlpm.ARRAY), 0)))))</f>
        <v/>
      </c>
      <c r="B42" t="str" cm="1">
        <f t="array" ref="B42">IF(A42="","",_xlfn.CHOOSECOLS('Prematch Backend 2A'!42:42,_xlfn.MAKEARRAY(1,A42-2,_xlfn.LAMBDA(_xlpm.r,_xlpm.c,_xlpm.c))))</f>
        <v/>
      </c>
    </row>
    <row r="43" spans="1:2" x14ac:dyDescent="0.2">
      <c r="A43" t="str" cm="1">
        <f t="array" ref="A43">IF(MAX(_xlfn.BYCOL('Prematch Backend 5A'!43:43, _xlfn.LAMBDA(_xlpm.ARRAY,IF(_xlpm.ARRAY="teleOp", COLUMN(_xlpm.ARRAY), 0))))=0,"",MAX(_xlfn.BYCOL('Prematch Backend 5A'!43:43, _xlfn.LAMBDA(_xlpm.ARRAY,IF(_xlpm.ARRAY="teleOp", COLUMN(_xlpm.ARRAY), 0)))))</f>
        <v/>
      </c>
      <c r="B43" t="str" cm="1">
        <f t="array" ref="B43">IF(A43="","",_xlfn.CHOOSECOLS('Prematch Backend 2A'!43:43,_xlfn.MAKEARRAY(1,A43-2,_xlfn.LAMBDA(_xlpm.r,_xlpm.c,_xlpm.c))))</f>
        <v/>
      </c>
    </row>
    <row r="44" spans="1:2" x14ac:dyDescent="0.2">
      <c r="A44" t="str" cm="1">
        <f t="array" ref="A44">IF(MAX(_xlfn.BYCOL('Prematch Backend 5A'!44:44, _xlfn.LAMBDA(_xlpm.ARRAY,IF(_xlpm.ARRAY="teleOp", COLUMN(_xlpm.ARRAY), 0))))=0,"",MAX(_xlfn.BYCOL('Prematch Backend 5A'!44:44, _xlfn.LAMBDA(_xlpm.ARRAY,IF(_xlpm.ARRAY="teleOp", COLUMN(_xlpm.ARRAY), 0)))))</f>
        <v/>
      </c>
      <c r="B44" t="str" cm="1">
        <f t="array" ref="B44">IF(A44="","",_xlfn.CHOOSECOLS('Prematch Backend 2A'!44:44,_xlfn.MAKEARRAY(1,A44-2,_xlfn.LAMBDA(_xlpm.r,_xlpm.c,_xlpm.c))))</f>
        <v/>
      </c>
    </row>
    <row r="45" spans="1:2" x14ac:dyDescent="0.2">
      <c r="A45" t="str" cm="1">
        <f t="array" ref="A45">IF(MAX(_xlfn.BYCOL('Prematch Backend 5A'!45:45, _xlfn.LAMBDA(_xlpm.ARRAY,IF(_xlpm.ARRAY="teleOp", COLUMN(_xlpm.ARRAY), 0))))=0,"",MAX(_xlfn.BYCOL('Prematch Backend 5A'!45:45, _xlfn.LAMBDA(_xlpm.ARRAY,IF(_xlpm.ARRAY="teleOp", COLUMN(_xlpm.ARRAY), 0)))))</f>
        <v/>
      </c>
      <c r="B45" t="str" cm="1">
        <f t="array" ref="B45">IF(A45="","",_xlfn.CHOOSECOLS('Prematch Backend 2A'!45:45,_xlfn.MAKEARRAY(1,A45-2,_xlfn.LAMBDA(_xlpm.r,_xlpm.c,_xlpm.c))))</f>
        <v/>
      </c>
    </row>
    <row r="46" spans="1:2" x14ac:dyDescent="0.2">
      <c r="A46" t="str" cm="1">
        <f t="array" ref="A46">IF(MAX(_xlfn.BYCOL('Prematch Backend 5A'!46:46, _xlfn.LAMBDA(_xlpm.ARRAY,IF(_xlpm.ARRAY="teleOp", COLUMN(_xlpm.ARRAY), 0))))=0,"",MAX(_xlfn.BYCOL('Prematch Backend 5A'!46:46, _xlfn.LAMBDA(_xlpm.ARRAY,IF(_xlpm.ARRAY="teleOp", COLUMN(_xlpm.ARRAY), 0)))))</f>
        <v/>
      </c>
      <c r="B46" t="str" cm="1">
        <f t="array" ref="B46">IF(A46="","",_xlfn.CHOOSECOLS('Prematch Backend 2A'!46:46,_xlfn.MAKEARRAY(1,A46-2,_xlfn.LAMBDA(_xlpm.r,_xlpm.c,_xlpm.c))))</f>
        <v/>
      </c>
    </row>
    <row r="47" spans="1:2" x14ac:dyDescent="0.2">
      <c r="A47" t="str" cm="1">
        <f t="array" ref="A47">IF(MAX(_xlfn.BYCOL('Prematch Backend 5A'!47:47, _xlfn.LAMBDA(_xlpm.ARRAY,IF(_xlpm.ARRAY="teleOp", COLUMN(_xlpm.ARRAY), 0))))=0,"",MAX(_xlfn.BYCOL('Prematch Backend 5A'!47:47, _xlfn.LAMBDA(_xlpm.ARRAY,IF(_xlpm.ARRAY="teleOp", COLUMN(_xlpm.ARRAY), 0)))))</f>
        <v/>
      </c>
      <c r="B47" t="str" cm="1">
        <f t="array" ref="B47">IF(A47="","",_xlfn.CHOOSECOLS('Prematch Backend 2A'!47:47,_xlfn.MAKEARRAY(1,A47-2,_xlfn.LAMBDA(_xlpm.r,_xlpm.c,_xlpm.c))))</f>
        <v/>
      </c>
    </row>
    <row r="48" spans="1:2" x14ac:dyDescent="0.2">
      <c r="A48" t="str" cm="1">
        <f t="array" ref="A48">IF(MAX(_xlfn.BYCOL('Prematch Backend 5A'!48:48, _xlfn.LAMBDA(_xlpm.ARRAY,IF(_xlpm.ARRAY="teleOp", COLUMN(_xlpm.ARRAY), 0))))=0,"",MAX(_xlfn.BYCOL('Prematch Backend 5A'!48:48, _xlfn.LAMBDA(_xlpm.ARRAY,IF(_xlpm.ARRAY="teleOp", COLUMN(_xlpm.ARRAY), 0)))))</f>
        <v/>
      </c>
      <c r="B48" t="str" cm="1">
        <f t="array" ref="B48">IF(A48="","",_xlfn.CHOOSECOLS('Prematch Backend 2A'!48:48,_xlfn.MAKEARRAY(1,A48-2,_xlfn.LAMBDA(_xlpm.r,_xlpm.c,_xlpm.c))))</f>
        <v/>
      </c>
    </row>
    <row r="49" spans="1:2" x14ac:dyDescent="0.2">
      <c r="A49" t="str" cm="1">
        <f t="array" ref="A49">IF(MAX(_xlfn.BYCOL('Prematch Backend 5A'!49:49, _xlfn.LAMBDA(_xlpm.ARRAY,IF(_xlpm.ARRAY="teleOp", COLUMN(_xlpm.ARRAY), 0))))=0,"",MAX(_xlfn.BYCOL('Prematch Backend 5A'!49:49, _xlfn.LAMBDA(_xlpm.ARRAY,IF(_xlpm.ARRAY="teleOp", COLUMN(_xlpm.ARRAY), 0)))))</f>
        <v/>
      </c>
      <c r="B49" t="str" cm="1">
        <f t="array" ref="B49">IF(A49="","",_xlfn.CHOOSECOLS('Prematch Backend 2A'!49:49,_xlfn.MAKEARRAY(1,A49-2,_xlfn.LAMBDA(_xlpm.r,_xlpm.c,_xlpm.c))))</f>
        <v/>
      </c>
    </row>
    <row r="50" spans="1:2" x14ac:dyDescent="0.2">
      <c r="A50" t="str" cm="1">
        <f t="array" ref="A50">IF(MAX(_xlfn.BYCOL('Prematch Backend 5A'!50:50, _xlfn.LAMBDA(_xlpm.ARRAY,IF(_xlpm.ARRAY="teleOp", COLUMN(_xlpm.ARRAY), 0))))=0,"",MAX(_xlfn.BYCOL('Prematch Backend 5A'!50:50, _xlfn.LAMBDA(_xlpm.ARRAY,IF(_xlpm.ARRAY="teleOp", COLUMN(_xlpm.ARRAY), 0)))))</f>
        <v/>
      </c>
      <c r="B50" t="str" cm="1">
        <f t="array" ref="B50">IF(A50="","",_xlfn.CHOOSECOLS('Prematch Backend 2A'!50:50,_xlfn.MAKEARRAY(1,A50-2,_xlfn.LAMBDA(_xlpm.r,_xlpm.c,_xlpm.c))))</f>
        <v/>
      </c>
    </row>
    <row r="51" spans="1:2" x14ac:dyDescent="0.2">
      <c r="A51" t="str" cm="1">
        <f t="array" ref="A51">IF(MAX(_xlfn.BYCOL('Prematch Backend 5A'!51:51, _xlfn.LAMBDA(_xlpm.ARRAY,IF(_xlpm.ARRAY="teleOp", COLUMN(_xlpm.ARRAY), 0))))=0,"",MAX(_xlfn.BYCOL('Prematch Backend 5A'!51:51, _xlfn.LAMBDA(_xlpm.ARRAY,IF(_xlpm.ARRAY="teleOp", COLUMN(_xlpm.ARRAY), 0)))))</f>
        <v/>
      </c>
      <c r="B51" t="str" cm="1">
        <f t="array" ref="B51">IF(A51="","",_xlfn.CHOOSECOLS('Prematch Backend 2A'!51:51,_xlfn.MAKEARRAY(1,A51-2,_xlfn.LAMBDA(_xlpm.r,_xlpm.c,_xlpm.c))))</f>
        <v/>
      </c>
    </row>
    <row r="52" spans="1:2" x14ac:dyDescent="0.2">
      <c r="A52" t="str" cm="1">
        <f t="array" ref="A52">IF(MAX(_xlfn.BYCOL('Prematch Backend 5A'!52:52, _xlfn.LAMBDA(_xlpm.ARRAY,IF(_xlpm.ARRAY="teleOp", COLUMN(_xlpm.ARRAY), 0))))=0,"",MAX(_xlfn.BYCOL('Prematch Backend 5A'!52:52, _xlfn.LAMBDA(_xlpm.ARRAY,IF(_xlpm.ARRAY="teleOp", COLUMN(_xlpm.ARRAY), 0)))))</f>
        <v/>
      </c>
      <c r="B52" t="str" cm="1">
        <f t="array" ref="B52">IF(A52="","",_xlfn.CHOOSECOLS('Prematch Backend 2A'!52:52,_xlfn.MAKEARRAY(1,A52-2,_xlfn.LAMBDA(_xlpm.r,_xlpm.c,_xlpm.c))))</f>
        <v/>
      </c>
    </row>
    <row r="53" spans="1:2" x14ac:dyDescent="0.2">
      <c r="A53" t="str" cm="1">
        <f t="array" ref="A53">IF(MAX(_xlfn.BYCOL('Prematch Backend 5A'!53:53, _xlfn.LAMBDA(_xlpm.ARRAY,IF(_xlpm.ARRAY="teleOp", COLUMN(_xlpm.ARRAY), 0))))=0,"",MAX(_xlfn.BYCOL('Prematch Backend 5A'!53:53, _xlfn.LAMBDA(_xlpm.ARRAY,IF(_xlpm.ARRAY="teleOp", COLUMN(_xlpm.ARRAY), 0)))))</f>
        <v/>
      </c>
      <c r="B53" t="str" cm="1">
        <f t="array" ref="B53">IF(A53="","",_xlfn.CHOOSECOLS('Prematch Backend 2A'!53:53,_xlfn.MAKEARRAY(1,A53-2,_xlfn.LAMBDA(_xlpm.r,_xlpm.c,_xlpm.c))))</f>
        <v/>
      </c>
    </row>
    <row r="54" spans="1:2" x14ac:dyDescent="0.2">
      <c r="A54" t="str" cm="1">
        <f t="array" ref="A54">IF(MAX(_xlfn.BYCOL('Prematch Backend 5A'!54:54, _xlfn.LAMBDA(_xlpm.ARRAY,IF(_xlpm.ARRAY="teleOp", COLUMN(_xlpm.ARRAY), 0))))=0,"",MAX(_xlfn.BYCOL('Prematch Backend 5A'!54:54, _xlfn.LAMBDA(_xlpm.ARRAY,IF(_xlpm.ARRAY="teleOp", COLUMN(_xlpm.ARRAY), 0)))))</f>
        <v/>
      </c>
      <c r="B54" t="str" cm="1">
        <f t="array" ref="B54">IF(A54="","",_xlfn.CHOOSECOLS('Prematch Backend 2A'!54:54,_xlfn.MAKEARRAY(1,A54-2,_xlfn.LAMBDA(_xlpm.r,_xlpm.c,_xlpm.c))))</f>
        <v/>
      </c>
    </row>
    <row r="55" spans="1:2" x14ac:dyDescent="0.2">
      <c r="A55" t="str" cm="1">
        <f t="array" ref="A55">IF(MAX(_xlfn.BYCOL('Prematch Backend 5A'!55:55, _xlfn.LAMBDA(_xlpm.ARRAY,IF(_xlpm.ARRAY="teleOp", COLUMN(_xlpm.ARRAY), 0))))=0,"",MAX(_xlfn.BYCOL('Prematch Backend 5A'!55:55, _xlfn.LAMBDA(_xlpm.ARRAY,IF(_xlpm.ARRAY="teleOp", COLUMN(_xlpm.ARRAY), 0)))))</f>
        <v/>
      </c>
      <c r="B55" t="str" cm="1">
        <f t="array" ref="B55">IF(A55="","",_xlfn.CHOOSECOLS('Prematch Backend 2A'!55:55,_xlfn.MAKEARRAY(1,A55-2,_xlfn.LAMBDA(_xlpm.r,_xlpm.c,_xlpm.c))))</f>
        <v/>
      </c>
    </row>
    <row r="56" spans="1:2" x14ac:dyDescent="0.2">
      <c r="A56" t="str" cm="1">
        <f t="array" ref="A56">IF(MAX(_xlfn.BYCOL('Prematch Backend 5A'!56:56, _xlfn.LAMBDA(_xlpm.ARRAY,IF(_xlpm.ARRAY="teleOp", COLUMN(_xlpm.ARRAY), 0))))=0,"",MAX(_xlfn.BYCOL('Prematch Backend 5A'!56:56, _xlfn.LAMBDA(_xlpm.ARRAY,IF(_xlpm.ARRAY="teleOp", COLUMN(_xlpm.ARRAY), 0)))))</f>
        <v/>
      </c>
      <c r="B56" t="str" cm="1">
        <f t="array" ref="B56">IF(A56="","",_xlfn.CHOOSECOLS('Prematch Backend 2A'!56:56,_xlfn.MAKEARRAY(1,A56-2,_xlfn.LAMBDA(_xlpm.r,_xlpm.c,_xlpm.c))))</f>
        <v/>
      </c>
    </row>
    <row r="57" spans="1:2" x14ac:dyDescent="0.2">
      <c r="A57" t="str" cm="1">
        <f t="array" ref="A57">IF(MAX(_xlfn.BYCOL('Prematch Backend 5A'!57:57, _xlfn.LAMBDA(_xlpm.ARRAY,IF(_xlpm.ARRAY="teleOp", COLUMN(_xlpm.ARRAY), 0))))=0,"",MAX(_xlfn.BYCOL('Prematch Backend 5A'!57:57, _xlfn.LAMBDA(_xlpm.ARRAY,IF(_xlpm.ARRAY="teleOp", COLUMN(_xlpm.ARRAY), 0)))))</f>
        <v/>
      </c>
      <c r="B57" t="str" cm="1">
        <f t="array" ref="B57">IF(A57="","",_xlfn.CHOOSECOLS('Prematch Backend 2A'!57:57,_xlfn.MAKEARRAY(1,A57-2,_xlfn.LAMBDA(_xlpm.r,_xlpm.c,_xlpm.c))))</f>
        <v/>
      </c>
    </row>
    <row r="58" spans="1:2" x14ac:dyDescent="0.2">
      <c r="A58" t="str" cm="1">
        <f t="array" ref="A58">IF(MAX(_xlfn.BYCOL('Prematch Backend 5A'!58:58, _xlfn.LAMBDA(_xlpm.ARRAY,IF(_xlpm.ARRAY="teleOp", COLUMN(_xlpm.ARRAY), 0))))=0,"",MAX(_xlfn.BYCOL('Prematch Backend 5A'!58:58, _xlfn.LAMBDA(_xlpm.ARRAY,IF(_xlpm.ARRAY="teleOp", COLUMN(_xlpm.ARRAY), 0)))))</f>
        <v/>
      </c>
      <c r="B58" t="str" cm="1">
        <f t="array" ref="B58">IF(A58="","",_xlfn.CHOOSECOLS('Prematch Backend 2A'!58:58,_xlfn.MAKEARRAY(1,A58-2,_xlfn.LAMBDA(_xlpm.r,_xlpm.c,_xlpm.c))))</f>
        <v/>
      </c>
    </row>
    <row r="59" spans="1:2" x14ac:dyDescent="0.2">
      <c r="A59" t="str" cm="1">
        <f t="array" ref="A59">IF(MAX(_xlfn.BYCOL('Prematch Backend 5A'!59:59, _xlfn.LAMBDA(_xlpm.ARRAY,IF(_xlpm.ARRAY="teleOp", COLUMN(_xlpm.ARRAY), 0))))=0,"",MAX(_xlfn.BYCOL('Prematch Backend 5A'!59:59, _xlfn.LAMBDA(_xlpm.ARRAY,IF(_xlpm.ARRAY="teleOp", COLUMN(_xlpm.ARRAY), 0)))))</f>
        <v/>
      </c>
      <c r="B59" t="str" cm="1">
        <f t="array" ref="B59">IF(A59="","",_xlfn.CHOOSECOLS('Prematch Backend 2A'!59:59,_xlfn.MAKEARRAY(1,A59-2,_xlfn.LAMBDA(_xlpm.r,_xlpm.c,_xlpm.c))))</f>
        <v/>
      </c>
    </row>
    <row r="60" spans="1:2" x14ac:dyDescent="0.2">
      <c r="A60" t="str" cm="1">
        <f t="array" ref="A60">IF(MAX(_xlfn.BYCOL('Prematch Backend 5A'!60:60, _xlfn.LAMBDA(_xlpm.ARRAY,IF(_xlpm.ARRAY="teleOp", COLUMN(_xlpm.ARRAY), 0))))=0,"",MAX(_xlfn.BYCOL('Prematch Backend 5A'!60:60, _xlfn.LAMBDA(_xlpm.ARRAY,IF(_xlpm.ARRAY="teleOp", COLUMN(_xlpm.ARRAY), 0)))))</f>
        <v/>
      </c>
      <c r="B60" t="str" cm="1">
        <f t="array" ref="B60">IF(A60="","",_xlfn.CHOOSECOLS('Prematch Backend 2A'!60:60,_xlfn.MAKEARRAY(1,A60-2,_xlfn.LAMBDA(_xlpm.r,_xlpm.c,_xlpm.c))))</f>
        <v/>
      </c>
    </row>
    <row r="61" spans="1:2" x14ac:dyDescent="0.2">
      <c r="A61" t="str" cm="1">
        <f t="array" ref="A61">IF(MAX(_xlfn.BYCOL('Prematch Backend 5A'!61:61, _xlfn.LAMBDA(_xlpm.ARRAY,IF(_xlpm.ARRAY="teleOp", COLUMN(_xlpm.ARRAY), 0))))=0,"",MAX(_xlfn.BYCOL('Prematch Backend 5A'!61:61, _xlfn.LAMBDA(_xlpm.ARRAY,IF(_xlpm.ARRAY="teleOp", COLUMN(_xlpm.ARRAY), 0)))))</f>
        <v/>
      </c>
      <c r="B61" t="str" cm="1">
        <f t="array" ref="B61">IF(A61="","",_xlfn.CHOOSECOLS('Prematch Backend 2A'!61:61,_xlfn.MAKEARRAY(1,A61-2,_xlfn.LAMBDA(_xlpm.r,_xlpm.c,_xlpm.c))))</f>
        <v/>
      </c>
    </row>
    <row r="62" spans="1:2" x14ac:dyDescent="0.2">
      <c r="A62" t="str" cm="1">
        <f t="array" ref="A62">IF(MAX(_xlfn.BYCOL('Prematch Backend 5A'!62:62, _xlfn.LAMBDA(_xlpm.ARRAY,IF(_xlpm.ARRAY="teleOp", COLUMN(_xlpm.ARRAY), 0))))=0,"",MAX(_xlfn.BYCOL('Prematch Backend 5A'!62:62, _xlfn.LAMBDA(_xlpm.ARRAY,IF(_xlpm.ARRAY="teleOp", COLUMN(_xlpm.ARRAY), 0)))))</f>
        <v/>
      </c>
      <c r="B62" t="str" cm="1">
        <f t="array" ref="B62">IF(A62="","",_xlfn.CHOOSECOLS('Prematch Backend 2A'!62:62,_xlfn.MAKEARRAY(1,A62-2,_xlfn.LAMBDA(_xlpm.r,_xlpm.c,_xlpm.c))))</f>
        <v/>
      </c>
    </row>
    <row r="63" spans="1:2" x14ac:dyDescent="0.2">
      <c r="A63" t="str" cm="1">
        <f t="array" ref="A63">IF(MAX(_xlfn.BYCOL('Prematch Backend 5A'!63:63, _xlfn.LAMBDA(_xlpm.ARRAY,IF(_xlpm.ARRAY="teleOp", COLUMN(_xlpm.ARRAY), 0))))=0,"",MAX(_xlfn.BYCOL('Prematch Backend 5A'!63:63, _xlfn.LAMBDA(_xlpm.ARRAY,IF(_xlpm.ARRAY="teleOp", COLUMN(_xlpm.ARRAY), 0)))))</f>
        <v/>
      </c>
      <c r="B63" t="str" cm="1">
        <f t="array" ref="B63">IF(A63="","",_xlfn.CHOOSECOLS('Prematch Backend 2A'!63:63,_xlfn.MAKEARRAY(1,A63-2,_xlfn.LAMBDA(_xlpm.r,_xlpm.c,_xlpm.c))))</f>
        <v/>
      </c>
    </row>
    <row r="64" spans="1:2" x14ac:dyDescent="0.2">
      <c r="A64" t="str" cm="1">
        <f t="array" ref="A64">IF(MAX(_xlfn.BYCOL('Prematch Backend 5A'!64:64, _xlfn.LAMBDA(_xlpm.ARRAY,IF(_xlpm.ARRAY="teleOp", COLUMN(_xlpm.ARRAY), 0))))=0,"",MAX(_xlfn.BYCOL('Prematch Backend 5A'!64:64, _xlfn.LAMBDA(_xlpm.ARRAY,IF(_xlpm.ARRAY="teleOp", COLUMN(_xlpm.ARRAY), 0)))))</f>
        <v/>
      </c>
      <c r="B64" t="str" cm="1">
        <f t="array" ref="B64">IF(A64="","",_xlfn.CHOOSECOLS('Prematch Backend 2A'!64:64,_xlfn.MAKEARRAY(1,A64-2,_xlfn.LAMBDA(_xlpm.r,_xlpm.c,_xlpm.c))))</f>
        <v/>
      </c>
    </row>
    <row r="65" spans="1:2" x14ac:dyDescent="0.2">
      <c r="A65" t="str" cm="1">
        <f t="array" ref="A65">IF(MAX(_xlfn.BYCOL('Prematch Backend 5A'!65:65, _xlfn.LAMBDA(_xlpm.ARRAY,IF(_xlpm.ARRAY="teleOp", COLUMN(_xlpm.ARRAY), 0))))=0,"",MAX(_xlfn.BYCOL('Prematch Backend 5A'!65:65, _xlfn.LAMBDA(_xlpm.ARRAY,IF(_xlpm.ARRAY="teleOp", COLUMN(_xlpm.ARRAY), 0)))))</f>
        <v/>
      </c>
      <c r="B65" t="str" cm="1">
        <f t="array" ref="B65">IF(A65="","",_xlfn.CHOOSECOLS('Prematch Backend 2A'!65:65,_xlfn.MAKEARRAY(1,A65-2,_xlfn.LAMBDA(_xlpm.r,_xlpm.c,_xlpm.c))))</f>
        <v/>
      </c>
    </row>
    <row r="66" spans="1:2" x14ac:dyDescent="0.2">
      <c r="A66" t="str" cm="1">
        <f t="array" ref="A66">IF(MAX(_xlfn.BYCOL('Prematch Backend 5A'!66:66, _xlfn.LAMBDA(_xlpm.ARRAY,IF(_xlpm.ARRAY="teleOp", COLUMN(_xlpm.ARRAY), 0))))=0,"",MAX(_xlfn.BYCOL('Prematch Backend 5A'!66:66, _xlfn.LAMBDA(_xlpm.ARRAY,IF(_xlpm.ARRAY="teleOp", COLUMN(_xlpm.ARRAY), 0)))))</f>
        <v/>
      </c>
      <c r="B66" t="str" cm="1">
        <f t="array" ref="B66">IF(A66="","",_xlfn.CHOOSECOLS('Prematch Backend 2A'!66:66,_xlfn.MAKEARRAY(1,A66-2,_xlfn.LAMBDA(_xlpm.r,_xlpm.c,_xlpm.c))))</f>
        <v/>
      </c>
    </row>
    <row r="67" spans="1:2" x14ac:dyDescent="0.2">
      <c r="A67" t="str" cm="1">
        <f t="array" ref="A67">IF(MAX(_xlfn.BYCOL('Prematch Backend 5A'!67:67, _xlfn.LAMBDA(_xlpm.ARRAY,IF(_xlpm.ARRAY="teleOp", COLUMN(_xlpm.ARRAY), 0))))=0,"",MAX(_xlfn.BYCOL('Prematch Backend 5A'!67:67, _xlfn.LAMBDA(_xlpm.ARRAY,IF(_xlpm.ARRAY="teleOp", COLUMN(_xlpm.ARRAY), 0)))))</f>
        <v/>
      </c>
      <c r="B67" t="str" cm="1">
        <f t="array" ref="B67">IF(A67="","",_xlfn.CHOOSECOLS('Prematch Backend 2A'!67:67,_xlfn.MAKEARRAY(1,A67-2,_xlfn.LAMBDA(_xlpm.r,_xlpm.c,_xlpm.c))))</f>
        <v/>
      </c>
    </row>
    <row r="68" spans="1:2" x14ac:dyDescent="0.2">
      <c r="A68" t="str" cm="1">
        <f t="array" ref="A68">IF(MAX(_xlfn.BYCOL('Prematch Backend 5A'!68:68, _xlfn.LAMBDA(_xlpm.ARRAY,IF(_xlpm.ARRAY="teleOp", COLUMN(_xlpm.ARRAY), 0))))=0,"",MAX(_xlfn.BYCOL('Prematch Backend 5A'!68:68, _xlfn.LAMBDA(_xlpm.ARRAY,IF(_xlpm.ARRAY="teleOp", COLUMN(_xlpm.ARRAY), 0)))))</f>
        <v/>
      </c>
      <c r="B68" t="str" cm="1">
        <f t="array" ref="B68">IF(A68="","",_xlfn.CHOOSECOLS('Prematch Backend 2A'!68:68,_xlfn.MAKEARRAY(1,A68-2,_xlfn.LAMBDA(_xlpm.r,_xlpm.c,_xlpm.c))))</f>
        <v/>
      </c>
    </row>
    <row r="69" spans="1:2" x14ac:dyDescent="0.2">
      <c r="A69" t="str" cm="1">
        <f t="array" ref="A69">IF(MAX(_xlfn.BYCOL('Prematch Backend 5A'!69:69, _xlfn.LAMBDA(_xlpm.ARRAY,IF(_xlpm.ARRAY="teleOp", COLUMN(_xlpm.ARRAY), 0))))=0,"",MAX(_xlfn.BYCOL('Prematch Backend 5A'!69:69, _xlfn.LAMBDA(_xlpm.ARRAY,IF(_xlpm.ARRAY="teleOp", COLUMN(_xlpm.ARRAY), 0)))))</f>
        <v/>
      </c>
      <c r="B69" t="str" cm="1">
        <f t="array" ref="B69">IF(A69="","",_xlfn.CHOOSECOLS('Prematch Backend 2A'!69:69,_xlfn.MAKEARRAY(1,A69-2,_xlfn.LAMBDA(_xlpm.r,_xlpm.c,_xlpm.c))))</f>
        <v/>
      </c>
    </row>
    <row r="70" spans="1:2" x14ac:dyDescent="0.2">
      <c r="A70" t="str" cm="1">
        <f t="array" ref="A70">IF(MAX(_xlfn.BYCOL('Prematch Backend 5A'!70:70, _xlfn.LAMBDA(_xlpm.ARRAY,IF(_xlpm.ARRAY="teleOp", COLUMN(_xlpm.ARRAY), 0))))=0,"",MAX(_xlfn.BYCOL('Prematch Backend 5A'!70:70, _xlfn.LAMBDA(_xlpm.ARRAY,IF(_xlpm.ARRAY="teleOp", COLUMN(_xlpm.ARRAY), 0)))))</f>
        <v/>
      </c>
      <c r="B70" t="str" cm="1">
        <f t="array" ref="B70">IF(A70="","",_xlfn.CHOOSECOLS('Prematch Backend 2A'!70:70,_xlfn.MAKEARRAY(1,A70-2,_xlfn.LAMBDA(_xlpm.r,_xlpm.c,_xlpm.c))))</f>
        <v/>
      </c>
    </row>
    <row r="71" spans="1:2" x14ac:dyDescent="0.2">
      <c r="A71" t="str" cm="1">
        <f t="array" ref="A71">IF(MAX(_xlfn.BYCOL('Prematch Backend 5A'!71:71, _xlfn.LAMBDA(_xlpm.ARRAY,IF(_xlpm.ARRAY="teleOp", COLUMN(_xlpm.ARRAY), 0))))=0,"",MAX(_xlfn.BYCOL('Prematch Backend 5A'!71:71, _xlfn.LAMBDA(_xlpm.ARRAY,IF(_xlpm.ARRAY="teleOp", COLUMN(_xlpm.ARRAY), 0)))))</f>
        <v/>
      </c>
      <c r="B71" t="str" cm="1">
        <f t="array" ref="B71">IF(A71="","",_xlfn.CHOOSECOLS('Prematch Backend 2A'!71:71,_xlfn.MAKEARRAY(1,A71-2,_xlfn.LAMBDA(_xlpm.r,_xlpm.c,_xlpm.c))))</f>
        <v/>
      </c>
    </row>
    <row r="72" spans="1:2" x14ac:dyDescent="0.2">
      <c r="A72" t="str" cm="1">
        <f t="array" ref="A72">IF(MAX(_xlfn.BYCOL('Prematch Backend 5A'!72:72, _xlfn.LAMBDA(_xlpm.ARRAY,IF(_xlpm.ARRAY="teleOp", COLUMN(_xlpm.ARRAY), 0))))=0,"",MAX(_xlfn.BYCOL('Prematch Backend 5A'!72:72, _xlfn.LAMBDA(_xlpm.ARRAY,IF(_xlpm.ARRAY="teleOp", COLUMN(_xlpm.ARRAY), 0)))))</f>
        <v/>
      </c>
      <c r="B72" t="str" cm="1">
        <f t="array" ref="B72">IF(A72="","",_xlfn.CHOOSECOLS('Prematch Backend 2A'!72:72,_xlfn.MAKEARRAY(1,A72-2,_xlfn.LAMBDA(_xlpm.r,_xlpm.c,_xlpm.c))))</f>
        <v/>
      </c>
    </row>
    <row r="73" spans="1:2" x14ac:dyDescent="0.2">
      <c r="A73" t="str" cm="1">
        <f t="array" ref="A73">IF(MAX(_xlfn.BYCOL('Prematch Backend 5A'!73:73, _xlfn.LAMBDA(_xlpm.ARRAY,IF(_xlpm.ARRAY="teleOp", COLUMN(_xlpm.ARRAY), 0))))=0,"",MAX(_xlfn.BYCOL('Prematch Backend 5A'!73:73, _xlfn.LAMBDA(_xlpm.ARRAY,IF(_xlpm.ARRAY="teleOp", COLUMN(_xlpm.ARRAY), 0)))))</f>
        <v/>
      </c>
      <c r="B73" t="str" cm="1">
        <f t="array" ref="B73">IF(A73="","",_xlfn.CHOOSECOLS('Prematch Backend 2A'!73:73,_xlfn.MAKEARRAY(1,A73-2,_xlfn.LAMBDA(_xlpm.r,_xlpm.c,_xlpm.c))))</f>
        <v/>
      </c>
    </row>
    <row r="74" spans="1:2" x14ac:dyDescent="0.2">
      <c r="A74" t="str" cm="1">
        <f t="array" ref="A74">IF(MAX(_xlfn.BYCOL('Prematch Backend 5A'!74:74, _xlfn.LAMBDA(_xlpm.ARRAY,IF(_xlpm.ARRAY="teleOp", COLUMN(_xlpm.ARRAY), 0))))=0,"",MAX(_xlfn.BYCOL('Prematch Backend 5A'!74:74, _xlfn.LAMBDA(_xlpm.ARRAY,IF(_xlpm.ARRAY="teleOp", COLUMN(_xlpm.ARRAY), 0)))))</f>
        <v/>
      </c>
      <c r="B74" t="str" cm="1">
        <f t="array" ref="B74">IF(A74="","",_xlfn.CHOOSECOLS('Prematch Backend 2A'!74:74,_xlfn.MAKEARRAY(1,A74-2,_xlfn.LAMBDA(_xlpm.r,_xlpm.c,_xlpm.c))))</f>
        <v/>
      </c>
    </row>
    <row r="75" spans="1:2" x14ac:dyDescent="0.2">
      <c r="A75" t="str" cm="1">
        <f t="array" ref="A75">IF(MAX(_xlfn.BYCOL('Prematch Backend 5A'!75:75, _xlfn.LAMBDA(_xlpm.ARRAY,IF(_xlpm.ARRAY="teleOp", COLUMN(_xlpm.ARRAY), 0))))=0,"",MAX(_xlfn.BYCOL('Prematch Backend 5A'!75:75, _xlfn.LAMBDA(_xlpm.ARRAY,IF(_xlpm.ARRAY="teleOp", COLUMN(_xlpm.ARRAY), 0)))))</f>
        <v/>
      </c>
      <c r="B75" t="str" cm="1">
        <f t="array" ref="B75">IF(A75="","",_xlfn.CHOOSECOLS('Prematch Backend 2A'!75:75,_xlfn.MAKEARRAY(1,A75-2,_xlfn.LAMBDA(_xlpm.r,_xlpm.c,_xlpm.c))))</f>
        <v/>
      </c>
    </row>
    <row r="76" spans="1:2" x14ac:dyDescent="0.2">
      <c r="A76" t="str" cm="1">
        <f t="array" ref="A76">IF(MAX(_xlfn.BYCOL('Prematch Backend 5A'!76:76, _xlfn.LAMBDA(_xlpm.ARRAY,IF(_xlpm.ARRAY="teleOp", COLUMN(_xlpm.ARRAY), 0))))=0,"",MAX(_xlfn.BYCOL('Prematch Backend 5A'!76:76, _xlfn.LAMBDA(_xlpm.ARRAY,IF(_xlpm.ARRAY="teleOp", COLUMN(_xlpm.ARRAY), 0)))))</f>
        <v/>
      </c>
      <c r="B76" t="str" cm="1">
        <f t="array" ref="B76">IF(A76="","",_xlfn.CHOOSECOLS('Prematch Backend 2A'!76:76,_xlfn.MAKEARRAY(1,A76-2,_xlfn.LAMBDA(_xlpm.r,_xlpm.c,_xlpm.c))))</f>
        <v/>
      </c>
    </row>
    <row r="77" spans="1:2" x14ac:dyDescent="0.2">
      <c r="A77" t="str" cm="1">
        <f t="array" ref="A77">IF(MAX(_xlfn.BYCOL('Prematch Backend 5A'!77:77, _xlfn.LAMBDA(_xlpm.ARRAY,IF(_xlpm.ARRAY="teleOp", COLUMN(_xlpm.ARRAY), 0))))=0,"",MAX(_xlfn.BYCOL('Prematch Backend 5A'!77:77, _xlfn.LAMBDA(_xlpm.ARRAY,IF(_xlpm.ARRAY="teleOp", COLUMN(_xlpm.ARRAY), 0)))))</f>
        <v/>
      </c>
      <c r="B77" t="str" cm="1">
        <f t="array" ref="B77">IF(A77="","",_xlfn.CHOOSECOLS('Prematch Backend 2A'!77:77,_xlfn.MAKEARRAY(1,A77-2,_xlfn.LAMBDA(_xlpm.r,_xlpm.c,_xlpm.c))))</f>
        <v/>
      </c>
    </row>
    <row r="78" spans="1:2" x14ac:dyDescent="0.2">
      <c r="A78" t="str" cm="1">
        <f t="array" ref="A78">IF(MAX(_xlfn.BYCOL('Prematch Backend 5A'!78:78, _xlfn.LAMBDA(_xlpm.ARRAY,IF(_xlpm.ARRAY="teleOp", COLUMN(_xlpm.ARRAY), 0))))=0,"",MAX(_xlfn.BYCOL('Prematch Backend 5A'!78:78, _xlfn.LAMBDA(_xlpm.ARRAY,IF(_xlpm.ARRAY="teleOp", COLUMN(_xlpm.ARRAY), 0)))))</f>
        <v/>
      </c>
      <c r="B78" t="str" cm="1">
        <f t="array" ref="B78">IF(A78="","",_xlfn.CHOOSECOLS('Prematch Backend 2A'!78:78,_xlfn.MAKEARRAY(1,A78-2,_xlfn.LAMBDA(_xlpm.r,_xlpm.c,_xlpm.c))))</f>
        <v/>
      </c>
    </row>
    <row r="79" spans="1:2" x14ac:dyDescent="0.2">
      <c r="A79" t="str" cm="1">
        <f t="array" ref="A79">IF(MAX(_xlfn.BYCOL('Prematch Backend 5A'!79:79, _xlfn.LAMBDA(_xlpm.ARRAY,IF(_xlpm.ARRAY="teleOp", COLUMN(_xlpm.ARRAY), 0))))=0,"",MAX(_xlfn.BYCOL('Prematch Backend 5A'!79:79, _xlfn.LAMBDA(_xlpm.ARRAY,IF(_xlpm.ARRAY="teleOp", COLUMN(_xlpm.ARRAY), 0)))))</f>
        <v/>
      </c>
      <c r="B79" t="str" cm="1">
        <f t="array" ref="B79">IF(A79="","",_xlfn.CHOOSECOLS('Prematch Backend 2A'!79:79,_xlfn.MAKEARRAY(1,A79-2,_xlfn.LAMBDA(_xlpm.r,_xlpm.c,_xlpm.c))))</f>
        <v/>
      </c>
    </row>
    <row r="80" spans="1:2" x14ac:dyDescent="0.2">
      <c r="A80" t="str" cm="1">
        <f t="array" ref="A80">IF(MAX(_xlfn.BYCOL('Prematch Backend 5A'!80:80, _xlfn.LAMBDA(_xlpm.ARRAY,IF(_xlpm.ARRAY="teleOp", COLUMN(_xlpm.ARRAY), 0))))=0,"",MAX(_xlfn.BYCOL('Prematch Backend 5A'!80:80, _xlfn.LAMBDA(_xlpm.ARRAY,IF(_xlpm.ARRAY="teleOp", COLUMN(_xlpm.ARRAY), 0)))))</f>
        <v/>
      </c>
      <c r="B80" t="str" cm="1">
        <f t="array" ref="B80">IF(A80="","",_xlfn.CHOOSECOLS('Prematch Backend 2A'!80:80,_xlfn.MAKEARRAY(1,A80-2,_xlfn.LAMBDA(_xlpm.r,_xlpm.c,_xlpm.c))))</f>
        <v/>
      </c>
    </row>
    <row r="81" spans="1:2" x14ac:dyDescent="0.2">
      <c r="A81" t="str" cm="1">
        <f t="array" ref="A81">IF(MAX(_xlfn.BYCOL('Prematch Backend 5A'!81:81, _xlfn.LAMBDA(_xlpm.ARRAY,IF(_xlpm.ARRAY="teleOp", COLUMN(_xlpm.ARRAY), 0))))=0,"",MAX(_xlfn.BYCOL('Prematch Backend 5A'!81:81, _xlfn.LAMBDA(_xlpm.ARRAY,IF(_xlpm.ARRAY="teleOp", COLUMN(_xlpm.ARRAY), 0)))))</f>
        <v/>
      </c>
      <c r="B81" t="str" cm="1">
        <f t="array" ref="B81">IF(A81="","",_xlfn.CHOOSECOLS('Prematch Backend 2A'!81:81,_xlfn.MAKEARRAY(1,A81-2,_xlfn.LAMBDA(_xlpm.r,_xlpm.c,_xlpm.c))))</f>
        <v/>
      </c>
    </row>
    <row r="82" spans="1:2" x14ac:dyDescent="0.2">
      <c r="A82" t="str" cm="1">
        <f t="array" ref="A82">IF(MAX(_xlfn.BYCOL('Prematch Backend 5A'!82:82, _xlfn.LAMBDA(_xlpm.ARRAY,IF(_xlpm.ARRAY="teleOp", COLUMN(_xlpm.ARRAY), 0))))=0,"",MAX(_xlfn.BYCOL('Prematch Backend 5A'!82:82, _xlfn.LAMBDA(_xlpm.ARRAY,IF(_xlpm.ARRAY="teleOp", COLUMN(_xlpm.ARRAY), 0)))))</f>
        <v/>
      </c>
      <c r="B82" t="str" cm="1">
        <f t="array" ref="B82">IF(A82="","",_xlfn.CHOOSECOLS('Prematch Backend 2A'!82:82,_xlfn.MAKEARRAY(1,A82-2,_xlfn.LAMBDA(_xlpm.r,_xlpm.c,_xlpm.c))))</f>
        <v/>
      </c>
    </row>
    <row r="83" spans="1:2" x14ac:dyDescent="0.2">
      <c r="A83" t="str" cm="1">
        <f t="array" ref="A83">IF(MAX(_xlfn.BYCOL('Prematch Backend 5A'!83:83, _xlfn.LAMBDA(_xlpm.ARRAY,IF(_xlpm.ARRAY="teleOp", COLUMN(_xlpm.ARRAY), 0))))=0,"",MAX(_xlfn.BYCOL('Prematch Backend 5A'!83:83, _xlfn.LAMBDA(_xlpm.ARRAY,IF(_xlpm.ARRAY="teleOp", COLUMN(_xlpm.ARRAY), 0)))))</f>
        <v/>
      </c>
      <c r="B83" t="str" cm="1">
        <f t="array" ref="B83">IF(A83="","",_xlfn.CHOOSECOLS('Prematch Backend 2A'!83:83,_xlfn.MAKEARRAY(1,A83-2,_xlfn.LAMBDA(_xlpm.r,_xlpm.c,_xlpm.c))))</f>
        <v/>
      </c>
    </row>
    <row r="84" spans="1:2" x14ac:dyDescent="0.2">
      <c r="A84" t="str" cm="1">
        <f t="array" ref="A84">IF(MAX(_xlfn.BYCOL('Prematch Backend 5A'!84:84, _xlfn.LAMBDA(_xlpm.ARRAY,IF(_xlpm.ARRAY="teleOp", COLUMN(_xlpm.ARRAY), 0))))=0,"",MAX(_xlfn.BYCOL('Prematch Backend 5A'!84:84, _xlfn.LAMBDA(_xlpm.ARRAY,IF(_xlpm.ARRAY="teleOp", COLUMN(_xlpm.ARRAY), 0)))))</f>
        <v/>
      </c>
      <c r="B84" t="str" cm="1">
        <f t="array" ref="B84">IF(A84="","",_xlfn.CHOOSECOLS('Prematch Backend 2A'!84:84,_xlfn.MAKEARRAY(1,A84-2,_xlfn.LAMBDA(_xlpm.r,_xlpm.c,_xlpm.c))))</f>
        <v/>
      </c>
    </row>
    <row r="85" spans="1:2" x14ac:dyDescent="0.2">
      <c r="A85" t="str" cm="1">
        <f t="array" ref="A85">IF(MAX(_xlfn.BYCOL('Prematch Backend 5A'!85:85, _xlfn.LAMBDA(_xlpm.ARRAY,IF(_xlpm.ARRAY="teleOp", COLUMN(_xlpm.ARRAY), 0))))=0,"",MAX(_xlfn.BYCOL('Prematch Backend 5A'!85:85, _xlfn.LAMBDA(_xlpm.ARRAY,IF(_xlpm.ARRAY="teleOp", COLUMN(_xlpm.ARRAY), 0)))))</f>
        <v/>
      </c>
      <c r="B85" t="str" cm="1">
        <f t="array" ref="B85">IF(A85="","",_xlfn.CHOOSECOLS('Prematch Backend 2A'!85:85,_xlfn.MAKEARRAY(1,A85-2,_xlfn.LAMBDA(_xlpm.r,_xlpm.c,_xlpm.c))))</f>
        <v/>
      </c>
    </row>
    <row r="86" spans="1:2" x14ac:dyDescent="0.2">
      <c r="A86" t="str" cm="1">
        <f t="array" ref="A86">IF(MAX(_xlfn.BYCOL('Prematch Backend 5A'!86:86, _xlfn.LAMBDA(_xlpm.ARRAY,IF(_xlpm.ARRAY="teleOp", COLUMN(_xlpm.ARRAY), 0))))=0,"",MAX(_xlfn.BYCOL('Prematch Backend 5A'!86:86, _xlfn.LAMBDA(_xlpm.ARRAY,IF(_xlpm.ARRAY="teleOp", COLUMN(_xlpm.ARRAY), 0)))))</f>
        <v/>
      </c>
      <c r="B86" t="str" cm="1">
        <f t="array" ref="B86">IF(A86="","",_xlfn.CHOOSECOLS('Prematch Backend 2A'!86:86,_xlfn.MAKEARRAY(1,A86-2,_xlfn.LAMBDA(_xlpm.r,_xlpm.c,_xlpm.c))))</f>
        <v/>
      </c>
    </row>
    <row r="87" spans="1:2" x14ac:dyDescent="0.2">
      <c r="A87" t="str" cm="1">
        <f t="array" ref="A87">IF(MAX(_xlfn.BYCOL('Prematch Backend 5A'!87:87, _xlfn.LAMBDA(_xlpm.ARRAY,IF(_xlpm.ARRAY="teleOp", COLUMN(_xlpm.ARRAY), 0))))=0,"",MAX(_xlfn.BYCOL('Prematch Backend 5A'!87:87, _xlfn.LAMBDA(_xlpm.ARRAY,IF(_xlpm.ARRAY="teleOp", COLUMN(_xlpm.ARRAY), 0)))))</f>
        <v/>
      </c>
      <c r="B87" t="str" cm="1">
        <f t="array" ref="B87">IF(A87="","",_xlfn.CHOOSECOLS('Prematch Backend 2A'!87:87,_xlfn.MAKEARRAY(1,A87-2,_xlfn.LAMBDA(_xlpm.r,_xlpm.c,_xlpm.c))))</f>
        <v/>
      </c>
    </row>
    <row r="88" spans="1:2" x14ac:dyDescent="0.2">
      <c r="A88" t="str" cm="1">
        <f t="array" ref="A88">IF(MAX(_xlfn.BYCOL('Prematch Backend 5A'!88:88, _xlfn.LAMBDA(_xlpm.ARRAY,IF(_xlpm.ARRAY="teleOp", COLUMN(_xlpm.ARRAY), 0))))=0,"",MAX(_xlfn.BYCOL('Prematch Backend 5A'!88:88, _xlfn.LAMBDA(_xlpm.ARRAY,IF(_xlpm.ARRAY="teleOp", COLUMN(_xlpm.ARRAY), 0)))))</f>
        <v/>
      </c>
      <c r="B88" t="str" cm="1">
        <f t="array" ref="B88">IF(A88="","",_xlfn.CHOOSECOLS('Prematch Backend 2A'!88:88,_xlfn.MAKEARRAY(1,A88-2,_xlfn.LAMBDA(_xlpm.r,_xlpm.c,_xlpm.c))))</f>
        <v/>
      </c>
    </row>
    <row r="89" spans="1:2" x14ac:dyDescent="0.2">
      <c r="A89" t="str" cm="1">
        <f t="array" ref="A89">IF(MAX(_xlfn.BYCOL('Prematch Backend 5A'!89:89, _xlfn.LAMBDA(_xlpm.ARRAY,IF(_xlpm.ARRAY="teleOp", COLUMN(_xlpm.ARRAY), 0))))=0,"",MAX(_xlfn.BYCOL('Prematch Backend 5A'!89:89, _xlfn.LAMBDA(_xlpm.ARRAY,IF(_xlpm.ARRAY="teleOp", COLUMN(_xlpm.ARRAY), 0)))))</f>
        <v/>
      </c>
      <c r="B89" t="str" cm="1">
        <f t="array" ref="B89">IF(A89="","",_xlfn.CHOOSECOLS('Prematch Backend 2A'!89:89,_xlfn.MAKEARRAY(1,A89-2,_xlfn.LAMBDA(_xlpm.r,_xlpm.c,_xlpm.c))))</f>
        <v/>
      </c>
    </row>
    <row r="90" spans="1:2" x14ac:dyDescent="0.2">
      <c r="A90" t="str" cm="1">
        <f t="array" ref="A90">IF(MAX(_xlfn.BYCOL('Prematch Backend 5A'!90:90, _xlfn.LAMBDA(_xlpm.ARRAY,IF(_xlpm.ARRAY="teleOp", COLUMN(_xlpm.ARRAY), 0))))=0,"",MAX(_xlfn.BYCOL('Prematch Backend 5A'!90:90, _xlfn.LAMBDA(_xlpm.ARRAY,IF(_xlpm.ARRAY="teleOp", COLUMN(_xlpm.ARRAY), 0)))))</f>
        <v/>
      </c>
      <c r="B90" t="str" cm="1">
        <f t="array" ref="B90">IF(A90="","",_xlfn.CHOOSECOLS('Prematch Backend 2A'!90:90,_xlfn.MAKEARRAY(1,A90-2,_xlfn.LAMBDA(_xlpm.r,_xlpm.c,_xlpm.c))))</f>
        <v/>
      </c>
    </row>
    <row r="91" spans="1:2" x14ac:dyDescent="0.2">
      <c r="A91" t="str" cm="1">
        <f t="array" ref="A91">IF(MAX(_xlfn.BYCOL('Prematch Backend 5A'!91:91, _xlfn.LAMBDA(_xlpm.ARRAY,IF(_xlpm.ARRAY="teleOp", COLUMN(_xlpm.ARRAY), 0))))=0,"",MAX(_xlfn.BYCOL('Prematch Backend 5A'!91:91, _xlfn.LAMBDA(_xlpm.ARRAY,IF(_xlpm.ARRAY="teleOp", COLUMN(_xlpm.ARRAY), 0)))))</f>
        <v/>
      </c>
      <c r="B91" t="str" cm="1">
        <f t="array" ref="B91">IF(A91="","",_xlfn.CHOOSECOLS('Prematch Backend 2A'!91:91,_xlfn.MAKEARRAY(1,A91-2,_xlfn.LAMBDA(_xlpm.r,_xlpm.c,_xlpm.c))))</f>
        <v/>
      </c>
    </row>
    <row r="92" spans="1:2" x14ac:dyDescent="0.2">
      <c r="A92" t="str" cm="1">
        <f t="array" ref="A92">IF(MAX(_xlfn.BYCOL('Prematch Backend 5A'!92:92, _xlfn.LAMBDA(_xlpm.ARRAY,IF(_xlpm.ARRAY="teleOp", COLUMN(_xlpm.ARRAY), 0))))=0,"",MAX(_xlfn.BYCOL('Prematch Backend 5A'!92:92, _xlfn.LAMBDA(_xlpm.ARRAY,IF(_xlpm.ARRAY="teleOp", COLUMN(_xlpm.ARRAY), 0)))))</f>
        <v/>
      </c>
      <c r="B92" t="str" cm="1">
        <f t="array" ref="B92">IF(A92="","",_xlfn.CHOOSECOLS('Prematch Backend 2A'!92:92,_xlfn.MAKEARRAY(1,A92-2,_xlfn.LAMBDA(_xlpm.r,_xlpm.c,_xlpm.c))))</f>
        <v/>
      </c>
    </row>
    <row r="93" spans="1:2" x14ac:dyDescent="0.2">
      <c r="A93" t="str" cm="1">
        <f t="array" ref="A93">IF(MAX(_xlfn.BYCOL('Prematch Backend 5A'!93:93, _xlfn.LAMBDA(_xlpm.ARRAY,IF(_xlpm.ARRAY="teleOp", COLUMN(_xlpm.ARRAY), 0))))=0,"",MAX(_xlfn.BYCOL('Prematch Backend 5A'!93:93, _xlfn.LAMBDA(_xlpm.ARRAY,IF(_xlpm.ARRAY="teleOp", COLUMN(_xlpm.ARRAY), 0)))))</f>
        <v/>
      </c>
      <c r="B93" t="str" cm="1">
        <f t="array" ref="B93">IF(A93="","",_xlfn.CHOOSECOLS('Prematch Backend 2A'!93:93,_xlfn.MAKEARRAY(1,A93-2,_xlfn.LAMBDA(_xlpm.r,_xlpm.c,_xlpm.c))))</f>
        <v/>
      </c>
    </row>
    <row r="94" spans="1:2" x14ac:dyDescent="0.2">
      <c r="A94" t="str" cm="1">
        <f t="array" ref="A94">IF(MAX(_xlfn.BYCOL('Prematch Backend 5A'!94:94, _xlfn.LAMBDA(_xlpm.ARRAY,IF(_xlpm.ARRAY="teleOp", COLUMN(_xlpm.ARRAY), 0))))=0,"",MAX(_xlfn.BYCOL('Prematch Backend 5A'!94:94, _xlfn.LAMBDA(_xlpm.ARRAY,IF(_xlpm.ARRAY="teleOp", COLUMN(_xlpm.ARRAY), 0)))))</f>
        <v/>
      </c>
      <c r="B94" t="str" cm="1">
        <f t="array" ref="B94">IF(A94="","",_xlfn.CHOOSECOLS('Prematch Backend 2A'!94:94,_xlfn.MAKEARRAY(1,A94-2,_xlfn.LAMBDA(_xlpm.r,_xlpm.c,_xlpm.c))))</f>
        <v/>
      </c>
    </row>
    <row r="95" spans="1:2" x14ac:dyDescent="0.2">
      <c r="A95" t="str" cm="1">
        <f t="array" ref="A95">IF(MAX(_xlfn.BYCOL('Prematch Backend 5A'!95:95, _xlfn.LAMBDA(_xlpm.ARRAY,IF(_xlpm.ARRAY="teleOp", COLUMN(_xlpm.ARRAY), 0))))=0,"",MAX(_xlfn.BYCOL('Prematch Backend 5A'!95:95, _xlfn.LAMBDA(_xlpm.ARRAY,IF(_xlpm.ARRAY="teleOp", COLUMN(_xlpm.ARRAY), 0)))))</f>
        <v/>
      </c>
      <c r="B95" t="str" cm="1">
        <f t="array" ref="B95">IF(A95="","",_xlfn.CHOOSECOLS('Prematch Backend 2A'!95:95,_xlfn.MAKEARRAY(1,A95-2,_xlfn.LAMBDA(_xlpm.r,_xlpm.c,_xlpm.c))))</f>
        <v/>
      </c>
    </row>
    <row r="96" spans="1:2" x14ac:dyDescent="0.2">
      <c r="A96" t="str" cm="1">
        <f t="array" ref="A96">IF(MAX(_xlfn.BYCOL('Prematch Backend 5A'!96:96, _xlfn.LAMBDA(_xlpm.ARRAY,IF(_xlpm.ARRAY="teleOp", COLUMN(_xlpm.ARRAY), 0))))=0,"",MAX(_xlfn.BYCOL('Prematch Backend 5A'!96:96, _xlfn.LAMBDA(_xlpm.ARRAY,IF(_xlpm.ARRAY="teleOp", COLUMN(_xlpm.ARRAY), 0)))))</f>
        <v/>
      </c>
      <c r="B96" t="str" cm="1">
        <f t="array" ref="B96">IF(A96="","",_xlfn.CHOOSECOLS('Prematch Backend 2A'!96:96,_xlfn.MAKEARRAY(1,A96-2,_xlfn.LAMBDA(_xlpm.r,_xlpm.c,_xlpm.c))))</f>
        <v/>
      </c>
    </row>
    <row r="97" spans="1:2" x14ac:dyDescent="0.2">
      <c r="A97" t="str" cm="1">
        <f t="array" ref="A97">IF(MAX(_xlfn.BYCOL('Prematch Backend 5A'!97:97, _xlfn.LAMBDA(_xlpm.ARRAY,IF(_xlpm.ARRAY="teleOp", COLUMN(_xlpm.ARRAY), 0))))=0,"",MAX(_xlfn.BYCOL('Prematch Backend 5A'!97:97, _xlfn.LAMBDA(_xlpm.ARRAY,IF(_xlpm.ARRAY="teleOp", COLUMN(_xlpm.ARRAY), 0)))))</f>
        <v/>
      </c>
      <c r="B97" t="str" cm="1">
        <f t="array" ref="B97">IF(A97="","",_xlfn.CHOOSECOLS('Prematch Backend 2A'!97:97,_xlfn.MAKEARRAY(1,A97-2,_xlfn.LAMBDA(_xlpm.r,_xlpm.c,_xlpm.c))))</f>
        <v/>
      </c>
    </row>
    <row r="98" spans="1:2" x14ac:dyDescent="0.2">
      <c r="A98" t="str" cm="1">
        <f t="array" ref="A98">IF(MAX(_xlfn.BYCOL('Prematch Backend 5A'!98:98, _xlfn.LAMBDA(_xlpm.ARRAY,IF(_xlpm.ARRAY="teleOp", COLUMN(_xlpm.ARRAY), 0))))=0,"",MAX(_xlfn.BYCOL('Prematch Backend 5A'!98:98, _xlfn.LAMBDA(_xlpm.ARRAY,IF(_xlpm.ARRAY="teleOp", COLUMN(_xlpm.ARRAY), 0)))))</f>
        <v/>
      </c>
      <c r="B98" t="str" cm="1">
        <f t="array" ref="B98">IF(A98="","",_xlfn.CHOOSECOLS('Prematch Backend 2A'!98:98,_xlfn.MAKEARRAY(1,A98-2,_xlfn.LAMBDA(_xlpm.r,_xlpm.c,_xlpm.c))))</f>
        <v/>
      </c>
    </row>
    <row r="99" spans="1:2" x14ac:dyDescent="0.2">
      <c r="A99" t="str" cm="1">
        <f t="array" ref="A99">IF(MAX(_xlfn.BYCOL('Prematch Backend 5A'!99:99, _xlfn.LAMBDA(_xlpm.ARRAY,IF(_xlpm.ARRAY="teleOp", COLUMN(_xlpm.ARRAY), 0))))=0,"",MAX(_xlfn.BYCOL('Prematch Backend 5A'!99:99, _xlfn.LAMBDA(_xlpm.ARRAY,IF(_xlpm.ARRAY="teleOp", COLUMN(_xlpm.ARRAY), 0)))))</f>
        <v/>
      </c>
      <c r="B99" t="str" cm="1">
        <f t="array" ref="B99">IF(A99="","",_xlfn.CHOOSECOLS('Prematch Backend 2A'!99:99,_xlfn.MAKEARRAY(1,A99-2,_xlfn.LAMBDA(_xlpm.r,_xlpm.c,_xlpm.c))))</f>
        <v/>
      </c>
    </row>
    <row r="100" spans="1:2" x14ac:dyDescent="0.2">
      <c r="A100" t="str" cm="1">
        <f t="array" ref="A100">IF(MAX(_xlfn.BYCOL('Prematch Backend 5A'!100:100, _xlfn.LAMBDA(_xlpm.ARRAY,IF(_xlpm.ARRAY="teleOp", COLUMN(_xlpm.ARRAY), 0))))=0,"",MAX(_xlfn.BYCOL('Prematch Backend 5A'!100:100, _xlfn.LAMBDA(_xlpm.ARRAY,IF(_xlpm.ARRAY="teleOp", COLUMN(_xlpm.ARRAY), 0)))))</f>
        <v/>
      </c>
      <c r="B100" t="str" cm="1">
        <f t="array" ref="B100">IF(A100="","",_xlfn.CHOOSECOLS('Prematch Backend 2A'!100:100,_xlfn.MAKEARRAY(1,A100-2,_xlfn.LAMBDA(_xlpm.r,_xlpm.c,_xlpm.c))))</f>
        <v/>
      </c>
    </row>
    <row r="101" spans="1:2" x14ac:dyDescent="0.2">
      <c r="A101" t="str" cm="1">
        <f t="array" ref="A101">IF(MAX(_xlfn.BYCOL('Prematch Backend 5A'!101:101, _xlfn.LAMBDA(_xlpm.ARRAY,IF(_xlpm.ARRAY="teleOp", COLUMN(_xlpm.ARRAY), 0))))=0,"",MAX(_xlfn.BYCOL('Prematch Backend 5A'!101:101, _xlfn.LAMBDA(_xlpm.ARRAY,IF(_xlpm.ARRAY="teleOp", COLUMN(_xlpm.ARRAY), 0)))))</f>
        <v/>
      </c>
      <c r="B101" t="str" cm="1">
        <f t="array" ref="B101">IF(A101="","",_xlfn.CHOOSECOLS('Prematch Backend 2A'!101:101,_xlfn.MAKEARRAY(1,A101-2,_xlfn.LAMBDA(_xlpm.r,_xlpm.c,_xlpm.c))))</f>
        <v/>
      </c>
    </row>
    <row r="102" spans="1:2" x14ac:dyDescent="0.2">
      <c r="A102" t="str" cm="1">
        <f t="array" ref="A102">IF(MAX(_xlfn.BYCOL('Prematch Backend 5A'!102:102, _xlfn.LAMBDA(_xlpm.ARRAY,IF(_xlpm.ARRAY="teleOp", COLUMN(_xlpm.ARRAY), 0))))=0,"",MAX(_xlfn.BYCOL('Prematch Backend 5A'!102:102, _xlfn.LAMBDA(_xlpm.ARRAY,IF(_xlpm.ARRAY="teleOp", COLUMN(_xlpm.ARRAY), 0)))))</f>
        <v/>
      </c>
      <c r="B102" t="str" cm="1">
        <f t="array" ref="B102">IF(A102="","",_xlfn.CHOOSECOLS('Prematch Backend 2A'!102:102,_xlfn.MAKEARRAY(1,A102-2,_xlfn.LAMBDA(_xlpm.r,_xlpm.c,_xlpm.c))))</f>
        <v/>
      </c>
    </row>
    <row r="103" spans="1:2" x14ac:dyDescent="0.2">
      <c r="A103" t="str" cm="1">
        <f t="array" ref="A103">IF(MAX(_xlfn.BYCOL('Prematch Backend 5A'!103:103, _xlfn.LAMBDA(_xlpm.ARRAY,IF(_xlpm.ARRAY="teleOp", COLUMN(_xlpm.ARRAY), 0))))=0,"",MAX(_xlfn.BYCOL('Prematch Backend 5A'!103:103, _xlfn.LAMBDA(_xlpm.ARRAY,IF(_xlpm.ARRAY="teleOp", COLUMN(_xlpm.ARRAY), 0)))))</f>
        <v/>
      </c>
      <c r="B103" t="str" cm="1">
        <f t="array" ref="B103">IF(A103="","",_xlfn.CHOOSECOLS('Prematch Backend 2A'!103:103,_xlfn.MAKEARRAY(1,A103-2,_xlfn.LAMBDA(_xlpm.r,_xlpm.c,_xlpm.c))))</f>
        <v/>
      </c>
    </row>
    <row r="104" spans="1:2" x14ac:dyDescent="0.2">
      <c r="A104" t="str" cm="1">
        <f t="array" ref="A104">IF(MAX(_xlfn.BYCOL('Prematch Backend 5A'!104:104, _xlfn.LAMBDA(_xlpm.ARRAY,IF(_xlpm.ARRAY="teleOp", COLUMN(_xlpm.ARRAY), 0))))=0,"",MAX(_xlfn.BYCOL('Prematch Backend 5A'!104:104, _xlfn.LAMBDA(_xlpm.ARRAY,IF(_xlpm.ARRAY="teleOp", COLUMN(_xlpm.ARRAY), 0)))))</f>
        <v/>
      </c>
      <c r="B104" t="str" cm="1">
        <f t="array" ref="B104">IF(A104="","",_xlfn.CHOOSECOLS('Prematch Backend 2A'!104:104,_xlfn.MAKEARRAY(1,A104-2,_xlfn.LAMBDA(_xlpm.r,_xlpm.c,_xlpm.c))))</f>
        <v/>
      </c>
    </row>
    <row r="105" spans="1:2" x14ac:dyDescent="0.2">
      <c r="A105" t="str" cm="1">
        <f t="array" ref="A105">IF(MAX(_xlfn.BYCOL('Prematch Backend 5A'!105:105, _xlfn.LAMBDA(_xlpm.ARRAY,IF(_xlpm.ARRAY="teleOp", COLUMN(_xlpm.ARRAY), 0))))=0,"",MAX(_xlfn.BYCOL('Prematch Backend 5A'!105:105, _xlfn.LAMBDA(_xlpm.ARRAY,IF(_xlpm.ARRAY="teleOp", COLUMN(_xlpm.ARRAY), 0)))))</f>
        <v/>
      </c>
      <c r="B105" t="str" cm="1">
        <f t="array" ref="B105">IF(A105="","",_xlfn.CHOOSECOLS('Prematch Backend 2A'!105:105,_xlfn.MAKEARRAY(1,A105-2,_xlfn.LAMBDA(_xlpm.r,_xlpm.c,_xlpm.c))))</f>
        <v/>
      </c>
    </row>
    <row r="106" spans="1:2" x14ac:dyDescent="0.2">
      <c r="A106" t="str" cm="1">
        <f t="array" ref="A106">IF(MAX(_xlfn.BYCOL('Prematch Backend 5A'!106:106, _xlfn.LAMBDA(_xlpm.ARRAY,IF(_xlpm.ARRAY="teleOp", COLUMN(_xlpm.ARRAY), 0))))=0,"",MAX(_xlfn.BYCOL('Prematch Backend 5A'!106:106, _xlfn.LAMBDA(_xlpm.ARRAY,IF(_xlpm.ARRAY="teleOp", COLUMN(_xlpm.ARRAY), 0)))))</f>
        <v/>
      </c>
      <c r="B106" t="str" cm="1">
        <f t="array" ref="B106">IF(A106="","",_xlfn.CHOOSECOLS('Prematch Backend 2A'!106:106,_xlfn.MAKEARRAY(1,A106-2,_xlfn.LAMBDA(_xlpm.r,_xlpm.c,_xlpm.c))))</f>
        <v/>
      </c>
    </row>
    <row r="107" spans="1:2" x14ac:dyDescent="0.2">
      <c r="A107" t="str" cm="1">
        <f t="array" ref="A107">IF(MAX(_xlfn.BYCOL('Prematch Backend 5A'!107:107, _xlfn.LAMBDA(_xlpm.ARRAY,IF(_xlpm.ARRAY="teleOp", COLUMN(_xlpm.ARRAY), 0))))=0,"",MAX(_xlfn.BYCOL('Prematch Backend 5A'!107:107, _xlfn.LAMBDA(_xlpm.ARRAY,IF(_xlpm.ARRAY="teleOp", COLUMN(_xlpm.ARRAY), 0)))))</f>
        <v/>
      </c>
      <c r="B107" t="str" cm="1">
        <f t="array" ref="B107">IF(A107="","",_xlfn.CHOOSECOLS('Prematch Backend 2A'!107:107,_xlfn.MAKEARRAY(1,A107-2,_xlfn.LAMBDA(_xlpm.r,_xlpm.c,_xlpm.c))))</f>
        <v/>
      </c>
    </row>
    <row r="108" spans="1:2" x14ac:dyDescent="0.2">
      <c r="A108" t="str" cm="1">
        <f t="array" ref="A108">IF(MAX(_xlfn.BYCOL('Prematch Backend 5A'!108:108, _xlfn.LAMBDA(_xlpm.ARRAY,IF(_xlpm.ARRAY="teleOp", COLUMN(_xlpm.ARRAY), 0))))=0,"",MAX(_xlfn.BYCOL('Prematch Backend 5A'!108:108, _xlfn.LAMBDA(_xlpm.ARRAY,IF(_xlpm.ARRAY="teleOp", COLUMN(_xlpm.ARRAY), 0)))))</f>
        <v/>
      </c>
      <c r="B108" t="str" cm="1">
        <f t="array" ref="B108">IF(A108="","",_xlfn.CHOOSECOLS('Prematch Backend 2A'!108:108,_xlfn.MAKEARRAY(1,A108-2,_xlfn.LAMBDA(_xlpm.r,_xlpm.c,_xlpm.c))))</f>
        <v/>
      </c>
    </row>
    <row r="109" spans="1:2" x14ac:dyDescent="0.2">
      <c r="A109" t="str" cm="1">
        <f t="array" ref="A109">IF(MAX(_xlfn.BYCOL('Prematch Backend 5A'!109:109, _xlfn.LAMBDA(_xlpm.ARRAY,IF(_xlpm.ARRAY="teleOp", COLUMN(_xlpm.ARRAY), 0))))=0,"",MAX(_xlfn.BYCOL('Prematch Backend 5A'!109:109, _xlfn.LAMBDA(_xlpm.ARRAY,IF(_xlpm.ARRAY="teleOp", COLUMN(_xlpm.ARRAY), 0)))))</f>
        <v/>
      </c>
      <c r="B109" t="str" cm="1">
        <f t="array" ref="B109">IF(A109="","",_xlfn.CHOOSECOLS('Prematch Backend 2A'!109:109,_xlfn.MAKEARRAY(1,A109-2,_xlfn.LAMBDA(_xlpm.r,_xlpm.c,_xlpm.c))))</f>
        <v/>
      </c>
    </row>
    <row r="110" spans="1:2" x14ac:dyDescent="0.2">
      <c r="A110" t="str" cm="1">
        <f t="array" ref="A110">IF(MAX(_xlfn.BYCOL('Prematch Backend 5A'!110:110, _xlfn.LAMBDA(_xlpm.ARRAY,IF(_xlpm.ARRAY="teleOp", COLUMN(_xlpm.ARRAY), 0))))=0,"",MAX(_xlfn.BYCOL('Prematch Backend 5A'!110:110, _xlfn.LAMBDA(_xlpm.ARRAY,IF(_xlpm.ARRAY="teleOp", COLUMN(_xlpm.ARRAY), 0)))))</f>
        <v/>
      </c>
      <c r="B110" t="str" cm="1">
        <f t="array" ref="B110">IF(A110="","",_xlfn.CHOOSECOLS('Prematch Backend 2A'!110:110,_xlfn.MAKEARRAY(1,A110-2,_xlfn.LAMBDA(_xlpm.r,_xlpm.c,_xlpm.c))))</f>
        <v/>
      </c>
    </row>
    <row r="111" spans="1:2" x14ac:dyDescent="0.2">
      <c r="A111" t="str" cm="1">
        <f t="array" ref="A111">IF(MAX(_xlfn.BYCOL('Prematch Backend 5A'!111:111, _xlfn.LAMBDA(_xlpm.ARRAY,IF(_xlpm.ARRAY="teleOp", COLUMN(_xlpm.ARRAY), 0))))=0,"",MAX(_xlfn.BYCOL('Prematch Backend 5A'!111:111, _xlfn.LAMBDA(_xlpm.ARRAY,IF(_xlpm.ARRAY="teleOp", COLUMN(_xlpm.ARRAY), 0)))))</f>
        <v/>
      </c>
      <c r="B111" t="str" cm="1">
        <f t="array" ref="B111">IF(A111="","",_xlfn.CHOOSECOLS('Prematch Backend 2A'!111:111,_xlfn.MAKEARRAY(1,A111-2,_xlfn.LAMBDA(_xlpm.r,_xlpm.c,_xlpm.c))))</f>
        <v/>
      </c>
    </row>
    <row r="112" spans="1:2" x14ac:dyDescent="0.2">
      <c r="A112" t="str" cm="1">
        <f t="array" ref="A112">IF(MAX(_xlfn.BYCOL('Prematch Backend 5A'!112:112, _xlfn.LAMBDA(_xlpm.ARRAY,IF(_xlpm.ARRAY="teleOp", COLUMN(_xlpm.ARRAY), 0))))=0,"",MAX(_xlfn.BYCOL('Prematch Backend 5A'!112:112, _xlfn.LAMBDA(_xlpm.ARRAY,IF(_xlpm.ARRAY="teleOp", COLUMN(_xlpm.ARRAY), 0)))))</f>
        <v/>
      </c>
      <c r="B112" t="str" cm="1">
        <f t="array" ref="B112">IF(A112="","",_xlfn.CHOOSECOLS('Prematch Backend 2A'!112:112,_xlfn.MAKEARRAY(1,A112-2,_xlfn.LAMBDA(_xlpm.r,_xlpm.c,_xlpm.c))))</f>
        <v/>
      </c>
    </row>
    <row r="113" spans="1:2" x14ac:dyDescent="0.2">
      <c r="A113" t="str" cm="1">
        <f t="array" ref="A113">IF(MAX(_xlfn.BYCOL('Prematch Backend 5A'!113:113, _xlfn.LAMBDA(_xlpm.ARRAY,IF(_xlpm.ARRAY="teleOp", COLUMN(_xlpm.ARRAY), 0))))=0,"",MAX(_xlfn.BYCOL('Prematch Backend 5A'!113:113, _xlfn.LAMBDA(_xlpm.ARRAY,IF(_xlpm.ARRAY="teleOp", COLUMN(_xlpm.ARRAY), 0)))))</f>
        <v/>
      </c>
      <c r="B113" t="str" cm="1">
        <f t="array" ref="B113">IF(A113="","",_xlfn.CHOOSECOLS('Prematch Backend 2A'!113:113,_xlfn.MAKEARRAY(1,A113-2,_xlfn.LAMBDA(_xlpm.r,_xlpm.c,_xlpm.c))))</f>
        <v/>
      </c>
    </row>
    <row r="114" spans="1:2" x14ac:dyDescent="0.2">
      <c r="A114" t="str" cm="1">
        <f t="array" ref="A114">IF(MAX(_xlfn.BYCOL('Prematch Backend 5A'!114:114, _xlfn.LAMBDA(_xlpm.ARRAY,IF(_xlpm.ARRAY="teleOp", COLUMN(_xlpm.ARRAY), 0))))=0,"",MAX(_xlfn.BYCOL('Prematch Backend 5A'!114:114, _xlfn.LAMBDA(_xlpm.ARRAY,IF(_xlpm.ARRAY="teleOp", COLUMN(_xlpm.ARRAY), 0)))))</f>
        <v/>
      </c>
      <c r="B114" t="str" cm="1">
        <f t="array" ref="B114">IF(A114="","",_xlfn.CHOOSECOLS('Prematch Backend 2A'!114:114,_xlfn.MAKEARRAY(1,A114-2,_xlfn.LAMBDA(_xlpm.r,_xlpm.c,_xlpm.c))))</f>
        <v/>
      </c>
    </row>
    <row r="115" spans="1:2" x14ac:dyDescent="0.2">
      <c r="A115" t="str" cm="1">
        <f t="array" ref="A115">IF(MAX(_xlfn.BYCOL('Prematch Backend 5A'!115:115, _xlfn.LAMBDA(_xlpm.ARRAY,IF(_xlpm.ARRAY="teleOp", COLUMN(_xlpm.ARRAY), 0))))=0,"",MAX(_xlfn.BYCOL('Prematch Backend 5A'!115:115, _xlfn.LAMBDA(_xlpm.ARRAY,IF(_xlpm.ARRAY="teleOp", COLUMN(_xlpm.ARRAY), 0)))))</f>
        <v/>
      </c>
      <c r="B115" t="str" cm="1">
        <f t="array" ref="B115">IF(A115="","",_xlfn.CHOOSECOLS('Prematch Backend 2A'!115:115,_xlfn.MAKEARRAY(1,A115-2,_xlfn.LAMBDA(_xlpm.r,_xlpm.c,_xlpm.c))))</f>
        <v/>
      </c>
    </row>
    <row r="116" spans="1:2" x14ac:dyDescent="0.2">
      <c r="A116" t="str" cm="1">
        <f t="array" ref="A116">IF(MAX(_xlfn.BYCOL('Prematch Backend 5A'!116:116, _xlfn.LAMBDA(_xlpm.ARRAY,IF(_xlpm.ARRAY="teleOp", COLUMN(_xlpm.ARRAY), 0))))=0,"",MAX(_xlfn.BYCOL('Prematch Backend 5A'!116:116, _xlfn.LAMBDA(_xlpm.ARRAY,IF(_xlpm.ARRAY="teleOp", COLUMN(_xlpm.ARRAY), 0)))))</f>
        <v/>
      </c>
      <c r="B116" t="str" cm="1">
        <f t="array" ref="B116">IF(A116="","",_xlfn.CHOOSECOLS('Prematch Backend 2A'!116:116,_xlfn.MAKEARRAY(1,A116-2,_xlfn.LAMBDA(_xlpm.r,_xlpm.c,_xlpm.c))))</f>
        <v/>
      </c>
    </row>
    <row r="117" spans="1:2" x14ac:dyDescent="0.2">
      <c r="A117" t="str" cm="1">
        <f t="array" ref="A117">IF(MAX(_xlfn.BYCOL('Prematch Backend 5A'!117:117, _xlfn.LAMBDA(_xlpm.ARRAY,IF(_xlpm.ARRAY="teleOp", COLUMN(_xlpm.ARRAY), 0))))=0,"",MAX(_xlfn.BYCOL('Prematch Backend 5A'!117:117, _xlfn.LAMBDA(_xlpm.ARRAY,IF(_xlpm.ARRAY="teleOp", COLUMN(_xlpm.ARRAY), 0)))))</f>
        <v/>
      </c>
      <c r="B117" t="str" cm="1">
        <f t="array" ref="B117">IF(A117="","",_xlfn.CHOOSECOLS('Prematch Backend 2A'!117:117,_xlfn.MAKEARRAY(1,A117-2,_xlfn.LAMBDA(_xlpm.r,_xlpm.c,_xlpm.c))))</f>
        <v/>
      </c>
    </row>
    <row r="118" spans="1:2" x14ac:dyDescent="0.2">
      <c r="A118" t="str" cm="1">
        <f t="array" ref="A118">IF(MAX(_xlfn.BYCOL('Prematch Backend 5A'!118:118, _xlfn.LAMBDA(_xlpm.ARRAY,IF(_xlpm.ARRAY="teleOp", COLUMN(_xlpm.ARRAY), 0))))=0,"",MAX(_xlfn.BYCOL('Prematch Backend 5A'!118:118, _xlfn.LAMBDA(_xlpm.ARRAY,IF(_xlpm.ARRAY="teleOp", COLUMN(_xlpm.ARRAY), 0)))))</f>
        <v/>
      </c>
      <c r="B118" t="str" cm="1">
        <f t="array" ref="B118">IF(A118="","",_xlfn.CHOOSECOLS('Prematch Backend 2A'!118:118,_xlfn.MAKEARRAY(1,A118-2,_xlfn.LAMBDA(_xlpm.r,_xlpm.c,_xlpm.c))))</f>
        <v/>
      </c>
    </row>
    <row r="119" spans="1:2" x14ac:dyDescent="0.2">
      <c r="A119" t="str" cm="1">
        <f t="array" ref="A119">IF(MAX(_xlfn.BYCOL('Prematch Backend 5A'!119:119, _xlfn.LAMBDA(_xlpm.ARRAY,IF(_xlpm.ARRAY="teleOp", COLUMN(_xlpm.ARRAY), 0))))=0,"",MAX(_xlfn.BYCOL('Prematch Backend 5A'!119:119, _xlfn.LAMBDA(_xlpm.ARRAY,IF(_xlpm.ARRAY="teleOp", COLUMN(_xlpm.ARRAY), 0)))))</f>
        <v/>
      </c>
      <c r="B119" t="str" cm="1">
        <f t="array" ref="B119">IF(A119="","",_xlfn.CHOOSECOLS('Prematch Backend 2A'!119:119,_xlfn.MAKEARRAY(1,A119-2,_xlfn.LAMBDA(_xlpm.r,_xlpm.c,_xlpm.c))))</f>
        <v/>
      </c>
    </row>
    <row r="120" spans="1:2" x14ac:dyDescent="0.2">
      <c r="A120" t="str" cm="1">
        <f t="array" ref="A120">IF(MAX(_xlfn.BYCOL('Prematch Backend 5A'!120:120, _xlfn.LAMBDA(_xlpm.ARRAY,IF(_xlpm.ARRAY="teleOp", COLUMN(_xlpm.ARRAY), 0))))=0,"",MAX(_xlfn.BYCOL('Prematch Backend 5A'!120:120, _xlfn.LAMBDA(_xlpm.ARRAY,IF(_xlpm.ARRAY="teleOp", COLUMN(_xlpm.ARRAY), 0)))))</f>
        <v/>
      </c>
      <c r="B120" t="str" cm="1">
        <f t="array" ref="B120">IF(A120="","",_xlfn.CHOOSECOLS('Prematch Backend 2A'!120:120,_xlfn.MAKEARRAY(1,A120-2,_xlfn.LAMBDA(_xlpm.r,_xlpm.c,_xlpm.c))))</f>
        <v/>
      </c>
    </row>
    <row r="121" spans="1:2" x14ac:dyDescent="0.2">
      <c r="A121" t="str" cm="1">
        <f t="array" ref="A121">IF(MAX(_xlfn.BYCOL('Prematch Backend 5A'!121:121, _xlfn.LAMBDA(_xlpm.ARRAY,IF(_xlpm.ARRAY="teleOp", COLUMN(_xlpm.ARRAY), 0))))=0,"",MAX(_xlfn.BYCOL('Prematch Backend 5A'!121:121, _xlfn.LAMBDA(_xlpm.ARRAY,IF(_xlpm.ARRAY="teleOp", COLUMN(_xlpm.ARRAY), 0)))))</f>
        <v/>
      </c>
      <c r="B121" t="str" cm="1">
        <f t="array" ref="B121">IF(A121="","",_xlfn.CHOOSECOLS('Prematch Backend 2A'!121:121,_xlfn.MAKEARRAY(1,A121-2,_xlfn.LAMBDA(_xlpm.r,_xlpm.c,_xlpm.c))))</f>
        <v/>
      </c>
    </row>
    <row r="122" spans="1:2" x14ac:dyDescent="0.2">
      <c r="A122" t="str" cm="1">
        <f t="array" ref="A122">IF(MAX(_xlfn.BYCOL('Prematch Backend 5A'!122:122, _xlfn.LAMBDA(_xlpm.ARRAY,IF(_xlpm.ARRAY="teleOp", COLUMN(_xlpm.ARRAY), 0))))=0,"",MAX(_xlfn.BYCOL('Prematch Backend 5A'!122:122, _xlfn.LAMBDA(_xlpm.ARRAY,IF(_xlpm.ARRAY="teleOp", COLUMN(_xlpm.ARRAY), 0)))))</f>
        <v/>
      </c>
      <c r="B122" t="str" cm="1">
        <f t="array" ref="B122">IF(A122="","",_xlfn.CHOOSECOLS('Prematch Backend 2A'!122:122,_xlfn.MAKEARRAY(1,A122-2,_xlfn.LAMBDA(_xlpm.r,_xlpm.c,_xlpm.c))))</f>
        <v/>
      </c>
    </row>
    <row r="123" spans="1:2" x14ac:dyDescent="0.2">
      <c r="A123" t="str" cm="1">
        <f t="array" ref="A123">IF(MAX(_xlfn.BYCOL('Prematch Backend 5A'!123:123, _xlfn.LAMBDA(_xlpm.ARRAY,IF(_xlpm.ARRAY="teleOp", COLUMN(_xlpm.ARRAY), 0))))=0,"",MAX(_xlfn.BYCOL('Prematch Backend 5A'!123:123, _xlfn.LAMBDA(_xlpm.ARRAY,IF(_xlpm.ARRAY="teleOp", COLUMN(_xlpm.ARRAY), 0)))))</f>
        <v/>
      </c>
      <c r="B123" t="str" cm="1">
        <f t="array" ref="B123">IF(A123="","",_xlfn.CHOOSECOLS('Prematch Backend 2A'!123:123,_xlfn.MAKEARRAY(1,A123-2,_xlfn.LAMBDA(_xlpm.r,_xlpm.c,_xlpm.c))))</f>
        <v/>
      </c>
    </row>
    <row r="124" spans="1:2" x14ac:dyDescent="0.2">
      <c r="A124" t="str" cm="1">
        <f t="array" ref="A124">IF(MAX(_xlfn.BYCOL('Prematch Backend 5A'!124:124, _xlfn.LAMBDA(_xlpm.ARRAY,IF(_xlpm.ARRAY="teleOp", COLUMN(_xlpm.ARRAY), 0))))=0,"",MAX(_xlfn.BYCOL('Prematch Backend 5A'!124:124, _xlfn.LAMBDA(_xlpm.ARRAY,IF(_xlpm.ARRAY="teleOp", COLUMN(_xlpm.ARRAY), 0)))))</f>
        <v/>
      </c>
      <c r="B124" t="str" cm="1">
        <f t="array" ref="B124">IF(A124="","",_xlfn.CHOOSECOLS('Prematch Backend 2A'!124:124,_xlfn.MAKEARRAY(1,A124-2,_xlfn.LAMBDA(_xlpm.r,_xlpm.c,_xlpm.c))))</f>
        <v/>
      </c>
    </row>
    <row r="125" spans="1:2" x14ac:dyDescent="0.2">
      <c r="A125" t="str" cm="1">
        <f t="array" ref="A125">IF(MAX(_xlfn.BYCOL('Prematch Backend 5A'!125:125, _xlfn.LAMBDA(_xlpm.ARRAY,IF(_xlpm.ARRAY="teleOp", COLUMN(_xlpm.ARRAY), 0))))=0,"",MAX(_xlfn.BYCOL('Prematch Backend 5A'!125:125, _xlfn.LAMBDA(_xlpm.ARRAY,IF(_xlpm.ARRAY="teleOp", COLUMN(_xlpm.ARRAY), 0)))))</f>
        <v/>
      </c>
      <c r="B125" t="str" cm="1">
        <f t="array" ref="B125">IF(A125="","",_xlfn.CHOOSECOLS('Prematch Backend 2A'!125:125,_xlfn.MAKEARRAY(1,A125-2,_xlfn.LAMBDA(_xlpm.r,_xlpm.c,_xlpm.c))))</f>
        <v/>
      </c>
    </row>
    <row r="126" spans="1:2" x14ac:dyDescent="0.2">
      <c r="A126" t="str" cm="1">
        <f t="array" ref="A126">IF(MAX(_xlfn.BYCOL('Prematch Backend 5A'!126:126, _xlfn.LAMBDA(_xlpm.ARRAY,IF(_xlpm.ARRAY="teleOp", COLUMN(_xlpm.ARRAY), 0))))=0,"",MAX(_xlfn.BYCOL('Prematch Backend 5A'!126:126, _xlfn.LAMBDA(_xlpm.ARRAY,IF(_xlpm.ARRAY="teleOp", COLUMN(_xlpm.ARRAY), 0)))))</f>
        <v/>
      </c>
      <c r="B126" t="str" cm="1">
        <f t="array" ref="B126">IF(A126="","",_xlfn.CHOOSECOLS('Prematch Backend 2A'!126:126,_xlfn.MAKEARRAY(1,A126-2,_xlfn.LAMBDA(_xlpm.r,_xlpm.c,_xlpm.c))))</f>
        <v/>
      </c>
    </row>
    <row r="127" spans="1:2" x14ac:dyDescent="0.2">
      <c r="A127" t="str" cm="1">
        <f t="array" ref="A127">IF(MAX(_xlfn.BYCOL('Prematch Backend 5A'!127:127, _xlfn.LAMBDA(_xlpm.ARRAY,IF(_xlpm.ARRAY="teleOp", COLUMN(_xlpm.ARRAY), 0))))=0,"",MAX(_xlfn.BYCOL('Prematch Backend 5A'!127:127, _xlfn.LAMBDA(_xlpm.ARRAY,IF(_xlpm.ARRAY="teleOp", COLUMN(_xlpm.ARRAY), 0)))))</f>
        <v/>
      </c>
      <c r="B127" t="str" cm="1">
        <f t="array" ref="B127">IF(A127="","",_xlfn.CHOOSECOLS('Prematch Backend 2A'!127:127,_xlfn.MAKEARRAY(1,A127-2,_xlfn.LAMBDA(_xlpm.r,_xlpm.c,_xlpm.c))))</f>
        <v/>
      </c>
    </row>
    <row r="128" spans="1:2" x14ac:dyDescent="0.2">
      <c r="A128" t="str" cm="1">
        <f t="array" ref="A128">IF(MAX(_xlfn.BYCOL('Prematch Backend 5A'!128:128, _xlfn.LAMBDA(_xlpm.ARRAY,IF(_xlpm.ARRAY="teleOp", COLUMN(_xlpm.ARRAY), 0))))=0,"",MAX(_xlfn.BYCOL('Prematch Backend 5A'!128:128, _xlfn.LAMBDA(_xlpm.ARRAY,IF(_xlpm.ARRAY="teleOp", COLUMN(_xlpm.ARRAY), 0)))))</f>
        <v/>
      </c>
      <c r="B128" t="str" cm="1">
        <f t="array" ref="B128">IF(A128="","",_xlfn.CHOOSECOLS('Prematch Backend 2A'!128:128,_xlfn.MAKEARRAY(1,A128-2,_xlfn.LAMBDA(_xlpm.r,_xlpm.c,_xlpm.c))))</f>
        <v/>
      </c>
    </row>
    <row r="129" spans="1:2" x14ac:dyDescent="0.2">
      <c r="A129" t="str" cm="1">
        <f t="array" ref="A129">IF(MAX(_xlfn.BYCOL('Prematch Backend 5A'!129:129, _xlfn.LAMBDA(_xlpm.ARRAY,IF(_xlpm.ARRAY="teleOp", COLUMN(_xlpm.ARRAY), 0))))=0,"",MAX(_xlfn.BYCOL('Prematch Backend 5A'!129:129, _xlfn.LAMBDA(_xlpm.ARRAY,IF(_xlpm.ARRAY="teleOp", COLUMN(_xlpm.ARRAY), 0)))))</f>
        <v/>
      </c>
      <c r="B129" t="str" cm="1">
        <f t="array" ref="B129">IF(A129="","",_xlfn.CHOOSECOLS('Prematch Backend 2A'!129:129,_xlfn.MAKEARRAY(1,A129-2,_xlfn.LAMBDA(_xlpm.r,_xlpm.c,_xlpm.c))))</f>
        <v/>
      </c>
    </row>
    <row r="130" spans="1:2" x14ac:dyDescent="0.2">
      <c r="A130" t="str" cm="1">
        <f t="array" ref="A130">IF(MAX(_xlfn.BYCOL('Prematch Backend 5A'!130:130, _xlfn.LAMBDA(_xlpm.ARRAY,IF(_xlpm.ARRAY="teleOp", COLUMN(_xlpm.ARRAY), 0))))=0,"",MAX(_xlfn.BYCOL('Prematch Backend 5A'!130:130, _xlfn.LAMBDA(_xlpm.ARRAY,IF(_xlpm.ARRAY="teleOp", COLUMN(_xlpm.ARRAY), 0)))))</f>
        <v/>
      </c>
      <c r="B130" t="str" cm="1">
        <f t="array" ref="B130">IF(A130="","",_xlfn.CHOOSECOLS('Prematch Backend 2A'!130:130,_xlfn.MAKEARRAY(1,A130-2,_xlfn.LAMBDA(_xlpm.r,_xlpm.c,_xlpm.c))))</f>
        <v/>
      </c>
    </row>
    <row r="131" spans="1:2" x14ac:dyDescent="0.2">
      <c r="A131" t="str" cm="1">
        <f t="array" ref="A131">IF(MAX(_xlfn.BYCOL('Prematch Backend 5A'!131:131, _xlfn.LAMBDA(_xlpm.ARRAY,IF(_xlpm.ARRAY="teleOp", COLUMN(_xlpm.ARRAY), 0))))=0,"",MAX(_xlfn.BYCOL('Prematch Backend 5A'!131:131, _xlfn.LAMBDA(_xlpm.ARRAY,IF(_xlpm.ARRAY="teleOp", COLUMN(_xlpm.ARRAY), 0)))))</f>
        <v/>
      </c>
      <c r="B131" t="str" cm="1">
        <f t="array" ref="B131">IF(A131="","",_xlfn.CHOOSECOLS('Prematch Backend 2A'!131:131,_xlfn.MAKEARRAY(1,A131-2,_xlfn.LAMBDA(_xlpm.r,_xlpm.c,_xlpm.c))))</f>
        <v/>
      </c>
    </row>
    <row r="132" spans="1:2" x14ac:dyDescent="0.2">
      <c r="A132" t="str" cm="1">
        <f t="array" ref="A132">IF(MAX(_xlfn.BYCOL('Prematch Backend 5A'!132:132, _xlfn.LAMBDA(_xlpm.ARRAY,IF(_xlpm.ARRAY="teleOp", COLUMN(_xlpm.ARRAY), 0))))=0,"",MAX(_xlfn.BYCOL('Prematch Backend 5A'!132:132, _xlfn.LAMBDA(_xlpm.ARRAY,IF(_xlpm.ARRAY="teleOp", COLUMN(_xlpm.ARRAY), 0)))))</f>
        <v/>
      </c>
      <c r="B132" t="str" cm="1">
        <f t="array" ref="B132">IF(A132="","",_xlfn.CHOOSECOLS('Prematch Backend 2A'!132:132,_xlfn.MAKEARRAY(1,A132-2,_xlfn.LAMBDA(_xlpm.r,_xlpm.c,_xlpm.c))))</f>
        <v/>
      </c>
    </row>
    <row r="133" spans="1:2" x14ac:dyDescent="0.2">
      <c r="A133" t="str" cm="1">
        <f t="array" ref="A133">IF(MAX(_xlfn.BYCOL('Prematch Backend 5A'!133:133, _xlfn.LAMBDA(_xlpm.ARRAY,IF(_xlpm.ARRAY="teleOp", COLUMN(_xlpm.ARRAY), 0))))=0,"",MAX(_xlfn.BYCOL('Prematch Backend 5A'!133:133, _xlfn.LAMBDA(_xlpm.ARRAY,IF(_xlpm.ARRAY="teleOp", COLUMN(_xlpm.ARRAY), 0)))))</f>
        <v/>
      </c>
      <c r="B133" t="str" cm="1">
        <f t="array" ref="B133">IF(A133="","",_xlfn.CHOOSECOLS('Prematch Backend 2A'!133:133,_xlfn.MAKEARRAY(1,A133-2,_xlfn.LAMBDA(_xlpm.r,_xlpm.c,_xlpm.c))))</f>
        <v/>
      </c>
    </row>
    <row r="134" spans="1:2" x14ac:dyDescent="0.2">
      <c r="A134" t="str" cm="1">
        <f t="array" ref="A134">IF(MAX(_xlfn.BYCOL('Prematch Backend 5A'!134:134, _xlfn.LAMBDA(_xlpm.ARRAY,IF(_xlpm.ARRAY="teleOp", COLUMN(_xlpm.ARRAY), 0))))=0,"",MAX(_xlfn.BYCOL('Prematch Backend 5A'!134:134, _xlfn.LAMBDA(_xlpm.ARRAY,IF(_xlpm.ARRAY="teleOp", COLUMN(_xlpm.ARRAY), 0)))))</f>
        <v/>
      </c>
      <c r="B134" t="str" cm="1">
        <f t="array" ref="B134">IF(A134="","",_xlfn.CHOOSECOLS('Prematch Backend 2A'!134:134,_xlfn.MAKEARRAY(1,A134-2,_xlfn.LAMBDA(_xlpm.r,_xlpm.c,_xlpm.c))))</f>
        <v/>
      </c>
    </row>
    <row r="135" spans="1:2" x14ac:dyDescent="0.2">
      <c r="A135" t="str" cm="1">
        <f t="array" ref="A135">IF(MAX(_xlfn.BYCOL('Prematch Backend 5A'!135:135, _xlfn.LAMBDA(_xlpm.ARRAY,IF(_xlpm.ARRAY="teleOp", COLUMN(_xlpm.ARRAY), 0))))=0,"",MAX(_xlfn.BYCOL('Prematch Backend 5A'!135:135, _xlfn.LAMBDA(_xlpm.ARRAY,IF(_xlpm.ARRAY="teleOp", COLUMN(_xlpm.ARRAY), 0)))))</f>
        <v/>
      </c>
      <c r="B135" t="str" cm="1">
        <f t="array" ref="B135">IF(A135="","",_xlfn.CHOOSECOLS('Prematch Backend 2A'!135:135,_xlfn.MAKEARRAY(1,A135-2,_xlfn.LAMBDA(_xlpm.r,_xlpm.c,_xlpm.c))))</f>
        <v/>
      </c>
    </row>
    <row r="136" spans="1:2" x14ac:dyDescent="0.2">
      <c r="A136" t="str" cm="1">
        <f t="array" ref="A136">IF(MAX(_xlfn.BYCOL('Prematch Backend 5A'!136:136, _xlfn.LAMBDA(_xlpm.ARRAY,IF(_xlpm.ARRAY="teleOp", COLUMN(_xlpm.ARRAY), 0))))=0,"",MAX(_xlfn.BYCOL('Prematch Backend 5A'!136:136, _xlfn.LAMBDA(_xlpm.ARRAY,IF(_xlpm.ARRAY="teleOp", COLUMN(_xlpm.ARRAY), 0)))))</f>
        <v/>
      </c>
      <c r="B136" t="str" cm="1">
        <f t="array" ref="B136">IF(A136="","",_xlfn.CHOOSECOLS('Prematch Backend 2A'!136:136,_xlfn.MAKEARRAY(1,A136-2,_xlfn.LAMBDA(_xlpm.r,_xlpm.c,_xlpm.c))))</f>
        <v/>
      </c>
    </row>
    <row r="137" spans="1:2" x14ac:dyDescent="0.2">
      <c r="A137" t="str" cm="1">
        <f t="array" ref="A137">IF(MAX(_xlfn.BYCOL('Prematch Backend 5A'!137:137, _xlfn.LAMBDA(_xlpm.ARRAY,IF(_xlpm.ARRAY="teleOp", COLUMN(_xlpm.ARRAY), 0))))=0,"",MAX(_xlfn.BYCOL('Prematch Backend 5A'!137:137, _xlfn.LAMBDA(_xlpm.ARRAY,IF(_xlpm.ARRAY="teleOp", COLUMN(_xlpm.ARRAY), 0)))))</f>
        <v/>
      </c>
      <c r="B137" t="str" cm="1">
        <f t="array" ref="B137">IF(A137="","",_xlfn.CHOOSECOLS('Prematch Backend 2A'!137:137,_xlfn.MAKEARRAY(1,A137-2,_xlfn.LAMBDA(_xlpm.r,_xlpm.c,_xlpm.c))))</f>
        <v/>
      </c>
    </row>
    <row r="138" spans="1:2" x14ac:dyDescent="0.2">
      <c r="A138" t="str" cm="1">
        <f t="array" ref="A138">IF(MAX(_xlfn.BYCOL('Prematch Backend 5A'!138:138, _xlfn.LAMBDA(_xlpm.ARRAY,IF(_xlpm.ARRAY="teleOp", COLUMN(_xlpm.ARRAY), 0))))=0,"",MAX(_xlfn.BYCOL('Prematch Backend 5A'!138:138, _xlfn.LAMBDA(_xlpm.ARRAY,IF(_xlpm.ARRAY="teleOp", COLUMN(_xlpm.ARRAY), 0)))))</f>
        <v/>
      </c>
      <c r="B138" t="str" cm="1">
        <f t="array" ref="B138">IF(A138="","",_xlfn.CHOOSECOLS('Prematch Backend 2A'!138:138,_xlfn.MAKEARRAY(1,A138-2,_xlfn.LAMBDA(_xlpm.r,_xlpm.c,_xlpm.c))))</f>
        <v/>
      </c>
    </row>
    <row r="139" spans="1:2" x14ac:dyDescent="0.2">
      <c r="A139" t="str" cm="1">
        <f t="array" ref="A139">IF(MAX(_xlfn.BYCOL('Prematch Backend 5A'!139:139, _xlfn.LAMBDA(_xlpm.ARRAY,IF(_xlpm.ARRAY="teleOp", COLUMN(_xlpm.ARRAY), 0))))=0,"",MAX(_xlfn.BYCOL('Prematch Backend 5A'!139:139, _xlfn.LAMBDA(_xlpm.ARRAY,IF(_xlpm.ARRAY="teleOp", COLUMN(_xlpm.ARRAY), 0)))))</f>
        <v/>
      </c>
      <c r="B139" t="str" cm="1">
        <f t="array" ref="B139">IF(A139="","",_xlfn.CHOOSECOLS('Prematch Backend 2A'!139:139,_xlfn.MAKEARRAY(1,A139-2,_xlfn.LAMBDA(_xlpm.r,_xlpm.c,_xlpm.c))))</f>
        <v/>
      </c>
    </row>
    <row r="140" spans="1:2" x14ac:dyDescent="0.2">
      <c r="A140" t="str" cm="1">
        <f t="array" ref="A140">IF(MAX(_xlfn.BYCOL('Prematch Backend 5A'!140:140, _xlfn.LAMBDA(_xlpm.ARRAY,IF(_xlpm.ARRAY="teleOp", COLUMN(_xlpm.ARRAY), 0))))=0,"",MAX(_xlfn.BYCOL('Prematch Backend 5A'!140:140, _xlfn.LAMBDA(_xlpm.ARRAY,IF(_xlpm.ARRAY="teleOp", COLUMN(_xlpm.ARRAY), 0)))))</f>
        <v/>
      </c>
      <c r="B140" t="str" cm="1">
        <f t="array" ref="B140">IF(A140="","",_xlfn.CHOOSECOLS('Prematch Backend 2A'!140:140,_xlfn.MAKEARRAY(1,A140-2,_xlfn.LAMBDA(_xlpm.r,_xlpm.c,_xlpm.c))))</f>
        <v/>
      </c>
    </row>
    <row r="141" spans="1:2" x14ac:dyDescent="0.2">
      <c r="B141" t="str" cm="1">
        <f t="array" ref="B141">IF(A141="","",_xlfn.CHOOSECOLS('Prematch Backend 2A'!141:141,_xlfn.MAKEARRAY(1,A141-2,_xlfn.LAMBDA(_xlpm.r,_xlpm.c,_xlpm.c))))</f>
        <v/>
      </c>
    </row>
    <row r="142" spans="1:2" x14ac:dyDescent="0.2">
      <c r="B142" t="str" cm="1">
        <f t="array" ref="B142">IF(A142="","",_xlfn.CHOOSECOLS('Prematch Backend 2A'!142:142,_xlfn.MAKEARRAY(1,A142-2,_xlfn.LAMBDA(_xlpm.r,_xlpm.c,_xlpm.c))))</f>
        <v/>
      </c>
    </row>
    <row r="143" spans="1:2" x14ac:dyDescent="0.2">
      <c r="B143" t="str" cm="1">
        <f t="array" ref="B143">IF(A143="","",_xlfn.CHOOSECOLS('Prematch Backend 2A'!143:143,_xlfn.MAKEARRAY(1,A143-2,_xlfn.LAMBDA(_xlpm.r,_xlpm.c,_xlpm.c))))</f>
        <v/>
      </c>
    </row>
    <row r="144" spans="1:2" x14ac:dyDescent="0.2">
      <c r="B144" t="str" cm="1">
        <f t="array" ref="B144">IF(A144="","",_xlfn.CHOOSECOLS('Prematch Backend 2A'!144:144,_xlfn.MAKEARRAY(1,A144-2,_xlfn.LAMBDA(_xlpm.r,_xlpm.c,_xlpm.c))))</f>
        <v/>
      </c>
    </row>
    <row r="145" spans="2:2" x14ac:dyDescent="0.2">
      <c r="B145" t="str" cm="1">
        <f t="array" ref="B145">IF(A145="","",_xlfn.CHOOSECOLS('Prematch Backend 2A'!145:145,_xlfn.MAKEARRAY(1,A145-2,_xlfn.LAMBDA(_xlpm.r,_xlpm.c,_xlpm.c))))</f>
        <v/>
      </c>
    </row>
    <row r="146" spans="2:2" x14ac:dyDescent="0.2">
      <c r="B146" t="str" cm="1">
        <f t="array" ref="B146">IF(A146="","",_xlfn.CHOOSECOLS('Prematch Backend 2A'!146:146,_xlfn.MAKEARRAY(1,A146-2,_xlfn.LAMBDA(_xlpm.r,_xlpm.c,_xlpm.c))))</f>
        <v/>
      </c>
    </row>
    <row r="147" spans="2:2" x14ac:dyDescent="0.2">
      <c r="B147" t="str" cm="1">
        <f t="array" ref="B147">IF(A147="","",_xlfn.CHOOSECOLS('Prematch Backend 2A'!147:147,_xlfn.MAKEARRAY(1,A147-2,_xlfn.LAMBDA(_xlpm.r,_xlpm.c,_xlpm.c))))</f>
        <v/>
      </c>
    </row>
    <row r="148" spans="2:2" x14ac:dyDescent="0.2">
      <c r="B148" t="str" cm="1">
        <f t="array" ref="B148">IF(A148="","",_xlfn.CHOOSECOLS('Prematch Backend 2A'!148:148,_xlfn.MAKEARRAY(1,A148-2,_xlfn.LAMBDA(_xlpm.r,_xlpm.c,_xlpm.c))))</f>
        <v/>
      </c>
    </row>
    <row r="149" spans="2:2" x14ac:dyDescent="0.2">
      <c r="B149" t="str" cm="1">
        <f t="array" ref="B149">IF(A149="","",_xlfn.CHOOSECOLS('Prematch Backend 2A'!149:149,_xlfn.MAKEARRAY(1,A149-2,_xlfn.LAMBDA(_xlpm.r,_xlpm.c,_xlpm.c))))</f>
        <v/>
      </c>
    </row>
    <row r="150" spans="2:2" x14ac:dyDescent="0.2">
      <c r="B150" t="str" cm="1">
        <f t="array" ref="B150">IF(A150="","",_xlfn.CHOOSECOLS('Prematch Backend 2A'!150:150,_xlfn.MAKEARRAY(1,A150-2,_xlfn.LAMBDA(_xlpm.r,_xlpm.c,_xlpm.c))))</f>
        <v/>
      </c>
    </row>
    <row r="151" spans="2:2" x14ac:dyDescent="0.2">
      <c r="B151" t="str" cm="1">
        <f t="array" ref="B151">IF(A151="","",_xlfn.CHOOSECOLS('Prematch Backend 2A'!151:151,_xlfn.MAKEARRAY(1,A151-2,_xlfn.LAMBDA(_xlpm.r,_xlpm.c,_xlpm.c))))</f>
        <v/>
      </c>
    </row>
    <row r="152" spans="2:2" x14ac:dyDescent="0.2">
      <c r="B152" t="str" cm="1">
        <f t="array" ref="B152">IF(A152="","",_xlfn.CHOOSECOLS('Prematch Backend 2A'!152:152,_xlfn.MAKEARRAY(1,A152-2,_xlfn.LAMBDA(_xlpm.r,_xlpm.c,_xlpm.c))))</f>
        <v/>
      </c>
    </row>
    <row r="153" spans="2:2" x14ac:dyDescent="0.2">
      <c r="B153" t="str" cm="1">
        <f t="array" ref="B153">IF(A153="","",_xlfn.CHOOSECOLS('Prematch Backend 2A'!153:153,_xlfn.MAKEARRAY(1,A153-2,_xlfn.LAMBDA(_xlpm.r,_xlpm.c,_xlpm.c))))</f>
        <v/>
      </c>
    </row>
    <row r="154" spans="2:2" x14ac:dyDescent="0.2">
      <c r="B154" t="str" cm="1">
        <f t="array" ref="B154">IF(A154="","",_xlfn.CHOOSECOLS('Prematch Backend 2A'!154:154,_xlfn.MAKEARRAY(1,A154-2,_xlfn.LAMBDA(_xlpm.r,_xlpm.c,_xlpm.c))))</f>
        <v/>
      </c>
    </row>
    <row r="155" spans="2:2" x14ac:dyDescent="0.2">
      <c r="B155" t="str" cm="1">
        <f t="array" ref="B155">IF(A155="","",_xlfn.CHOOSECOLS('Prematch Backend 2A'!155:155,_xlfn.MAKEARRAY(1,A155-2,_xlfn.LAMBDA(_xlpm.r,_xlpm.c,_xlpm.c))))</f>
        <v/>
      </c>
    </row>
    <row r="156" spans="2:2" x14ac:dyDescent="0.2">
      <c r="B156" t="str" cm="1">
        <f t="array" ref="B156">IF(A156="","",_xlfn.CHOOSECOLS('Prematch Backend 2A'!156:156,_xlfn.MAKEARRAY(1,A156-2,_xlfn.LAMBDA(_xlpm.r,_xlpm.c,_xlpm.c))))</f>
        <v/>
      </c>
    </row>
    <row r="157" spans="2:2" x14ac:dyDescent="0.2">
      <c r="B157" t="str" cm="1">
        <f t="array" ref="B157">IF(A157="","",_xlfn.CHOOSECOLS('Prematch Backend 2A'!157:157,_xlfn.MAKEARRAY(1,A157-2,_xlfn.LAMBDA(_xlpm.r,_xlpm.c,_xlpm.c))))</f>
        <v/>
      </c>
    </row>
    <row r="158" spans="2:2" x14ac:dyDescent="0.2">
      <c r="B158" t="str" cm="1">
        <f t="array" ref="B158">IF(A158="","",_xlfn.CHOOSECOLS('Prematch Backend 2A'!158:158,_xlfn.MAKEARRAY(1,A158-2,_xlfn.LAMBDA(_xlpm.r,_xlpm.c,_xlpm.c))))</f>
        <v/>
      </c>
    </row>
    <row r="159" spans="2:2" x14ac:dyDescent="0.2">
      <c r="B159" t="str" cm="1">
        <f t="array" ref="B159">IF(A159="","",_xlfn.CHOOSECOLS('Prematch Backend 2A'!159:159,_xlfn.MAKEARRAY(1,A159-2,_xlfn.LAMBDA(_xlpm.r,_xlpm.c,_xlpm.c))))</f>
        <v/>
      </c>
    </row>
    <row r="160" spans="2:2" x14ac:dyDescent="0.2">
      <c r="B160" t="str" cm="1">
        <f t="array" ref="B160">IF(A160="","",_xlfn.CHOOSECOLS('Prematch Backend 2A'!160:160,_xlfn.MAKEARRAY(1,A160-2,_xlfn.LAMBDA(_xlpm.r,_xlpm.c,_xlpm.c))))</f>
        <v/>
      </c>
    </row>
    <row r="161" spans="2:2" x14ac:dyDescent="0.2">
      <c r="B161" t="str" cm="1">
        <f t="array" ref="B161">IF(A161="","",_xlfn.CHOOSECOLS('Prematch Backend 2A'!161:161,_xlfn.MAKEARRAY(1,A161-2,_xlfn.LAMBDA(_xlpm.r,_xlpm.c,_xlpm.c))))</f>
        <v/>
      </c>
    </row>
    <row r="162" spans="2:2" x14ac:dyDescent="0.2">
      <c r="B162" t="str" cm="1">
        <f t="array" ref="B162">IF(A162="","",_xlfn.CHOOSECOLS('Prematch Backend 2A'!162:162,_xlfn.MAKEARRAY(1,A162-2,_xlfn.LAMBDA(_xlpm.r,_xlpm.c,_xlpm.c))))</f>
        <v/>
      </c>
    </row>
    <row r="163" spans="2:2" x14ac:dyDescent="0.2">
      <c r="B163" t="str" cm="1">
        <f t="array" ref="B163">IF(A163="","",_xlfn.CHOOSECOLS('Prematch Backend 2A'!163:163,_xlfn.MAKEARRAY(1,A163-2,_xlfn.LAMBDA(_xlpm.r,_xlpm.c,_xlpm.c))))</f>
        <v/>
      </c>
    </row>
    <row r="164" spans="2:2" x14ac:dyDescent="0.2">
      <c r="B164" t="str" cm="1">
        <f t="array" ref="B164">IF(A164="","",_xlfn.CHOOSECOLS('Prematch Backend 2A'!164:164,_xlfn.MAKEARRAY(1,A164-2,_xlfn.LAMBDA(_xlpm.r,_xlpm.c,_xlpm.c))))</f>
        <v/>
      </c>
    </row>
    <row r="165" spans="2:2" x14ac:dyDescent="0.2">
      <c r="B165" t="str" cm="1">
        <f t="array" ref="B165">IF(A165="","",_xlfn.CHOOSECOLS('Prematch Backend 2A'!165:165,_xlfn.MAKEARRAY(1,A165-2,_xlfn.LAMBDA(_xlpm.r,_xlpm.c,_xlpm.c))))</f>
        <v/>
      </c>
    </row>
    <row r="166" spans="2:2" x14ac:dyDescent="0.2">
      <c r="B166" t="str" cm="1">
        <f t="array" ref="B166">IF(A166="","",_xlfn.CHOOSECOLS('Prematch Backend 2A'!166:166,_xlfn.MAKEARRAY(1,A166-2,_xlfn.LAMBDA(_xlpm.r,_xlpm.c,_xlpm.c))))</f>
        <v/>
      </c>
    </row>
    <row r="167" spans="2:2" x14ac:dyDescent="0.2">
      <c r="B167" t="str" cm="1">
        <f t="array" ref="B167">IF(A167="","",_xlfn.CHOOSECOLS('Prematch Backend 2A'!167:167,_xlfn.MAKEARRAY(1,A167-2,_xlfn.LAMBDA(_xlpm.r,_xlpm.c,_xlpm.c))))</f>
        <v/>
      </c>
    </row>
    <row r="168" spans="2:2" x14ac:dyDescent="0.2">
      <c r="B168" t="str" cm="1">
        <f t="array" ref="B168">IF(A168="","",_xlfn.CHOOSECOLS('Prematch Backend 2A'!168:168,_xlfn.MAKEARRAY(1,A168-2,_xlfn.LAMBDA(_xlpm.r,_xlpm.c,_xlpm.c))))</f>
        <v/>
      </c>
    </row>
    <row r="169" spans="2:2" x14ac:dyDescent="0.2">
      <c r="B169" t="str" cm="1">
        <f t="array" ref="B169">IF(A169="","",_xlfn.CHOOSECOLS('Prematch Backend 2A'!169:169,_xlfn.MAKEARRAY(1,A169-2,_xlfn.LAMBDA(_xlpm.r,_xlpm.c,_xlpm.c))))</f>
        <v/>
      </c>
    </row>
    <row r="170" spans="2:2" x14ac:dyDescent="0.2">
      <c r="B170" t="str" cm="1">
        <f t="array" ref="B170">IF(A170="","",_xlfn.CHOOSECOLS('Prematch Backend 2A'!170:170,_xlfn.MAKEARRAY(1,A170-2,_xlfn.LAMBDA(_xlpm.r,_xlpm.c,_xlpm.c))))</f>
        <v/>
      </c>
    </row>
    <row r="171" spans="2:2" x14ac:dyDescent="0.2">
      <c r="B171" t="str" cm="1">
        <f t="array" ref="B171">IF(A171="","",_xlfn.CHOOSECOLS('Prematch Backend 2A'!171:171,_xlfn.MAKEARRAY(1,A171-2,_xlfn.LAMBDA(_xlpm.r,_xlpm.c,_xlpm.c))))</f>
        <v/>
      </c>
    </row>
    <row r="172" spans="2:2" x14ac:dyDescent="0.2">
      <c r="B172" t="str" cm="1">
        <f t="array" ref="B172">IF(A172="","",_xlfn.CHOOSECOLS('Prematch Backend 2A'!172:172,_xlfn.MAKEARRAY(1,A172-2,_xlfn.LAMBDA(_xlpm.r,_xlpm.c,_xlpm.c))))</f>
        <v/>
      </c>
    </row>
    <row r="173" spans="2:2" x14ac:dyDescent="0.2">
      <c r="B173" t="str" cm="1">
        <f t="array" ref="B173">IF(A173="","",_xlfn.CHOOSECOLS('Prematch Backend 2A'!173:173,_xlfn.MAKEARRAY(1,A173-2,_xlfn.LAMBDA(_xlpm.r,_xlpm.c,_xlpm.c))))</f>
        <v/>
      </c>
    </row>
    <row r="174" spans="2:2" x14ac:dyDescent="0.2">
      <c r="B174" t="str" cm="1">
        <f t="array" ref="B174">IF(A174="","",_xlfn.CHOOSECOLS('Prematch Backend 2A'!174:174,_xlfn.MAKEARRAY(1,A174-2,_xlfn.LAMBDA(_xlpm.r,_xlpm.c,_xlpm.c))))</f>
        <v/>
      </c>
    </row>
    <row r="175" spans="2:2" x14ac:dyDescent="0.2">
      <c r="B175" t="str" cm="1">
        <f t="array" ref="B175">IF(A175="","",_xlfn.CHOOSECOLS('Prematch Backend 2A'!175:175,_xlfn.MAKEARRAY(1,A175-2,_xlfn.LAMBDA(_xlpm.r,_xlpm.c,_xlpm.c))))</f>
        <v/>
      </c>
    </row>
    <row r="176" spans="2:2" x14ac:dyDescent="0.2">
      <c r="B176" t="str" cm="1">
        <f t="array" ref="B176">IF(A176="","",_xlfn.CHOOSECOLS('Prematch Backend 2A'!176:176,_xlfn.MAKEARRAY(1,A176-2,_xlfn.LAMBDA(_xlpm.r,_xlpm.c,_xlpm.c))))</f>
        <v/>
      </c>
    </row>
    <row r="177" spans="2:2" x14ac:dyDescent="0.2">
      <c r="B177" t="str" cm="1">
        <f t="array" ref="B177">IF(A177="","",_xlfn.CHOOSECOLS('Prematch Backend 2A'!177:177,_xlfn.MAKEARRAY(1,A177-2,_xlfn.LAMBDA(_xlpm.r,_xlpm.c,_xlpm.c))))</f>
        <v/>
      </c>
    </row>
    <row r="178" spans="2:2" x14ac:dyDescent="0.2">
      <c r="B178" t="str" cm="1">
        <f t="array" ref="B178">IF(A178="","",_xlfn.CHOOSECOLS('Prematch Backend 2A'!178:178,_xlfn.MAKEARRAY(1,A178-2,_xlfn.LAMBDA(_xlpm.r,_xlpm.c,_xlpm.c))))</f>
        <v/>
      </c>
    </row>
    <row r="179" spans="2:2" x14ac:dyDescent="0.2">
      <c r="B179" t="str" cm="1">
        <f t="array" ref="B179">IF(A179="","",_xlfn.CHOOSECOLS('Prematch Backend 2A'!179:179,_xlfn.MAKEARRAY(1,A179-2,_xlfn.LAMBDA(_xlpm.r,_xlpm.c,_xlpm.c))))</f>
        <v/>
      </c>
    </row>
    <row r="180" spans="2:2" x14ac:dyDescent="0.2">
      <c r="B180" t="str" cm="1">
        <f t="array" ref="B180">IF(A180="","",_xlfn.CHOOSECOLS('Prematch Backend 2A'!180:180,_xlfn.MAKEARRAY(1,A180-2,_xlfn.LAMBDA(_xlpm.r,_xlpm.c,_xlpm.c))))</f>
        <v/>
      </c>
    </row>
    <row r="181" spans="2:2" x14ac:dyDescent="0.2">
      <c r="B181" t="str" cm="1">
        <f t="array" ref="B181">IF(A181="","",_xlfn.CHOOSECOLS('Prematch Backend 2A'!181:181,_xlfn.MAKEARRAY(1,A181-2,_xlfn.LAMBDA(_xlpm.r,_xlpm.c,_xlpm.c))))</f>
        <v/>
      </c>
    </row>
    <row r="182" spans="2:2" x14ac:dyDescent="0.2">
      <c r="B182" t="str" cm="1">
        <f t="array" ref="B182">IF(A182="","",_xlfn.CHOOSECOLS('Prematch Backend 2A'!182:182,_xlfn.MAKEARRAY(1,A182-2,_xlfn.LAMBDA(_xlpm.r,_xlpm.c,_xlpm.c))))</f>
        <v/>
      </c>
    </row>
    <row r="183" spans="2:2" x14ac:dyDescent="0.2">
      <c r="B183" t="str" cm="1">
        <f t="array" ref="B183">IF(A183="","",_xlfn.CHOOSECOLS('Prematch Backend 2A'!183:183,_xlfn.MAKEARRAY(1,A183-2,_xlfn.LAMBDA(_xlpm.r,_xlpm.c,_xlpm.c))))</f>
        <v/>
      </c>
    </row>
    <row r="184" spans="2:2" x14ac:dyDescent="0.2">
      <c r="B184" t="str" cm="1">
        <f t="array" ref="B184">IF(A184="","",_xlfn.CHOOSECOLS('Prematch Backend 2A'!184:184,_xlfn.MAKEARRAY(1,A184-2,_xlfn.LAMBDA(_xlpm.r,_xlpm.c,_xlpm.c))))</f>
        <v/>
      </c>
    </row>
    <row r="185" spans="2:2" x14ac:dyDescent="0.2">
      <c r="B185" t="str" cm="1">
        <f t="array" ref="B185">IF(A185="","",_xlfn.CHOOSECOLS('Prematch Backend 2A'!185:185,_xlfn.MAKEARRAY(1,A185-2,_xlfn.LAMBDA(_xlpm.r,_xlpm.c,_xlpm.c))))</f>
        <v/>
      </c>
    </row>
    <row r="186" spans="2:2" x14ac:dyDescent="0.2">
      <c r="B186" t="str" cm="1">
        <f t="array" ref="B186">IF(A186="","",_xlfn.CHOOSECOLS('Prematch Backend 2A'!186:186,_xlfn.MAKEARRAY(1,A186-2,_xlfn.LAMBDA(_xlpm.r,_xlpm.c,_xlpm.c))))</f>
        <v/>
      </c>
    </row>
    <row r="187" spans="2:2" x14ac:dyDescent="0.2">
      <c r="B187" t="str" cm="1">
        <f t="array" ref="B187">IF(A187="","",_xlfn.CHOOSECOLS('Prematch Backend 2A'!187:187,_xlfn.MAKEARRAY(1,A187-2,_xlfn.LAMBDA(_xlpm.r,_xlpm.c,_xlpm.c))))</f>
        <v/>
      </c>
    </row>
    <row r="188" spans="2:2" x14ac:dyDescent="0.2">
      <c r="B188" t="str" cm="1">
        <f t="array" ref="B188">IF(A188="","",_xlfn.CHOOSECOLS('Prematch Backend 2A'!188:188,_xlfn.MAKEARRAY(1,A188-2,_xlfn.LAMBDA(_xlpm.r,_xlpm.c,_xlpm.c))))</f>
        <v/>
      </c>
    </row>
    <row r="189" spans="2:2" x14ac:dyDescent="0.2">
      <c r="B189" t="str" cm="1">
        <f t="array" ref="B189">IF(A189="","",_xlfn.CHOOSECOLS('Prematch Backend 2A'!189:189,_xlfn.MAKEARRAY(1,A189-2,_xlfn.LAMBDA(_xlpm.r,_xlpm.c,_xlpm.c))))</f>
        <v/>
      </c>
    </row>
    <row r="190" spans="2:2" x14ac:dyDescent="0.2">
      <c r="B190" t="str" cm="1">
        <f t="array" ref="B190">IF(A190="","",_xlfn.CHOOSECOLS('Prematch Backend 2A'!190:190,_xlfn.MAKEARRAY(1,A190-2,_xlfn.LAMBDA(_xlpm.r,_xlpm.c,_xlpm.c))))</f>
        <v/>
      </c>
    </row>
    <row r="191" spans="2:2" x14ac:dyDescent="0.2">
      <c r="B191" t="str" cm="1">
        <f t="array" ref="B191">IF(A191="","",_xlfn.CHOOSECOLS('Prematch Backend 2A'!191:191,_xlfn.MAKEARRAY(1,A191-2,_xlfn.LAMBDA(_xlpm.r,_xlpm.c,_xlpm.c))))</f>
        <v/>
      </c>
    </row>
    <row r="192" spans="2:2" x14ac:dyDescent="0.2">
      <c r="B192" t="str" cm="1">
        <f t="array" ref="B192">IF(A192="","",_xlfn.CHOOSECOLS('Prematch Backend 2A'!192:192,_xlfn.MAKEARRAY(1,A192-2,_xlfn.LAMBDA(_xlpm.r,_xlpm.c,_xlpm.c))))</f>
        <v/>
      </c>
    </row>
    <row r="193" spans="2:2" x14ac:dyDescent="0.2">
      <c r="B193" t="str" cm="1">
        <f t="array" ref="B193">IF(A193="","",_xlfn.CHOOSECOLS('Prematch Backend 2A'!193:193,_xlfn.MAKEARRAY(1,A193-2,_xlfn.LAMBDA(_xlpm.r,_xlpm.c,_xlpm.c))))</f>
        <v/>
      </c>
    </row>
    <row r="194" spans="2:2" x14ac:dyDescent="0.2">
      <c r="B194" t="str" cm="1">
        <f t="array" ref="B194">IF(A194="","",_xlfn.CHOOSECOLS('Prematch Backend 2A'!194:194,_xlfn.MAKEARRAY(1,A194-2,_xlfn.LAMBDA(_xlpm.r,_xlpm.c,_xlpm.c))))</f>
        <v/>
      </c>
    </row>
    <row r="195" spans="2:2" x14ac:dyDescent="0.2">
      <c r="B195" t="str" cm="1">
        <f t="array" ref="B195">IF(A195="","",_xlfn.CHOOSECOLS('Prematch Backend 2A'!195:195,_xlfn.MAKEARRAY(1,A195-2,_xlfn.LAMBDA(_xlpm.r,_xlpm.c,_xlpm.c))))</f>
        <v/>
      </c>
    </row>
    <row r="196" spans="2:2" x14ac:dyDescent="0.2">
      <c r="B196" t="str" cm="1">
        <f t="array" ref="B196">IF(A196="","",_xlfn.CHOOSECOLS('Prematch Backend 2A'!196:196,_xlfn.MAKEARRAY(1,A196-2,_xlfn.LAMBDA(_xlpm.r,_xlpm.c,_xlpm.c))))</f>
        <v/>
      </c>
    </row>
    <row r="197" spans="2:2" x14ac:dyDescent="0.2">
      <c r="B197" t="str" cm="1">
        <f t="array" ref="B197">IF(A197="","",_xlfn.CHOOSECOLS('Prematch Backend 2A'!197:197,_xlfn.MAKEARRAY(1,A197-2,_xlfn.LAMBDA(_xlpm.r,_xlpm.c,_xlpm.c))))</f>
        <v/>
      </c>
    </row>
    <row r="198" spans="2:2" x14ac:dyDescent="0.2">
      <c r="B198" t="str" cm="1">
        <f t="array" ref="B198">IF(A198="","",_xlfn.CHOOSECOLS('Prematch Backend 2A'!198:198,_xlfn.MAKEARRAY(1,A198-2,_xlfn.LAMBDA(_xlpm.r,_xlpm.c,_xlpm.c))))</f>
        <v/>
      </c>
    </row>
    <row r="199" spans="2:2" x14ac:dyDescent="0.2">
      <c r="B199" t="str" cm="1">
        <f t="array" ref="B199">IF(A199="","",_xlfn.CHOOSECOLS('Prematch Backend 2A'!199:199,_xlfn.MAKEARRAY(1,A199-2,_xlfn.LAMBDA(_xlpm.r,_xlpm.c,_xlpm.c))))</f>
        <v/>
      </c>
    </row>
    <row r="200" spans="2:2" x14ac:dyDescent="0.2">
      <c r="B200" t="str" cm="1">
        <f t="array" ref="B200">IF(A200="","",_xlfn.CHOOSECOLS('Prematch Backend 2A'!200:200,_xlfn.MAKEARRAY(1,A200-2,_xlfn.LAMBDA(_xlpm.r,_xlpm.c,_xlpm.c))))</f>
        <v/>
      </c>
    </row>
    <row r="201" spans="2:2" x14ac:dyDescent="0.2">
      <c r="B201" t="str" cm="1">
        <f t="array" ref="B201">IF(A201="","",_xlfn.CHOOSECOLS('Prematch Backend 2A'!201:201,_xlfn.MAKEARRAY(1,A201-2,_xlfn.LAMBDA(_xlpm.r,_xlpm.c,_xlpm.c))))</f>
        <v/>
      </c>
    </row>
    <row r="202" spans="2:2" x14ac:dyDescent="0.2">
      <c r="B202" t="str" cm="1">
        <f t="array" ref="B202">IF(A202="","",_xlfn.CHOOSECOLS('Prematch Backend 2A'!202:202,_xlfn.MAKEARRAY(1,A202-2,_xlfn.LAMBDA(_xlpm.r,_xlpm.c,_xlpm.c))))</f>
        <v/>
      </c>
    </row>
    <row r="203" spans="2:2" x14ac:dyDescent="0.2">
      <c r="B203" t="str" cm="1">
        <f t="array" ref="B203">IF(A203="","",_xlfn.CHOOSECOLS('Prematch Backend 2A'!203:203,_xlfn.MAKEARRAY(1,A203-2,_xlfn.LAMBDA(_xlpm.r,_xlpm.c,_xlpm.c))))</f>
        <v/>
      </c>
    </row>
    <row r="204" spans="2:2" x14ac:dyDescent="0.2">
      <c r="B204" t="str" cm="1">
        <f t="array" ref="B204">IF(A204="","",_xlfn.CHOOSECOLS('Prematch Backend 2A'!204:204,_xlfn.MAKEARRAY(1,A204-2,_xlfn.LAMBDA(_xlpm.r,_xlpm.c,_xlpm.c))))</f>
        <v/>
      </c>
    </row>
    <row r="205" spans="2:2" x14ac:dyDescent="0.2">
      <c r="B205" t="str" cm="1">
        <f t="array" ref="B205">IF(A205="","",_xlfn.CHOOSECOLS('Prematch Backend 2A'!205:205,_xlfn.MAKEARRAY(1,A205-2,_xlfn.LAMBDA(_xlpm.r,_xlpm.c,_xlpm.c))))</f>
        <v/>
      </c>
    </row>
    <row r="206" spans="2:2" x14ac:dyDescent="0.2">
      <c r="B206" t="str" cm="1">
        <f t="array" ref="B206">IF(A206="","",_xlfn.CHOOSECOLS('Prematch Backend 2A'!206:206,_xlfn.MAKEARRAY(1,A206-2,_xlfn.LAMBDA(_xlpm.r,_xlpm.c,_xlpm.c))))</f>
        <v/>
      </c>
    </row>
    <row r="207" spans="2:2" x14ac:dyDescent="0.2">
      <c r="B207" t="str" cm="1">
        <f t="array" ref="B207">IF(A207="","",_xlfn.CHOOSECOLS('Prematch Backend 2A'!207:207,_xlfn.MAKEARRAY(1,A207-2,_xlfn.LAMBDA(_xlpm.r,_xlpm.c,_xlpm.c))))</f>
        <v/>
      </c>
    </row>
    <row r="208" spans="2:2" x14ac:dyDescent="0.2">
      <c r="B208" t="str" cm="1">
        <f t="array" ref="B208">IF(A208="","",_xlfn.CHOOSECOLS('Prematch Backend 2A'!208:208,_xlfn.MAKEARRAY(1,A208-2,_xlfn.LAMBDA(_xlpm.r,_xlpm.c,_xlpm.c))))</f>
        <v/>
      </c>
    </row>
    <row r="209" spans="2:2" x14ac:dyDescent="0.2">
      <c r="B209" t="str" cm="1">
        <f t="array" ref="B209">IF(A209="","",_xlfn.CHOOSECOLS('Prematch Backend 2A'!209:209,_xlfn.MAKEARRAY(1,A209-2,_xlfn.LAMBDA(_xlpm.r,_xlpm.c,_xlpm.c))))</f>
        <v/>
      </c>
    </row>
    <row r="210" spans="2:2" x14ac:dyDescent="0.2">
      <c r="B210" t="str" cm="1">
        <f t="array" ref="B210">IF(A210="","",_xlfn.CHOOSECOLS('Prematch Backend 2A'!210:210,_xlfn.MAKEARRAY(1,A210-2,_xlfn.LAMBDA(_xlpm.r,_xlpm.c,_xlpm.c))))</f>
        <v/>
      </c>
    </row>
    <row r="211" spans="2:2" x14ac:dyDescent="0.2">
      <c r="B211" t="str" cm="1">
        <f t="array" ref="B211">IF(A211="","",_xlfn.CHOOSECOLS('Prematch Backend 2A'!211:211,_xlfn.MAKEARRAY(1,A211-2,_xlfn.LAMBDA(_xlpm.r,_xlpm.c,_xlpm.c))))</f>
        <v/>
      </c>
    </row>
    <row r="212" spans="2:2" x14ac:dyDescent="0.2">
      <c r="B212" t="str" cm="1">
        <f t="array" ref="B212">IF(A212="","",_xlfn.CHOOSECOLS('Prematch Backend 2A'!212:212,_xlfn.MAKEARRAY(1,A212-2,_xlfn.LAMBDA(_xlpm.r,_xlpm.c,_xlpm.c))))</f>
        <v/>
      </c>
    </row>
    <row r="213" spans="2:2" x14ac:dyDescent="0.2">
      <c r="B213" t="str" cm="1">
        <f t="array" ref="B213">IF(A213="","",_xlfn.CHOOSECOLS('Prematch Backend 2A'!213:213,_xlfn.MAKEARRAY(1,A213-2,_xlfn.LAMBDA(_xlpm.r,_xlpm.c,_xlpm.c))))</f>
        <v/>
      </c>
    </row>
    <row r="214" spans="2:2" x14ac:dyDescent="0.2">
      <c r="B214" t="str" cm="1">
        <f t="array" ref="B214">IF(A214="","",_xlfn.CHOOSECOLS('Prematch Backend 2A'!214:214,_xlfn.MAKEARRAY(1,A214-2,_xlfn.LAMBDA(_xlpm.r,_xlpm.c,_xlpm.c))))</f>
        <v/>
      </c>
    </row>
    <row r="215" spans="2:2" x14ac:dyDescent="0.2">
      <c r="B215" t="str" cm="1">
        <f t="array" ref="B215">IF(A215="","",_xlfn.CHOOSECOLS('Prematch Backend 2A'!215:215,_xlfn.MAKEARRAY(1,A215-2,_xlfn.LAMBDA(_xlpm.r,_xlpm.c,_xlpm.c))))</f>
        <v/>
      </c>
    </row>
    <row r="216" spans="2:2" x14ac:dyDescent="0.2">
      <c r="B216" t="str" cm="1">
        <f t="array" ref="B216">IF(A216="","",_xlfn.CHOOSECOLS('Prematch Backend 2A'!216:216,_xlfn.MAKEARRAY(1,A216-2,_xlfn.LAMBDA(_xlpm.r,_xlpm.c,_xlpm.c))))</f>
        <v/>
      </c>
    </row>
    <row r="217" spans="2:2" x14ac:dyDescent="0.2">
      <c r="B217" t="str" cm="1">
        <f t="array" ref="B217">IF(A217="","",_xlfn.CHOOSECOLS('Prematch Backend 2A'!217:217,_xlfn.MAKEARRAY(1,A217-2,_xlfn.LAMBDA(_xlpm.r,_xlpm.c,_xlpm.c))))</f>
        <v/>
      </c>
    </row>
    <row r="218" spans="2:2" x14ac:dyDescent="0.2">
      <c r="B218" t="str" cm="1">
        <f t="array" ref="B218">IF(A218="","",_xlfn.CHOOSECOLS('Prematch Backend 2A'!218:218,_xlfn.MAKEARRAY(1,A218-2,_xlfn.LAMBDA(_xlpm.r,_xlpm.c,_xlpm.c))))</f>
        <v/>
      </c>
    </row>
    <row r="219" spans="2:2" x14ac:dyDescent="0.2">
      <c r="B219" t="str" cm="1">
        <f t="array" ref="B219">IF(A219="","",_xlfn.CHOOSECOLS('Prematch Backend 2A'!219:219,_xlfn.MAKEARRAY(1,A219-2,_xlfn.LAMBDA(_xlpm.r,_xlpm.c,_xlpm.c))))</f>
        <v/>
      </c>
    </row>
    <row r="220" spans="2:2" x14ac:dyDescent="0.2">
      <c r="B220" t="str" cm="1">
        <f t="array" ref="B220">IF(A220="","",_xlfn.CHOOSECOLS('Prematch Backend 2A'!220:220,_xlfn.MAKEARRAY(1,A220-2,_xlfn.LAMBDA(_xlpm.r,_xlpm.c,_xlpm.c))))</f>
        <v/>
      </c>
    </row>
    <row r="221" spans="2:2" x14ac:dyDescent="0.2">
      <c r="B221" t="str" cm="1">
        <f t="array" ref="B221">IF(A221="","",_xlfn.CHOOSECOLS('Prematch Backend 2A'!221:221,_xlfn.MAKEARRAY(1,A221-2,_xlfn.LAMBDA(_xlpm.r,_xlpm.c,_xlpm.c))))</f>
        <v/>
      </c>
    </row>
    <row r="222" spans="2:2" x14ac:dyDescent="0.2">
      <c r="B222" t="str" cm="1">
        <f t="array" ref="B222">IF(A222="","",_xlfn.CHOOSECOLS('Prematch Backend 2A'!222:222,_xlfn.MAKEARRAY(1,A222-2,_xlfn.LAMBDA(_xlpm.r,_xlpm.c,_xlpm.c))))</f>
        <v/>
      </c>
    </row>
    <row r="223" spans="2:2" x14ac:dyDescent="0.2">
      <c r="B223" t="str" cm="1">
        <f t="array" ref="B223">IF(A223="","",_xlfn.CHOOSECOLS('Prematch Backend 2A'!223:223,_xlfn.MAKEARRAY(1,A223-2,_xlfn.LAMBDA(_xlpm.r,_xlpm.c,_xlpm.c))))</f>
        <v/>
      </c>
    </row>
    <row r="224" spans="2:2" x14ac:dyDescent="0.2">
      <c r="B224" t="str" cm="1">
        <f t="array" ref="B224">IF(A224="","",_xlfn.CHOOSECOLS('Prematch Backend 2A'!224:224,_xlfn.MAKEARRAY(1,A224-2,_xlfn.LAMBDA(_xlpm.r,_xlpm.c,_xlpm.c))))</f>
        <v/>
      </c>
    </row>
    <row r="225" spans="2:2" x14ac:dyDescent="0.2">
      <c r="B225" t="str" cm="1">
        <f t="array" ref="B225">IF(A225="","",_xlfn.CHOOSECOLS('Prematch Backend 2A'!225:225,_xlfn.MAKEARRAY(1,A225-2,_xlfn.LAMBDA(_xlpm.r,_xlpm.c,_xlpm.c))))</f>
        <v/>
      </c>
    </row>
    <row r="226" spans="2:2" x14ac:dyDescent="0.2">
      <c r="B226" t="str" cm="1">
        <f t="array" ref="B226">IF(A226="","",_xlfn.CHOOSECOLS('Prematch Backend 2A'!226:226,_xlfn.MAKEARRAY(1,A226-2,_xlfn.LAMBDA(_xlpm.r,_xlpm.c,_xlpm.c))))</f>
        <v/>
      </c>
    </row>
    <row r="227" spans="2:2" x14ac:dyDescent="0.2">
      <c r="B227" t="str" cm="1">
        <f t="array" ref="B227">IF(A227="","",_xlfn.CHOOSECOLS('Prematch Backend 2A'!227:227,_xlfn.MAKEARRAY(1,A227-2,_xlfn.LAMBDA(_xlpm.r,_xlpm.c,_xlpm.c))))</f>
        <v/>
      </c>
    </row>
    <row r="228" spans="2:2" x14ac:dyDescent="0.2">
      <c r="B228" t="str" cm="1">
        <f t="array" ref="B228">IF(A228="","",_xlfn.CHOOSECOLS('Prematch Backend 2A'!228:228,_xlfn.MAKEARRAY(1,A228-2,_xlfn.LAMBDA(_xlpm.r,_xlpm.c,_xlpm.c))))</f>
        <v/>
      </c>
    </row>
    <row r="229" spans="2:2" x14ac:dyDescent="0.2">
      <c r="B229" t="str" cm="1">
        <f t="array" ref="B229">IF(A229="","",_xlfn.CHOOSECOLS('Prematch Backend 2A'!229:229,_xlfn.MAKEARRAY(1,A229-2,_xlfn.LAMBDA(_xlpm.r,_xlpm.c,_xlpm.c))))</f>
        <v/>
      </c>
    </row>
    <row r="230" spans="2:2" x14ac:dyDescent="0.2">
      <c r="B230" t="str" cm="1">
        <f t="array" ref="B230">IF(A230="","",_xlfn.CHOOSECOLS('Prematch Backend 2A'!230:230,_xlfn.MAKEARRAY(1,A230-2,_xlfn.LAMBDA(_xlpm.r,_xlpm.c,_xlpm.c))))</f>
        <v/>
      </c>
    </row>
    <row r="231" spans="2:2" x14ac:dyDescent="0.2">
      <c r="B231" t="str" cm="1">
        <f t="array" ref="B231">IF(A231="","",_xlfn.CHOOSECOLS('Prematch Backend 2A'!231:231,_xlfn.MAKEARRAY(1,A231-2,_xlfn.LAMBDA(_xlpm.r,_xlpm.c,_xlpm.c))))</f>
        <v/>
      </c>
    </row>
    <row r="232" spans="2:2" x14ac:dyDescent="0.2">
      <c r="B232" t="str" cm="1">
        <f t="array" ref="B232">IF(A232="","",_xlfn.CHOOSECOLS('Prematch Backend 2A'!232:232,_xlfn.MAKEARRAY(1,A232-2,_xlfn.LAMBDA(_xlpm.r,_xlpm.c,_xlpm.c))))</f>
        <v/>
      </c>
    </row>
    <row r="233" spans="2:2" x14ac:dyDescent="0.2">
      <c r="B233" t="str" cm="1">
        <f t="array" ref="B233">IF(A233="","",_xlfn.CHOOSECOLS('Prematch Backend 2A'!233:233,_xlfn.MAKEARRAY(1,A233-2,_xlfn.LAMBDA(_xlpm.r,_xlpm.c,_xlpm.c))))</f>
        <v/>
      </c>
    </row>
    <row r="234" spans="2:2" x14ac:dyDescent="0.2">
      <c r="B234" t="str" cm="1">
        <f t="array" ref="B234">IF(A234="","",_xlfn.CHOOSECOLS('Prematch Backend 2A'!234:234,_xlfn.MAKEARRAY(1,A234-2,_xlfn.LAMBDA(_xlpm.r,_xlpm.c,_xlpm.c))))</f>
        <v/>
      </c>
    </row>
    <row r="235" spans="2:2" x14ac:dyDescent="0.2">
      <c r="B235" t="str" cm="1">
        <f t="array" ref="B235">IF(A235="","",_xlfn.CHOOSECOLS('Prematch Backend 2A'!235:235,_xlfn.MAKEARRAY(1,A235-2,_xlfn.LAMBDA(_xlpm.r,_xlpm.c,_xlpm.c))))</f>
        <v/>
      </c>
    </row>
    <row r="236" spans="2:2" x14ac:dyDescent="0.2">
      <c r="B236" t="str" cm="1">
        <f t="array" ref="B236">IF(A236="","",_xlfn.CHOOSECOLS('Prematch Backend 2A'!236:236,_xlfn.MAKEARRAY(1,A236-2,_xlfn.LAMBDA(_xlpm.r,_xlpm.c,_xlpm.c))))</f>
        <v/>
      </c>
    </row>
    <row r="237" spans="2:2" x14ac:dyDescent="0.2">
      <c r="B237" t="str" cm="1">
        <f t="array" ref="B237">IF(A237="","",_xlfn.CHOOSECOLS('Prematch Backend 2A'!237:237,_xlfn.MAKEARRAY(1,A237-2,_xlfn.LAMBDA(_xlpm.r,_xlpm.c,_xlpm.c))))</f>
        <v/>
      </c>
    </row>
    <row r="238" spans="2:2" x14ac:dyDescent="0.2">
      <c r="B238" t="str" cm="1">
        <f t="array" ref="B238">IF(A238="","",_xlfn.CHOOSECOLS('Prematch Backend 2A'!238:238,_xlfn.MAKEARRAY(1,A238-2,_xlfn.LAMBDA(_xlpm.r,_xlpm.c,_xlpm.c))))</f>
        <v/>
      </c>
    </row>
    <row r="239" spans="2:2" x14ac:dyDescent="0.2">
      <c r="B239" t="str" cm="1">
        <f t="array" ref="B239">IF(A239="","",_xlfn.CHOOSECOLS('Prematch Backend 2A'!239:239,_xlfn.MAKEARRAY(1,A239-2,_xlfn.LAMBDA(_xlpm.r,_xlpm.c,_xlpm.c))))</f>
        <v/>
      </c>
    </row>
    <row r="240" spans="2:2" x14ac:dyDescent="0.2">
      <c r="B240" t="str" cm="1">
        <f t="array" ref="B240">IF(A240="","",_xlfn.CHOOSECOLS('Prematch Backend 2A'!240:240,_xlfn.MAKEARRAY(1,A240-2,_xlfn.LAMBDA(_xlpm.r,_xlpm.c,_xlpm.c))))</f>
        <v/>
      </c>
    </row>
    <row r="241" spans="2:2" x14ac:dyDescent="0.2">
      <c r="B241" t="str" cm="1">
        <f t="array" ref="B241">IF(A241="","",_xlfn.CHOOSECOLS('Prematch Backend 2A'!241:241,_xlfn.MAKEARRAY(1,A241-2,_xlfn.LAMBDA(_xlpm.r,_xlpm.c,_xlpm.c))))</f>
        <v/>
      </c>
    </row>
    <row r="242" spans="2:2" x14ac:dyDescent="0.2">
      <c r="B242" t="str" cm="1">
        <f t="array" ref="B242">IF(A242="","",_xlfn.CHOOSECOLS('Prematch Backend 2A'!242:242,_xlfn.MAKEARRAY(1,A242-2,_xlfn.LAMBDA(_xlpm.r,_xlpm.c,_xlpm.c))))</f>
        <v/>
      </c>
    </row>
    <row r="243" spans="2:2" x14ac:dyDescent="0.2">
      <c r="B243" t="str" cm="1">
        <f t="array" ref="B243">IF(A243="","",_xlfn.CHOOSECOLS('Prematch Backend 2A'!243:243,_xlfn.MAKEARRAY(1,A243-2,_xlfn.LAMBDA(_xlpm.r,_xlpm.c,_xlpm.c))))</f>
        <v/>
      </c>
    </row>
    <row r="244" spans="2:2" x14ac:dyDescent="0.2">
      <c r="B244" t="str" cm="1">
        <f t="array" ref="B244">IF(A244="","",_xlfn.CHOOSECOLS('Prematch Backend 2A'!244:244,_xlfn.MAKEARRAY(1,A244-2,_xlfn.LAMBDA(_xlpm.r,_xlpm.c,_xlpm.c))))</f>
        <v/>
      </c>
    </row>
    <row r="245" spans="2:2" x14ac:dyDescent="0.2">
      <c r="B245" t="str" cm="1">
        <f t="array" ref="B245">IF(A245="","",_xlfn.CHOOSECOLS('Prematch Backend 2A'!245:245,_xlfn.MAKEARRAY(1,A245-2,_xlfn.LAMBDA(_xlpm.r,_xlpm.c,_xlpm.c))))</f>
        <v/>
      </c>
    </row>
    <row r="246" spans="2:2" x14ac:dyDescent="0.2">
      <c r="B246" t="str" cm="1">
        <f t="array" ref="B246">IF(A246="","",_xlfn.CHOOSECOLS('Prematch Backend 2A'!246:246,_xlfn.MAKEARRAY(1,A246-2,_xlfn.LAMBDA(_xlpm.r,_xlpm.c,_xlpm.c))))</f>
        <v/>
      </c>
    </row>
    <row r="247" spans="2:2" x14ac:dyDescent="0.2">
      <c r="B247" t="str" cm="1">
        <f t="array" ref="B247">IF(A247="","",_xlfn.CHOOSECOLS('Prematch Backend 2A'!247:247,_xlfn.MAKEARRAY(1,A247-2,_xlfn.LAMBDA(_xlpm.r,_xlpm.c,_xlpm.c))))</f>
        <v/>
      </c>
    </row>
    <row r="248" spans="2:2" x14ac:dyDescent="0.2">
      <c r="B248" t="str" cm="1">
        <f t="array" ref="B248">IF(A248="","",_xlfn.CHOOSECOLS('Prematch Backend 2A'!248:248,_xlfn.MAKEARRAY(1,A248-2,_xlfn.LAMBDA(_xlpm.r,_xlpm.c,_xlpm.c))))</f>
        <v/>
      </c>
    </row>
    <row r="249" spans="2:2" x14ac:dyDescent="0.2">
      <c r="B249" t="str" cm="1">
        <f t="array" ref="B249">IF(A249="","",_xlfn.CHOOSECOLS('Prematch Backend 2A'!249:249,_xlfn.MAKEARRAY(1,A249-2,_xlfn.LAMBDA(_xlpm.r,_xlpm.c,_xlpm.c))))</f>
        <v/>
      </c>
    </row>
    <row r="250" spans="2:2" x14ac:dyDescent="0.2">
      <c r="B250" t="str" cm="1">
        <f t="array" ref="B250">IF(A250="","",_xlfn.CHOOSECOLS('Prematch Backend 2A'!250:250,_xlfn.MAKEARRAY(1,A250-2,_xlfn.LAMBDA(_xlpm.r,_xlpm.c,_xlpm.c))))</f>
        <v/>
      </c>
    </row>
    <row r="251" spans="2:2" x14ac:dyDescent="0.2">
      <c r="B251" t="str" cm="1">
        <f t="array" ref="B251">IF(A251="","",_xlfn.CHOOSECOLS('Prematch Backend 2A'!251:251,_xlfn.MAKEARRAY(1,A251-2,_xlfn.LAMBDA(_xlpm.r,_xlpm.c,_xlpm.c))))</f>
        <v/>
      </c>
    </row>
    <row r="252" spans="2:2" x14ac:dyDescent="0.2">
      <c r="B252" t="str" cm="1">
        <f t="array" ref="B252">IF(A252="","",_xlfn.CHOOSECOLS('Prematch Backend 2A'!252:252,_xlfn.MAKEARRAY(1,A252-2,_xlfn.LAMBDA(_xlpm.r,_xlpm.c,_xlpm.c))))</f>
        <v/>
      </c>
    </row>
    <row r="253" spans="2:2" x14ac:dyDescent="0.2">
      <c r="B253" t="str" cm="1">
        <f t="array" ref="B253">IF(A253="","",_xlfn.CHOOSECOLS('Prematch Backend 2A'!253:253,_xlfn.MAKEARRAY(1,A253-2,_xlfn.LAMBDA(_xlpm.r,_xlpm.c,_xlpm.c))))</f>
        <v/>
      </c>
    </row>
    <row r="254" spans="2:2" x14ac:dyDescent="0.2">
      <c r="B254" t="str" cm="1">
        <f t="array" ref="B254">IF(A254="","",_xlfn.CHOOSECOLS('Prematch Backend 2A'!254:254,_xlfn.MAKEARRAY(1,A254-2,_xlfn.LAMBDA(_xlpm.r,_xlpm.c,_xlpm.c))))</f>
        <v/>
      </c>
    </row>
    <row r="255" spans="2:2" x14ac:dyDescent="0.2">
      <c r="B255" t="str" cm="1">
        <f t="array" ref="B255">IF(A255="","",_xlfn.CHOOSECOLS('Prematch Backend 2A'!255:255,_xlfn.MAKEARRAY(1,A255-2,_xlfn.LAMBDA(_xlpm.r,_xlpm.c,_xlpm.c))))</f>
        <v/>
      </c>
    </row>
    <row r="256" spans="2:2" x14ac:dyDescent="0.2">
      <c r="B256" t="str" cm="1">
        <f t="array" ref="B256">IF(A256="","",_xlfn.CHOOSECOLS('Prematch Backend 2A'!256:256,_xlfn.MAKEARRAY(1,A256-2,_xlfn.LAMBDA(_xlpm.r,_xlpm.c,_xlpm.c))))</f>
        <v/>
      </c>
    </row>
    <row r="257" spans="2:2" x14ac:dyDescent="0.2">
      <c r="B257" t="str" cm="1">
        <f t="array" ref="B257">IF(A257="","",_xlfn.CHOOSECOLS('Prematch Backend 2A'!257:257,_xlfn.MAKEARRAY(1,A257-2,_xlfn.LAMBDA(_xlpm.r,_xlpm.c,_xlpm.c))))</f>
        <v/>
      </c>
    </row>
    <row r="258" spans="2:2" x14ac:dyDescent="0.2">
      <c r="B258" t="str" cm="1">
        <f t="array" ref="B258">IF(A258="","",_xlfn.CHOOSECOLS('Prematch Backend 2A'!258:258,_xlfn.MAKEARRAY(1,A258-2,_xlfn.LAMBDA(_xlpm.r,_xlpm.c,_xlpm.c))))</f>
        <v/>
      </c>
    </row>
    <row r="259" spans="2:2" x14ac:dyDescent="0.2">
      <c r="B259" t="str" cm="1">
        <f t="array" ref="B259">IF(A259="","",_xlfn.CHOOSECOLS('Prematch Backend 2A'!259:259,_xlfn.MAKEARRAY(1,A259-2,_xlfn.LAMBDA(_xlpm.r,_xlpm.c,_xlpm.c))))</f>
        <v/>
      </c>
    </row>
    <row r="260" spans="2:2" x14ac:dyDescent="0.2">
      <c r="B260" t="str" cm="1">
        <f t="array" ref="B260">IF(A260="","",_xlfn.CHOOSECOLS('Prematch Backend 2A'!260:260,_xlfn.MAKEARRAY(1,A260-2,_xlfn.LAMBDA(_xlpm.r,_xlpm.c,_xlpm.c))))</f>
        <v/>
      </c>
    </row>
    <row r="261" spans="2:2" x14ac:dyDescent="0.2">
      <c r="B261" t="str" cm="1">
        <f t="array" ref="B261">IF(A261="","",_xlfn.CHOOSECOLS('Prematch Backend 2A'!261:261,_xlfn.MAKEARRAY(1,A261-2,_xlfn.LAMBDA(_xlpm.r,_xlpm.c,_xlpm.c))))</f>
        <v/>
      </c>
    </row>
    <row r="262" spans="2:2" x14ac:dyDescent="0.2">
      <c r="B262" t="str" cm="1">
        <f t="array" ref="B262">IF(A262="","",_xlfn.CHOOSECOLS('Prematch Backend 2A'!262:262,_xlfn.MAKEARRAY(1,A262-2,_xlfn.LAMBDA(_xlpm.r,_xlpm.c,_xlpm.c))))</f>
        <v/>
      </c>
    </row>
    <row r="263" spans="2:2" x14ac:dyDescent="0.2">
      <c r="B263" t="str" cm="1">
        <f t="array" ref="B263">IF(A263="","",_xlfn.CHOOSECOLS('Prematch Backend 2A'!263:263,_xlfn.MAKEARRAY(1,A263-2,_xlfn.LAMBDA(_xlpm.r,_xlpm.c,_xlpm.c))))</f>
        <v/>
      </c>
    </row>
    <row r="264" spans="2:2" x14ac:dyDescent="0.2">
      <c r="B264" t="str" cm="1">
        <f t="array" ref="B264">IF(A264="","",_xlfn.CHOOSECOLS('Prematch Backend 2A'!264:264,_xlfn.MAKEARRAY(1,A264-2,_xlfn.LAMBDA(_xlpm.r,_xlpm.c,_xlpm.c))))</f>
        <v/>
      </c>
    </row>
    <row r="265" spans="2:2" x14ac:dyDescent="0.2">
      <c r="B265" t="str" cm="1">
        <f t="array" ref="B265">IF(A265="","",_xlfn.CHOOSECOLS('Prematch Backend 2A'!265:265,_xlfn.MAKEARRAY(1,A265-2,_xlfn.LAMBDA(_xlpm.r,_xlpm.c,_xlpm.c))))</f>
        <v/>
      </c>
    </row>
    <row r="266" spans="2:2" x14ac:dyDescent="0.2">
      <c r="B266" t="str" cm="1">
        <f t="array" ref="B266">IF(A266="","",_xlfn.CHOOSECOLS('Prematch Backend 2A'!266:266,_xlfn.MAKEARRAY(1,A266-2,_xlfn.LAMBDA(_xlpm.r,_xlpm.c,_xlpm.c))))</f>
        <v/>
      </c>
    </row>
    <row r="267" spans="2:2" x14ac:dyDescent="0.2">
      <c r="B267" t="str" cm="1">
        <f t="array" ref="B267">IF(A267="","",_xlfn.CHOOSECOLS('Prematch Backend 2A'!267:267,_xlfn.MAKEARRAY(1,A267-2,_xlfn.LAMBDA(_xlpm.r,_xlpm.c,_xlpm.c))))</f>
        <v/>
      </c>
    </row>
    <row r="268" spans="2:2" x14ac:dyDescent="0.2">
      <c r="B268" t="str" cm="1">
        <f t="array" ref="B268">IF(A268="","",_xlfn.CHOOSECOLS('Prematch Backend 2A'!268:268,_xlfn.MAKEARRAY(1,A268-2,_xlfn.LAMBDA(_xlpm.r,_xlpm.c,_xlpm.c))))</f>
        <v/>
      </c>
    </row>
    <row r="269" spans="2:2" x14ac:dyDescent="0.2">
      <c r="B269" t="str" cm="1">
        <f t="array" ref="B269">IF(A269="","",_xlfn.CHOOSECOLS('Prematch Backend 2A'!269:269,_xlfn.MAKEARRAY(1,A269-2,_xlfn.LAMBDA(_xlpm.r,_xlpm.c,_xlpm.c))))</f>
        <v/>
      </c>
    </row>
    <row r="270" spans="2:2" x14ac:dyDescent="0.2">
      <c r="B270" t="str" cm="1">
        <f t="array" ref="B270">IF(A270="","",_xlfn.CHOOSECOLS('Prematch Backend 2A'!270:270,_xlfn.MAKEARRAY(1,A270-2,_xlfn.LAMBDA(_xlpm.r,_xlpm.c,_xlpm.c))))</f>
        <v/>
      </c>
    </row>
    <row r="271" spans="2:2" x14ac:dyDescent="0.2">
      <c r="B271" t="str" cm="1">
        <f t="array" ref="B271">IF(A271="","",_xlfn.CHOOSECOLS('Prematch Backend 2A'!271:271,_xlfn.MAKEARRAY(1,A271-2,_xlfn.LAMBDA(_xlpm.r,_xlpm.c,_xlpm.c))))</f>
        <v/>
      </c>
    </row>
    <row r="272" spans="2:2" x14ac:dyDescent="0.2">
      <c r="B272" t="str" cm="1">
        <f t="array" ref="B272">IF(A272="","",_xlfn.CHOOSECOLS('Prematch Backend 2A'!272:272,_xlfn.MAKEARRAY(1,A272-2,_xlfn.LAMBDA(_xlpm.r,_xlpm.c,_xlpm.c))))</f>
        <v/>
      </c>
    </row>
    <row r="273" spans="2:2" x14ac:dyDescent="0.2">
      <c r="B273" t="str" cm="1">
        <f t="array" ref="B273">IF(A273="","",_xlfn.CHOOSECOLS('Prematch Backend 2A'!273:273,_xlfn.MAKEARRAY(1,A273-2,_xlfn.LAMBDA(_xlpm.r,_xlpm.c,_xlpm.c))))</f>
        <v/>
      </c>
    </row>
    <row r="274" spans="2:2" x14ac:dyDescent="0.2">
      <c r="B274" t="str" cm="1">
        <f t="array" ref="B274">IF(A274="","",_xlfn.CHOOSECOLS('Prematch Backend 2A'!274:274,_xlfn.MAKEARRAY(1,A274-2,_xlfn.LAMBDA(_xlpm.r,_xlpm.c,_xlpm.c))))</f>
        <v/>
      </c>
    </row>
    <row r="275" spans="2:2" x14ac:dyDescent="0.2">
      <c r="B275" t="str" cm="1">
        <f t="array" ref="B275">IF(A275="","",_xlfn.CHOOSECOLS('Prematch Backend 2A'!275:275,_xlfn.MAKEARRAY(1,A275-2,_xlfn.LAMBDA(_xlpm.r,_xlpm.c,_xlpm.c))))</f>
        <v/>
      </c>
    </row>
    <row r="276" spans="2:2" x14ac:dyDescent="0.2">
      <c r="B276" t="str" cm="1">
        <f t="array" ref="B276">IF(A276="","",_xlfn.CHOOSECOLS('Prematch Backend 2A'!276:276,_xlfn.MAKEARRAY(1,A276-2,_xlfn.LAMBDA(_xlpm.r,_xlpm.c,_xlpm.c))))</f>
        <v/>
      </c>
    </row>
    <row r="277" spans="2:2" x14ac:dyDescent="0.2">
      <c r="B277" t="str" cm="1">
        <f t="array" ref="B277">IF(A277="","",_xlfn.CHOOSECOLS('Prematch Backend 2A'!277:277,_xlfn.MAKEARRAY(1,A277-2,_xlfn.LAMBDA(_xlpm.r,_xlpm.c,_xlpm.c))))</f>
        <v/>
      </c>
    </row>
    <row r="278" spans="2:2" x14ac:dyDescent="0.2">
      <c r="B278" t="str" cm="1">
        <f t="array" ref="B278">IF(A278="","",_xlfn.CHOOSECOLS('Prematch Backend 2A'!278:278,_xlfn.MAKEARRAY(1,A278-2,_xlfn.LAMBDA(_xlpm.r,_xlpm.c,_xlpm.c))))</f>
        <v/>
      </c>
    </row>
    <row r="279" spans="2:2" x14ac:dyDescent="0.2">
      <c r="B279" t="str" cm="1">
        <f t="array" ref="B279">IF(A279="","",_xlfn.CHOOSECOLS('Prematch Backend 2A'!279:279,_xlfn.MAKEARRAY(1,A279-2,_xlfn.LAMBDA(_xlpm.r,_xlpm.c,_xlpm.c))))</f>
        <v/>
      </c>
    </row>
    <row r="280" spans="2:2" x14ac:dyDescent="0.2">
      <c r="B280" t="str" cm="1">
        <f t="array" ref="B280">IF(A280="","",_xlfn.CHOOSECOLS('Prematch Backend 2A'!280:280,_xlfn.MAKEARRAY(1,A280-2,_xlfn.LAMBDA(_xlpm.r,_xlpm.c,_xlpm.c))))</f>
        <v/>
      </c>
    </row>
    <row r="281" spans="2:2" x14ac:dyDescent="0.2">
      <c r="B281" t="str" cm="1">
        <f t="array" ref="B281">IF(A281="","",_xlfn.CHOOSECOLS('Prematch Backend 2A'!281:281,_xlfn.MAKEARRAY(1,A281-2,_xlfn.LAMBDA(_xlpm.r,_xlpm.c,_xlpm.c))))</f>
        <v/>
      </c>
    </row>
    <row r="282" spans="2:2" x14ac:dyDescent="0.2">
      <c r="B282" t="str" cm="1">
        <f t="array" ref="B282">IF(A282="","",_xlfn.CHOOSECOLS('Prematch Backend 2A'!282:282,_xlfn.MAKEARRAY(1,A282-2,_xlfn.LAMBDA(_xlpm.r,_xlpm.c,_xlpm.c))))</f>
        <v/>
      </c>
    </row>
    <row r="283" spans="2:2" x14ac:dyDescent="0.2">
      <c r="B283" t="str" cm="1">
        <f t="array" ref="B283">IF(A283="","",_xlfn.CHOOSECOLS('Prematch Backend 2A'!283:283,_xlfn.MAKEARRAY(1,A283-2,_xlfn.LAMBDA(_xlpm.r,_xlpm.c,_xlpm.c))))</f>
        <v/>
      </c>
    </row>
    <row r="284" spans="2:2" x14ac:dyDescent="0.2">
      <c r="B284" t="str" cm="1">
        <f t="array" ref="B284">IF(A284="","",_xlfn.CHOOSECOLS('Prematch Backend 2A'!284:284,_xlfn.MAKEARRAY(1,A284-2,_xlfn.LAMBDA(_xlpm.r,_xlpm.c,_xlpm.c))))</f>
        <v/>
      </c>
    </row>
    <row r="285" spans="2:2" x14ac:dyDescent="0.2">
      <c r="B285" t="str" cm="1">
        <f t="array" ref="B285">IF(A285="","",_xlfn.CHOOSECOLS('Prematch Backend 2A'!285:285,_xlfn.MAKEARRAY(1,A285-2,_xlfn.LAMBDA(_xlpm.r,_xlpm.c,_xlpm.c))))</f>
        <v/>
      </c>
    </row>
    <row r="286" spans="2:2" x14ac:dyDescent="0.2">
      <c r="B286" t="str" cm="1">
        <f t="array" ref="B286">IF(A286="","",_xlfn.CHOOSECOLS('Prematch Backend 2A'!286:286,_xlfn.MAKEARRAY(1,A286-2,_xlfn.LAMBDA(_xlpm.r,_xlpm.c,_xlpm.c))))</f>
        <v/>
      </c>
    </row>
    <row r="287" spans="2:2" x14ac:dyDescent="0.2">
      <c r="B287" t="str" cm="1">
        <f t="array" ref="B287">IF(A287="","",_xlfn.CHOOSECOLS('Prematch Backend 2A'!287:287,_xlfn.MAKEARRAY(1,A287-2,_xlfn.LAMBDA(_xlpm.r,_xlpm.c,_xlpm.c))))</f>
        <v/>
      </c>
    </row>
    <row r="288" spans="2:2" x14ac:dyDescent="0.2">
      <c r="B288" t="str" cm="1">
        <f t="array" ref="B288">IF(A288="","",_xlfn.CHOOSECOLS('Prematch Backend 2A'!288:288,_xlfn.MAKEARRAY(1,A288-2,_xlfn.LAMBDA(_xlpm.r,_xlpm.c,_xlpm.c))))</f>
        <v/>
      </c>
    </row>
    <row r="289" spans="2:2" x14ac:dyDescent="0.2">
      <c r="B289" t="str" cm="1">
        <f t="array" ref="B289">IF(A289="","",_xlfn.CHOOSECOLS('Prematch Backend 2A'!289:289,_xlfn.MAKEARRAY(1,A289-2,_xlfn.LAMBDA(_xlpm.r,_xlpm.c,_xlpm.c))))</f>
        <v/>
      </c>
    </row>
    <row r="290" spans="2:2" x14ac:dyDescent="0.2">
      <c r="B290" t="str" cm="1">
        <f t="array" ref="B290">IF(A290="","",_xlfn.CHOOSECOLS('Prematch Backend 2A'!290:290,_xlfn.MAKEARRAY(1,A290-2,_xlfn.LAMBDA(_xlpm.r,_xlpm.c,_xlpm.c))))</f>
        <v/>
      </c>
    </row>
    <row r="291" spans="2:2" x14ac:dyDescent="0.2">
      <c r="B291" t="str" cm="1">
        <f t="array" ref="B291">IF(A291="","",_xlfn.CHOOSECOLS('Prematch Backend 2A'!291:291,_xlfn.MAKEARRAY(1,A291-2,_xlfn.LAMBDA(_xlpm.r,_xlpm.c,_xlpm.c))))</f>
        <v/>
      </c>
    </row>
    <row r="292" spans="2:2" x14ac:dyDescent="0.2">
      <c r="B292" t="str" cm="1">
        <f t="array" ref="B292">IF(A292="","",_xlfn.CHOOSECOLS('Prematch Backend 2A'!292:292,_xlfn.MAKEARRAY(1,A292-2,_xlfn.LAMBDA(_xlpm.r,_xlpm.c,_xlpm.c))))</f>
        <v/>
      </c>
    </row>
    <row r="293" spans="2:2" x14ac:dyDescent="0.2">
      <c r="B293" t="str" cm="1">
        <f t="array" ref="B293">IF(A293="","",_xlfn.CHOOSECOLS('Prematch Backend 2A'!293:293,_xlfn.MAKEARRAY(1,A293-2,_xlfn.LAMBDA(_xlpm.r,_xlpm.c,_xlpm.c))))</f>
        <v/>
      </c>
    </row>
    <row r="294" spans="2:2" x14ac:dyDescent="0.2">
      <c r="B294" t="str" cm="1">
        <f t="array" ref="B294">IF(A294="","",_xlfn.CHOOSECOLS('Prematch Backend 2A'!294:294,_xlfn.MAKEARRAY(1,A294-2,_xlfn.LAMBDA(_xlpm.r,_xlpm.c,_xlpm.c))))</f>
        <v/>
      </c>
    </row>
    <row r="295" spans="2:2" x14ac:dyDescent="0.2">
      <c r="B295" t="str" cm="1">
        <f t="array" ref="B295">IF(A295="","",_xlfn.CHOOSECOLS('Prematch Backend 2A'!295:295,_xlfn.MAKEARRAY(1,A295-2,_xlfn.LAMBDA(_xlpm.r,_xlpm.c,_xlpm.c))))</f>
        <v/>
      </c>
    </row>
    <row r="296" spans="2:2" x14ac:dyDescent="0.2">
      <c r="B296" t="str" cm="1">
        <f t="array" ref="B296">IF(A296="","",_xlfn.CHOOSECOLS('Prematch Backend 2A'!296:296,_xlfn.MAKEARRAY(1,A296-2,_xlfn.LAMBDA(_xlpm.r,_xlpm.c,_xlpm.c))))</f>
        <v/>
      </c>
    </row>
    <row r="297" spans="2:2" x14ac:dyDescent="0.2">
      <c r="B297" t="str" cm="1">
        <f t="array" ref="B297">IF(A297="","",_xlfn.CHOOSECOLS('Prematch Backend 2A'!297:297,_xlfn.MAKEARRAY(1,A297-2,_xlfn.LAMBDA(_xlpm.r,_xlpm.c,_xlpm.c))))</f>
        <v/>
      </c>
    </row>
    <row r="298" spans="2:2" x14ac:dyDescent="0.2">
      <c r="B298" t="str" cm="1">
        <f t="array" ref="B298">IF(A298="","",_xlfn.CHOOSECOLS('Prematch Backend 2A'!298:298,_xlfn.MAKEARRAY(1,A298-2,_xlfn.LAMBDA(_xlpm.r,_xlpm.c,_xlpm.c))))</f>
        <v/>
      </c>
    </row>
    <row r="299" spans="2:2" x14ac:dyDescent="0.2">
      <c r="B299" t="str" cm="1">
        <f t="array" ref="B299">IF(A299="","",_xlfn.CHOOSECOLS('Prematch Backend 2A'!299:299,_xlfn.MAKEARRAY(1,A299-2,_xlfn.LAMBDA(_xlpm.r,_xlpm.c,_xlpm.c))))</f>
        <v/>
      </c>
    </row>
    <row r="300" spans="2:2" x14ac:dyDescent="0.2">
      <c r="B300" t="str" cm="1">
        <f t="array" ref="B300">IF(A300="","",_xlfn.CHOOSECOLS('Prematch Backend 2A'!300:300,_xlfn.MAKEARRAY(1,A300-2,_xlfn.LAMBDA(_xlpm.r,_xlpm.c,_xlpm.c))))</f>
        <v/>
      </c>
    </row>
    <row r="301" spans="2:2" x14ac:dyDescent="0.2">
      <c r="B301" t="str" cm="1">
        <f t="array" ref="B301">IF(A301="","",_xlfn.CHOOSECOLS('Prematch Backend 2A'!301:301,_xlfn.MAKEARRAY(1,A301-2,_xlfn.LAMBDA(_xlpm.r,_xlpm.c,_xlpm.c))))</f>
        <v/>
      </c>
    </row>
    <row r="302" spans="2:2" x14ac:dyDescent="0.2">
      <c r="B302" t="str" cm="1">
        <f t="array" ref="B302">IF(A302="","",_xlfn.CHOOSECOLS('Prematch Backend 2A'!302:302,_xlfn.MAKEARRAY(1,A302-2,_xlfn.LAMBDA(_xlpm.r,_xlpm.c,_xlpm.c))))</f>
        <v/>
      </c>
    </row>
    <row r="303" spans="2:2" x14ac:dyDescent="0.2">
      <c r="B303" t="str" cm="1">
        <f t="array" ref="B303">IF(A303="","",_xlfn.CHOOSECOLS('Prematch Backend 2A'!303:303,_xlfn.MAKEARRAY(1,A303-2,_xlfn.LAMBDA(_xlpm.r,_xlpm.c,_xlpm.c))))</f>
        <v/>
      </c>
    </row>
    <row r="304" spans="2:2" x14ac:dyDescent="0.2">
      <c r="B304" t="str" cm="1">
        <f t="array" ref="B304">IF(A304="","",_xlfn.CHOOSECOLS('Prematch Backend 2A'!304:304,_xlfn.MAKEARRAY(1,A304-2,_xlfn.LAMBDA(_xlpm.r,_xlpm.c,_xlpm.c))))</f>
        <v/>
      </c>
    </row>
    <row r="305" spans="2:2" x14ac:dyDescent="0.2">
      <c r="B305" t="str" cm="1">
        <f t="array" ref="B305">IF(A305="","",_xlfn.CHOOSECOLS('Prematch Backend 2A'!305:305,_xlfn.MAKEARRAY(1,A305-2,_xlfn.LAMBDA(_xlpm.r,_xlpm.c,_xlpm.c))))</f>
        <v/>
      </c>
    </row>
    <row r="306" spans="2:2" x14ac:dyDescent="0.2">
      <c r="B306" t="str" cm="1">
        <f t="array" ref="B306">IF(A306="","",_xlfn.CHOOSECOLS('Prematch Backend 2A'!306:306,_xlfn.MAKEARRAY(1,A306-2,_xlfn.LAMBDA(_xlpm.r,_xlpm.c,_xlpm.c))))</f>
        <v/>
      </c>
    </row>
    <row r="307" spans="2:2" x14ac:dyDescent="0.2">
      <c r="B307" t="str" cm="1">
        <f t="array" ref="B307">IF(A307="","",_xlfn.CHOOSECOLS('Prematch Backend 2A'!307:307,_xlfn.MAKEARRAY(1,A307-2,_xlfn.LAMBDA(_xlpm.r,_xlpm.c,_xlpm.c))))</f>
        <v/>
      </c>
    </row>
    <row r="308" spans="2:2" x14ac:dyDescent="0.2">
      <c r="B308" t="str" cm="1">
        <f t="array" ref="B308">IF(A308="","",_xlfn.CHOOSECOLS('Prematch Backend 2A'!308:308,_xlfn.MAKEARRAY(1,A308-2,_xlfn.LAMBDA(_xlpm.r,_xlpm.c,_xlpm.c))))</f>
        <v/>
      </c>
    </row>
    <row r="309" spans="2:2" x14ac:dyDescent="0.2">
      <c r="B309" t="str" cm="1">
        <f t="array" ref="B309">IF(A309="","",_xlfn.CHOOSECOLS('Prematch Backend 2A'!309:309,_xlfn.MAKEARRAY(1,A309-2,_xlfn.LAMBDA(_xlpm.r,_xlpm.c,_xlpm.c))))</f>
        <v/>
      </c>
    </row>
    <row r="310" spans="2:2" x14ac:dyDescent="0.2">
      <c r="B310" t="str" cm="1">
        <f t="array" ref="B310">IF(A310="","",_xlfn.CHOOSECOLS('Prematch Backend 2A'!310:310,_xlfn.MAKEARRAY(1,A310-2,_xlfn.LAMBDA(_xlpm.r,_xlpm.c,_xlpm.c))))</f>
        <v/>
      </c>
    </row>
    <row r="311" spans="2:2" x14ac:dyDescent="0.2">
      <c r="B311" t="str" cm="1">
        <f t="array" ref="B311">IF(A311="","",_xlfn.CHOOSECOLS('Prematch Backend 2A'!311:311,_xlfn.MAKEARRAY(1,A311-2,_xlfn.LAMBDA(_xlpm.r,_xlpm.c,_xlpm.c))))</f>
        <v/>
      </c>
    </row>
    <row r="312" spans="2:2" x14ac:dyDescent="0.2">
      <c r="B312" t="str" cm="1">
        <f t="array" ref="B312">IF(A312="","",_xlfn.CHOOSECOLS('Prematch Backend 2A'!312:312,_xlfn.MAKEARRAY(1,A312-2,_xlfn.LAMBDA(_xlpm.r,_xlpm.c,_xlpm.c))))</f>
        <v/>
      </c>
    </row>
    <row r="313" spans="2:2" x14ac:dyDescent="0.2">
      <c r="B313" t="str" cm="1">
        <f t="array" ref="B313">IF(A313="","",_xlfn.CHOOSECOLS('Prematch Backend 2A'!313:313,_xlfn.MAKEARRAY(1,A313-2,_xlfn.LAMBDA(_xlpm.r,_xlpm.c,_xlpm.c))))</f>
        <v/>
      </c>
    </row>
    <row r="314" spans="2:2" x14ac:dyDescent="0.2">
      <c r="B314" t="str" cm="1">
        <f t="array" ref="B314">IF(A314="","",_xlfn.CHOOSECOLS('Prematch Backend 2A'!314:314,_xlfn.MAKEARRAY(1,A314-2,_xlfn.LAMBDA(_xlpm.r,_xlpm.c,_xlpm.c))))</f>
        <v/>
      </c>
    </row>
    <row r="315" spans="2:2" x14ac:dyDescent="0.2">
      <c r="B315" t="str" cm="1">
        <f t="array" ref="B315">IF(A315="","",_xlfn.CHOOSECOLS('Prematch Backend 2A'!315:315,_xlfn.MAKEARRAY(1,A315-2,_xlfn.LAMBDA(_xlpm.r,_xlpm.c,_xlpm.c))))</f>
        <v/>
      </c>
    </row>
    <row r="316" spans="2:2" x14ac:dyDescent="0.2">
      <c r="B316" t="str" cm="1">
        <f t="array" ref="B316">IF(A316="","",_xlfn.CHOOSECOLS('Prematch Backend 2A'!316:316,_xlfn.MAKEARRAY(1,A316-2,_xlfn.LAMBDA(_xlpm.r,_xlpm.c,_xlpm.c))))</f>
        <v/>
      </c>
    </row>
    <row r="317" spans="2:2" x14ac:dyDescent="0.2">
      <c r="B317" t="str" cm="1">
        <f t="array" ref="B317">IF(A317="","",_xlfn.CHOOSECOLS('Prematch Backend 2A'!317:317,_xlfn.MAKEARRAY(1,A317-2,_xlfn.LAMBDA(_xlpm.r,_xlpm.c,_xlpm.c))))</f>
        <v/>
      </c>
    </row>
    <row r="318" spans="2:2" x14ac:dyDescent="0.2">
      <c r="B318" t="str" cm="1">
        <f t="array" ref="B318">IF(A318="","",_xlfn.CHOOSECOLS('Prematch Backend 2A'!318:318,_xlfn.MAKEARRAY(1,A318-2,_xlfn.LAMBDA(_xlpm.r,_xlpm.c,_xlpm.c))))</f>
        <v/>
      </c>
    </row>
    <row r="319" spans="2:2" x14ac:dyDescent="0.2">
      <c r="B319" t="str" cm="1">
        <f t="array" ref="B319">IF(A319="","",_xlfn.CHOOSECOLS('Prematch Backend 2A'!319:319,_xlfn.MAKEARRAY(1,A319-2,_xlfn.LAMBDA(_xlpm.r,_xlpm.c,_xlpm.c))))</f>
        <v/>
      </c>
    </row>
    <row r="320" spans="2:2" x14ac:dyDescent="0.2">
      <c r="B320" t="str" cm="1">
        <f t="array" ref="B320">IF(A320="","",_xlfn.CHOOSECOLS('Prematch Backend 2A'!320:320,_xlfn.MAKEARRAY(1,A320-2,_xlfn.LAMBDA(_xlpm.r,_xlpm.c,_xlpm.c))))</f>
        <v/>
      </c>
    </row>
    <row r="321" spans="2:2" x14ac:dyDescent="0.2">
      <c r="B321" t="str" cm="1">
        <f t="array" ref="B321">IF(A321="","",_xlfn.CHOOSECOLS('Prematch Backend 2A'!321:321,_xlfn.MAKEARRAY(1,A321-2,_xlfn.LAMBDA(_xlpm.r,_xlpm.c,_xlpm.c))))</f>
        <v/>
      </c>
    </row>
    <row r="322" spans="2:2" x14ac:dyDescent="0.2">
      <c r="B322" t="str" cm="1">
        <f t="array" ref="B322">IF(A322="","",_xlfn.CHOOSECOLS('Prematch Backend 2A'!322:322,_xlfn.MAKEARRAY(1,A322-2,_xlfn.LAMBDA(_xlpm.r,_xlpm.c,_xlpm.c))))</f>
        <v/>
      </c>
    </row>
    <row r="323" spans="2:2" x14ac:dyDescent="0.2">
      <c r="B323" t="str" cm="1">
        <f t="array" ref="B323">IF(A323="","",_xlfn.CHOOSECOLS('Prematch Backend 2A'!323:323,_xlfn.MAKEARRAY(1,A323-2,_xlfn.LAMBDA(_xlpm.r,_xlpm.c,_xlpm.c))))</f>
        <v/>
      </c>
    </row>
    <row r="324" spans="2:2" x14ac:dyDescent="0.2">
      <c r="B324" t="str" cm="1">
        <f t="array" ref="B324">IF(A324="","",_xlfn.CHOOSECOLS('Prematch Backend 2A'!324:324,_xlfn.MAKEARRAY(1,A324-2,_xlfn.LAMBDA(_xlpm.r,_xlpm.c,_xlpm.c))))</f>
        <v/>
      </c>
    </row>
    <row r="325" spans="2:2" x14ac:dyDescent="0.2">
      <c r="B325" t="str" cm="1">
        <f t="array" ref="B325">IF(A325="","",_xlfn.CHOOSECOLS('Prematch Backend 2A'!325:325,_xlfn.MAKEARRAY(1,A325-2,_xlfn.LAMBDA(_xlpm.r,_xlpm.c,_xlpm.c))))</f>
        <v/>
      </c>
    </row>
    <row r="326" spans="2:2" x14ac:dyDescent="0.2">
      <c r="B326" t="str" cm="1">
        <f t="array" ref="B326">IF(A326="","",_xlfn.CHOOSECOLS('Prematch Backend 2A'!326:326,_xlfn.MAKEARRAY(1,A326-2,_xlfn.LAMBDA(_xlpm.r,_xlpm.c,_xlpm.c))))</f>
        <v/>
      </c>
    </row>
    <row r="327" spans="2:2" x14ac:dyDescent="0.2">
      <c r="B327" t="str" cm="1">
        <f t="array" ref="B327">IF(A327="","",_xlfn.CHOOSECOLS('Prematch Backend 2A'!327:327,_xlfn.MAKEARRAY(1,A327-2,_xlfn.LAMBDA(_xlpm.r,_xlpm.c,_xlpm.c))))</f>
        <v/>
      </c>
    </row>
    <row r="328" spans="2:2" x14ac:dyDescent="0.2">
      <c r="B328" t="str" cm="1">
        <f t="array" ref="B328">IF(A328="","",_xlfn.CHOOSECOLS('Prematch Backend 2A'!328:328,_xlfn.MAKEARRAY(1,A328-2,_xlfn.LAMBDA(_xlpm.r,_xlpm.c,_xlpm.c))))</f>
        <v/>
      </c>
    </row>
    <row r="329" spans="2:2" x14ac:dyDescent="0.2">
      <c r="B329" t="str" cm="1">
        <f t="array" ref="B329">IF(A329="","",_xlfn.CHOOSECOLS('Prematch Backend 2A'!329:329,_xlfn.MAKEARRAY(1,A329-2,_xlfn.LAMBDA(_xlpm.r,_xlpm.c,_xlpm.c))))</f>
        <v/>
      </c>
    </row>
    <row r="330" spans="2:2" x14ac:dyDescent="0.2">
      <c r="B330" t="str" cm="1">
        <f t="array" ref="B330">IF(A330="","",_xlfn.CHOOSECOLS('Prematch Backend 2A'!330:330,_xlfn.MAKEARRAY(1,A330-2,_xlfn.LAMBDA(_xlpm.r,_xlpm.c,_xlpm.c))))</f>
        <v/>
      </c>
    </row>
    <row r="331" spans="2:2" x14ac:dyDescent="0.2">
      <c r="B331" t="str" cm="1">
        <f t="array" ref="B331">IF(A331="","",_xlfn.CHOOSECOLS('Prematch Backend 2A'!331:331,_xlfn.MAKEARRAY(1,A331-2,_xlfn.LAMBDA(_xlpm.r,_xlpm.c,_xlpm.c))))</f>
        <v/>
      </c>
    </row>
    <row r="332" spans="2:2" x14ac:dyDescent="0.2">
      <c r="B332" t="str" cm="1">
        <f t="array" ref="B332">IF(A332="","",_xlfn.CHOOSECOLS('Prematch Backend 2A'!332:332,_xlfn.MAKEARRAY(1,A332-2,_xlfn.LAMBDA(_xlpm.r,_xlpm.c,_xlpm.c))))</f>
        <v/>
      </c>
    </row>
    <row r="333" spans="2:2" x14ac:dyDescent="0.2">
      <c r="B333" t="str" cm="1">
        <f t="array" ref="B333">IF(A333="","",_xlfn.CHOOSECOLS('Prematch Backend 2A'!333:333,_xlfn.MAKEARRAY(1,A333-2,_xlfn.LAMBDA(_xlpm.r,_xlpm.c,_xlpm.c))))</f>
        <v/>
      </c>
    </row>
    <row r="334" spans="2:2" x14ac:dyDescent="0.2">
      <c r="B334" t="str" cm="1">
        <f t="array" ref="B334">IF(A334="","",_xlfn.CHOOSECOLS('Prematch Backend 2A'!334:334,_xlfn.MAKEARRAY(1,A334-2,_xlfn.LAMBDA(_xlpm.r,_xlpm.c,_xlpm.c))))</f>
        <v/>
      </c>
    </row>
    <row r="335" spans="2:2" x14ac:dyDescent="0.2">
      <c r="B335" t="str" cm="1">
        <f t="array" ref="B335">IF(A335="","",_xlfn.CHOOSECOLS('Prematch Backend 2A'!335:335,_xlfn.MAKEARRAY(1,A335-2,_xlfn.LAMBDA(_xlpm.r,_xlpm.c,_xlpm.c))))</f>
        <v/>
      </c>
    </row>
    <row r="336" spans="2:2" x14ac:dyDescent="0.2">
      <c r="B336" t="str" cm="1">
        <f t="array" ref="B336">IF(A336="","",_xlfn.CHOOSECOLS('Prematch Backend 2A'!336:336,_xlfn.MAKEARRAY(1,A336-2,_xlfn.LAMBDA(_xlpm.r,_xlpm.c,_xlpm.c))))</f>
        <v/>
      </c>
    </row>
    <row r="337" spans="2:2" x14ac:dyDescent="0.2">
      <c r="B337" t="str" cm="1">
        <f t="array" ref="B337">IF(A337="","",_xlfn.CHOOSECOLS('Prematch Backend 2A'!337:337,_xlfn.MAKEARRAY(1,A337-2,_xlfn.LAMBDA(_xlpm.r,_xlpm.c,_xlpm.c))))</f>
        <v/>
      </c>
    </row>
    <row r="338" spans="2:2" x14ac:dyDescent="0.2">
      <c r="B338" t="str" cm="1">
        <f t="array" ref="B338">IF(A338="","",_xlfn.CHOOSECOLS('Prematch Backend 2A'!338:338,_xlfn.MAKEARRAY(1,A338-2,_xlfn.LAMBDA(_xlpm.r,_xlpm.c,_xlpm.c))))</f>
        <v/>
      </c>
    </row>
    <row r="339" spans="2:2" x14ac:dyDescent="0.2">
      <c r="B339" t="str" cm="1">
        <f t="array" ref="B339">IF(A339="","",_xlfn.CHOOSECOLS('Prematch Backend 2A'!339:339,_xlfn.MAKEARRAY(1,A339-2,_xlfn.LAMBDA(_xlpm.r,_xlpm.c,_xlpm.c))))</f>
        <v/>
      </c>
    </row>
    <row r="340" spans="2:2" x14ac:dyDescent="0.2">
      <c r="B340" t="str" cm="1">
        <f t="array" ref="B340">IF(A340="","",_xlfn.CHOOSECOLS('Prematch Backend 2A'!340:340,_xlfn.MAKEARRAY(1,A340-2,_xlfn.LAMBDA(_xlpm.r,_xlpm.c,_xlpm.c))))</f>
        <v/>
      </c>
    </row>
    <row r="341" spans="2:2" x14ac:dyDescent="0.2">
      <c r="B341" t="str" cm="1">
        <f t="array" ref="B341">IF(A341="","",_xlfn.CHOOSECOLS('Prematch Backend 2A'!341:341,_xlfn.MAKEARRAY(1,A341-2,_xlfn.LAMBDA(_xlpm.r,_xlpm.c,_xlpm.c))))</f>
        <v/>
      </c>
    </row>
    <row r="342" spans="2:2" x14ac:dyDescent="0.2">
      <c r="B342" t="str" cm="1">
        <f t="array" ref="B342">IF(A342="","",_xlfn.CHOOSECOLS('Prematch Backend 2A'!342:342,_xlfn.MAKEARRAY(1,A342-2,_xlfn.LAMBDA(_xlpm.r,_xlpm.c,_xlpm.c))))</f>
        <v/>
      </c>
    </row>
    <row r="343" spans="2:2" x14ac:dyDescent="0.2">
      <c r="B343" t="str" cm="1">
        <f t="array" ref="B343">IF(A343="","",_xlfn.CHOOSECOLS('Prematch Backend 2A'!343:343,_xlfn.MAKEARRAY(1,A343-2,_xlfn.LAMBDA(_xlpm.r,_xlpm.c,_xlpm.c))))</f>
        <v/>
      </c>
    </row>
    <row r="344" spans="2:2" x14ac:dyDescent="0.2">
      <c r="B344" t="str" cm="1">
        <f t="array" ref="B344">IF(A344="","",_xlfn.CHOOSECOLS('Prematch Backend 2A'!344:344,_xlfn.MAKEARRAY(1,A344-2,_xlfn.LAMBDA(_xlpm.r,_xlpm.c,_xlpm.c))))</f>
        <v/>
      </c>
    </row>
    <row r="345" spans="2:2" x14ac:dyDescent="0.2">
      <c r="B345" t="str" cm="1">
        <f t="array" ref="B345">IF(A345="","",_xlfn.CHOOSECOLS('Prematch Backend 2A'!345:345,_xlfn.MAKEARRAY(1,A345-2,_xlfn.LAMBDA(_xlpm.r,_xlpm.c,_xlpm.c))))</f>
        <v/>
      </c>
    </row>
    <row r="346" spans="2:2" x14ac:dyDescent="0.2">
      <c r="B346" t="str" cm="1">
        <f t="array" ref="B346">IF(A346="","",_xlfn.CHOOSECOLS('Prematch Backend 2A'!346:346,_xlfn.MAKEARRAY(1,A346-2,_xlfn.LAMBDA(_xlpm.r,_xlpm.c,_xlpm.c))))</f>
        <v/>
      </c>
    </row>
    <row r="347" spans="2:2" x14ac:dyDescent="0.2">
      <c r="B347" t="str" cm="1">
        <f t="array" ref="B347">IF(A347="","",_xlfn.CHOOSECOLS('Prematch Backend 2A'!347:347,_xlfn.MAKEARRAY(1,A347-2,_xlfn.LAMBDA(_xlpm.r,_xlpm.c,_xlpm.c))))</f>
        <v/>
      </c>
    </row>
    <row r="348" spans="2:2" x14ac:dyDescent="0.2">
      <c r="B348" t="str" cm="1">
        <f t="array" ref="B348">IF(A348="","",_xlfn.CHOOSECOLS('Prematch Backend 2A'!348:348,_xlfn.MAKEARRAY(1,A348-2,_xlfn.LAMBDA(_xlpm.r,_xlpm.c,_xlpm.c))))</f>
        <v/>
      </c>
    </row>
    <row r="349" spans="2:2" x14ac:dyDescent="0.2">
      <c r="B349" t="str" cm="1">
        <f t="array" ref="B349">IF(A349="","",_xlfn.CHOOSECOLS('Prematch Backend 2A'!349:349,_xlfn.MAKEARRAY(1,A349-2,_xlfn.LAMBDA(_xlpm.r,_xlpm.c,_xlpm.c))))</f>
        <v/>
      </c>
    </row>
    <row r="350" spans="2:2" x14ac:dyDescent="0.2">
      <c r="B350" t="str" cm="1">
        <f t="array" ref="B350">IF(A350="","",_xlfn.CHOOSECOLS('Prematch Backend 2A'!350:350,_xlfn.MAKEARRAY(1,A350-2,_xlfn.LAMBDA(_xlpm.r,_xlpm.c,_xlpm.c))))</f>
        <v/>
      </c>
    </row>
    <row r="351" spans="2:2" x14ac:dyDescent="0.2">
      <c r="B351" t="str" cm="1">
        <f t="array" ref="B351">IF(A351="","",_xlfn.CHOOSECOLS('Prematch Backend 2A'!351:351,_xlfn.MAKEARRAY(1,A351-2,_xlfn.LAMBDA(_xlpm.r,_xlpm.c,_xlpm.c))))</f>
        <v/>
      </c>
    </row>
    <row r="352" spans="2:2" x14ac:dyDescent="0.2">
      <c r="B352" t="str" cm="1">
        <f t="array" ref="B352">IF(A352="","",_xlfn.CHOOSECOLS('Prematch Backend 2A'!352:352,_xlfn.MAKEARRAY(1,A352-2,_xlfn.LAMBDA(_xlpm.r,_xlpm.c,_xlpm.c))))</f>
        <v/>
      </c>
    </row>
    <row r="353" spans="2:2" x14ac:dyDescent="0.2">
      <c r="B353" t="str" cm="1">
        <f t="array" ref="B353">IF(A353="","",_xlfn.CHOOSECOLS('Prematch Backend 2A'!353:353,_xlfn.MAKEARRAY(1,A353-2,_xlfn.LAMBDA(_xlpm.r,_xlpm.c,_xlpm.c))))</f>
        <v/>
      </c>
    </row>
    <row r="354" spans="2:2" x14ac:dyDescent="0.2">
      <c r="B354" t="str" cm="1">
        <f t="array" ref="B354">IF(A354="","",_xlfn.CHOOSECOLS('Prematch Backend 2A'!354:354,_xlfn.MAKEARRAY(1,A354-2,_xlfn.LAMBDA(_xlpm.r,_xlpm.c,_xlpm.c))))</f>
        <v/>
      </c>
    </row>
    <row r="355" spans="2:2" x14ac:dyDescent="0.2">
      <c r="B355" t="str" cm="1">
        <f t="array" ref="B355">IF(A355="","",_xlfn.CHOOSECOLS('Prematch Backend 2A'!355:355,_xlfn.MAKEARRAY(1,A355-2,_xlfn.LAMBDA(_xlpm.r,_xlpm.c,_xlpm.c))))</f>
        <v/>
      </c>
    </row>
    <row r="356" spans="2:2" x14ac:dyDescent="0.2">
      <c r="B356" t="str" cm="1">
        <f t="array" ref="B356">IF(A356="","",_xlfn.CHOOSECOLS('Prematch Backend 2A'!356:356,_xlfn.MAKEARRAY(1,A356-2,_xlfn.LAMBDA(_xlpm.r,_xlpm.c,_xlpm.c))))</f>
        <v/>
      </c>
    </row>
    <row r="357" spans="2:2" x14ac:dyDescent="0.2">
      <c r="B357" t="str" cm="1">
        <f t="array" ref="B357">IF(A357="","",_xlfn.CHOOSECOLS('Prematch Backend 2A'!357:357,_xlfn.MAKEARRAY(1,A357-2,_xlfn.LAMBDA(_xlpm.r,_xlpm.c,_xlpm.c))))</f>
        <v/>
      </c>
    </row>
    <row r="358" spans="2:2" x14ac:dyDescent="0.2">
      <c r="B358" t="str" cm="1">
        <f t="array" ref="B358">IF(A358="","",_xlfn.CHOOSECOLS('Prematch Backend 2A'!358:358,_xlfn.MAKEARRAY(1,A358-2,_xlfn.LAMBDA(_xlpm.r,_xlpm.c,_xlpm.c))))</f>
        <v/>
      </c>
    </row>
    <row r="359" spans="2:2" x14ac:dyDescent="0.2">
      <c r="B359" t="str" cm="1">
        <f t="array" ref="B359">IF(A359="","",_xlfn.CHOOSECOLS('Prematch Backend 2A'!359:359,_xlfn.MAKEARRAY(1,A359-2,_xlfn.LAMBDA(_xlpm.r,_xlpm.c,_xlpm.c))))</f>
        <v/>
      </c>
    </row>
    <row r="360" spans="2:2" x14ac:dyDescent="0.2">
      <c r="B360" t="str" cm="1">
        <f t="array" ref="B360">IF(A360="","",_xlfn.CHOOSECOLS('Prematch Backend 2A'!360:360,_xlfn.MAKEARRAY(1,A360-2,_xlfn.LAMBDA(_xlpm.r,_xlpm.c,_xlpm.c))))</f>
        <v/>
      </c>
    </row>
    <row r="361" spans="2:2" x14ac:dyDescent="0.2">
      <c r="B361" t="str" cm="1">
        <f t="array" ref="B361">IF(A361="","",_xlfn.CHOOSECOLS('Prematch Backend 2A'!361:361,_xlfn.MAKEARRAY(1,A361-2,_xlfn.LAMBDA(_xlpm.r,_xlpm.c,_xlpm.c))))</f>
        <v/>
      </c>
    </row>
    <row r="362" spans="2:2" x14ac:dyDescent="0.2">
      <c r="B362" t="str" cm="1">
        <f t="array" ref="B362">IF(A362="","",_xlfn.CHOOSECOLS('Prematch Backend 2A'!362:362,_xlfn.MAKEARRAY(1,A362-2,_xlfn.LAMBDA(_xlpm.r,_xlpm.c,_xlpm.c))))</f>
        <v/>
      </c>
    </row>
    <row r="363" spans="2:2" x14ac:dyDescent="0.2">
      <c r="B363" t="str" cm="1">
        <f t="array" ref="B363">IF(A363="","",_xlfn.CHOOSECOLS('Prematch Backend 2A'!363:363,_xlfn.MAKEARRAY(1,A363-2,_xlfn.LAMBDA(_xlpm.r,_xlpm.c,_xlpm.c))))</f>
        <v/>
      </c>
    </row>
    <row r="364" spans="2:2" x14ac:dyDescent="0.2">
      <c r="B364" t="str" cm="1">
        <f t="array" ref="B364">IF(A364="","",_xlfn.CHOOSECOLS('Prematch Backend 2A'!364:364,_xlfn.MAKEARRAY(1,A364-2,_xlfn.LAMBDA(_xlpm.r,_xlpm.c,_xlpm.c))))</f>
        <v/>
      </c>
    </row>
    <row r="365" spans="2:2" x14ac:dyDescent="0.2">
      <c r="B365" t="str" cm="1">
        <f t="array" ref="B365">IF(A365="","",_xlfn.CHOOSECOLS('Prematch Backend 2A'!365:365,_xlfn.MAKEARRAY(1,A365-2,_xlfn.LAMBDA(_xlpm.r,_xlpm.c,_xlpm.c))))</f>
        <v/>
      </c>
    </row>
    <row r="366" spans="2:2" x14ac:dyDescent="0.2">
      <c r="B366" t="str" cm="1">
        <f t="array" ref="B366">IF(A366="","",_xlfn.CHOOSECOLS('Prematch Backend 2A'!366:366,_xlfn.MAKEARRAY(1,A366-2,_xlfn.LAMBDA(_xlpm.r,_xlpm.c,_xlpm.c))))</f>
        <v/>
      </c>
    </row>
    <row r="367" spans="2:2" x14ac:dyDescent="0.2">
      <c r="B367" t="str" cm="1">
        <f t="array" ref="B367">IF(A367="","",_xlfn.CHOOSECOLS('Prematch Backend 2A'!367:367,_xlfn.MAKEARRAY(1,A367-2,_xlfn.LAMBDA(_xlpm.r,_xlpm.c,_xlpm.c))))</f>
        <v/>
      </c>
    </row>
    <row r="368" spans="2:2" x14ac:dyDescent="0.2">
      <c r="B368" t="str" cm="1">
        <f t="array" ref="B368">IF(A368="","",_xlfn.CHOOSECOLS('Prematch Backend 2A'!368:368,_xlfn.MAKEARRAY(1,A368-2,_xlfn.LAMBDA(_xlpm.r,_xlpm.c,_xlpm.c))))</f>
        <v/>
      </c>
    </row>
    <row r="369" spans="2:2" x14ac:dyDescent="0.2">
      <c r="B369" t="str" cm="1">
        <f t="array" ref="B369">IF(A369="","",_xlfn.CHOOSECOLS('Prematch Backend 2A'!369:369,_xlfn.MAKEARRAY(1,A369-2,_xlfn.LAMBDA(_xlpm.r,_xlpm.c,_xlpm.c))))</f>
        <v/>
      </c>
    </row>
    <row r="370" spans="2:2" x14ac:dyDescent="0.2">
      <c r="B370" t="str" cm="1">
        <f t="array" ref="B370">IF(A370="","",_xlfn.CHOOSECOLS('Prematch Backend 2A'!370:370,_xlfn.MAKEARRAY(1,A370-2,_xlfn.LAMBDA(_xlpm.r,_xlpm.c,_xlpm.c))))</f>
        <v/>
      </c>
    </row>
    <row r="371" spans="2:2" x14ac:dyDescent="0.2">
      <c r="B371" t="str" cm="1">
        <f t="array" ref="B371">IF(A371="","",_xlfn.CHOOSECOLS('Prematch Backend 2A'!371:371,_xlfn.MAKEARRAY(1,A371-2,_xlfn.LAMBDA(_xlpm.r,_xlpm.c,_xlpm.c))))</f>
        <v/>
      </c>
    </row>
    <row r="372" spans="2:2" x14ac:dyDescent="0.2">
      <c r="B372" t="str" cm="1">
        <f t="array" ref="B372">IF(A372="","",_xlfn.CHOOSECOLS('Prematch Backend 2A'!372:372,_xlfn.MAKEARRAY(1,A372-2,_xlfn.LAMBDA(_xlpm.r,_xlpm.c,_xlpm.c))))</f>
        <v/>
      </c>
    </row>
    <row r="373" spans="2:2" x14ac:dyDescent="0.2">
      <c r="B373" t="str" cm="1">
        <f t="array" ref="B373">IF(A373="","",_xlfn.CHOOSECOLS('Prematch Backend 2A'!373:373,_xlfn.MAKEARRAY(1,A373-2,_xlfn.LAMBDA(_xlpm.r,_xlpm.c,_xlpm.c))))</f>
        <v/>
      </c>
    </row>
    <row r="374" spans="2:2" x14ac:dyDescent="0.2">
      <c r="B374" t="str" cm="1">
        <f t="array" ref="B374">IF(A374="","",_xlfn.CHOOSECOLS('Prematch Backend 2A'!374:374,_xlfn.MAKEARRAY(1,A374-2,_xlfn.LAMBDA(_xlpm.r,_xlpm.c,_xlpm.c))))</f>
        <v/>
      </c>
    </row>
    <row r="375" spans="2:2" x14ac:dyDescent="0.2">
      <c r="B375" t="str" cm="1">
        <f t="array" ref="B375">IF(A375="","",_xlfn.CHOOSECOLS('Prematch Backend 2A'!375:375,_xlfn.MAKEARRAY(1,A375-2,_xlfn.LAMBDA(_xlpm.r,_xlpm.c,_xlpm.c))))</f>
        <v/>
      </c>
    </row>
    <row r="376" spans="2:2" x14ac:dyDescent="0.2">
      <c r="B376" t="str" cm="1">
        <f t="array" ref="B376">IF(A376="","",_xlfn.CHOOSECOLS('Prematch Backend 2A'!376:376,_xlfn.MAKEARRAY(1,A376-2,_xlfn.LAMBDA(_xlpm.r,_xlpm.c,_xlpm.c))))</f>
        <v/>
      </c>
    </row>
    <row r="377" spans="2:2" x14ac:dyDescent="0.2">
      <c r="B377" t="str" cm="1">
        <f t="array" ref="B377">IF(A377="","",_xlfn.CHOOSECOLS('Prematch Backend 2A'!377:377,_xlfn.MAKEARRAY(1,A377-2,_xlfn.LAMBDA(_xlpm.r,_xlpm.c,_xlpm.c))))</f>
        <v/>
      </c>
    </row>
    <row r="378" spans="2:2" x14ac:dyDescent="0.2">
      <c r="B378" t="str" cm="1">
        <f t="array" ref="B378">IF(A378="","",_xlfn.CHOOSECOLS('Prematch Backend 2A'!378:378,_xlfn.MAKEARRAY(1,A378-2,_xlfn.LAMBDA(_xlpm.r,_xlpm.c,_xlpm.c))))</f>
        <v/>
      </c>
    </row>
    <row r="379" spans="2:2" x14ac:dyDescent="0.2">
      <c r="B379" t="str" cm="1">
        <f t="array" ref="B379">IF(A379="","",_xlfn.CHOOSECOLS('Prematch Backend 2A'!379:379,_xlfn.MAKEARRAY(1,A379-2,_xlfn.LAMBDA(_xlpm.r,_xlpm.c,_xlpm.c))))</f>
        <v/>
      </c>
    </row>
    <row r="380" spans="2:2" x14ac:dyDescent="0.2">
      <c r="B380" t="str" cm="1">
        <f t="array" ref="B380">IF(A380="","",_xlfn.CHOOSECOLS('Prematch Backend 2A'!380:380,_xlfn.MAKEARRAY(1,A380-2,_xlfn.LAMBDA(_xlpm.r,_xlpm.c,_xlpm.c))))</f>
        <v/>
      </c>
    </row>
    <row r="381" spans="2:2" x14ac:dyDescent="0.2">
      <c r="B381" t="str" cm="1">
        <f t="array" ref="B381">IF(A381="","",_xlfn.CHOOSECOLS('Prematch Backend 2A'!381:381,_xlfn.MAKEARRAY(1,A381-2,_xlfn.LAMBDA(_xlpm.r,_xlpm.c,_xlpm.c))))</f>
        <v/>
      </c>
    </row>
    <row r="382" spans="2:2" x14ac:dyDescent="0.2">
      <c r="B382" t="str" cm="1">
        <f t="array" ref="B382">IF(A382="","",_xlfn.CHOOSECOLS('Prematch Backend 2A'!382:382,_xlfn.MAKEARRAY(1,A382-2,_xlfn.LAMBDA(_xlpm.r,_xlpm.c,_xlpm.c))))</f>
        <v/>
      </c>
    </row>
    <row r="383" spans="2:2" x14ac:dyDescent="0.2">
      <c r="B383" t="str" cm="1">
        <f t="array" ref="B383">IF(A383="","",_xlfn.CHOOSECOLS('Prematch Backend 2A'!383:383,_xlfn.MAKEARRAY(1,A383-2,_xlfn.LAMBDA(_xlpm.r,_xlpm.c,_xlpm.c))))</f>
        <v/>
      </c>
    </row>
    <row r="384" spans="2:2" x14ac:dyDescent="0.2">
      <c r="B384" t="str" cm="1">
        <f t="array" ref="B384">IF(A384="","",_xlfn.CHOOSECOLS('Prematch Backend 2A'!384:384,_xlfn.MAKEARRAY(1,A384-2,_xlfn.LAMBDA(_xlpm.r,_xlpm.c,_xlpm.c))))</f>
        <v/>
      </c>
    </row>
    <row r="385" spans="2:2" x14ac:dyDescent="0.2">
      <c r="B385" t="str" cm="1">
        <f t="array" ref="B385">IF(A385="","",_xlfn.CHOOSECOLS('Prematch Backend 2A'!385:385,_xlfn.MAKEARRAY(1,A385-2,_xlfn.LAMBDA(_xlpm.r,_xlpm.c,_xlpm.c))))</f>
        <v/>
      </c>
    </row>
    <row r="386" spans="2:2" x14ac:dyDescent="0.2">
      <c r="B386" t="str" cm="1">
        <f t="array" ref="B386">IF(A386="","",_xlfn.CHOOSECOLS('Prematch Backend 2A'!386:386,_xlfn.MAKEARRAY(1,A386-2,_xlfn.LAMBDA(_xlpm.r,_xlpm.c,_xlpm.c))))</f>
        <v/>
      </c>
    </row>
    <row r="387" spans="2:2" x14ac:dyDescent="0.2">
      <c r="B387" t="str" cm="1">
        <f t="array" ref="B387">IF(A387="","",_xlfn.CHOOSECOLS('Prematch Backend 2A'!387:387,_xlfn.MAKEARRAY(1,A387-2,_xlfn.LAMBDA(_xlpm.r,_xlpm.c,_xlpm.c))))</f>
        <v/>
      </c>
    </row>
    <row r="388" spans="2:2" x14ac:dyDescent="0.2">
      <c r="B388" t="str" cm="1">
        <f t="array" ref="B388">IF(A388="","",_xlfn.CHOOSECOLS('Prematch Backend 2A'!388:388,_xlfn.MAKEARRAY(1,A388-2,_xlfn.LAMBDA(_xlpm.r,_xlpm.c,_xlpm.c))))</f>
        <v/>
      </c>
    </row>
    <row r="389" spans="2:2" x14ac:dyDescent="0.2">
      <c r="B389" t="str" cm="1">
        <f t="array" ref="B389">IF(A389="","",_xlfn.CHOOSECOLS('Prematch Backend 2A'!389:389,_xlfn.MAKEARRAY(1,A389-2,_xlfn.LAMBDA(_xlpm.r,_xlpm.c,_xlpm.c))))</f>
        <v/>
      </c>
    </row>
    <row r="390" spans="2:2" x14ac:dyDescent="0.2">
      <c r="B390" t="str" cm="1">
        <f t="array" ref="B390">IF(A390="","",_xlfn.CHOOSECOLS('Prematch Backend 2A'!390:390,_xlfn.MAKEARRAY(1,A390-2,_xlfn.LAMBDA(_xlpm.r,_xlpm.c,_xlpm.c))))</f>
        <v/>
      </c>
    </row>
    <row r="391" spans="2:2" x14ac:dyDescent="0.2">
      <c r="B391" t="str" cm="1">
        <f t="array" ref="B391">IF(A391="","",_xlfn.CHOOSECOLS('Prematch Backend 2A'!391:391,_xlfn.MAKEARRAY(1,A391-2,_xlfn.LAMBDA(_xlpm.r,_xlpm.c,_xlpm.c))))</f>
        <v/>
      </c>
    </row>
    <row r="392" spans="2:2" x14ac:dyDescent="0.2">
      <c r="B392" t="str" cm="1">
        <f t="array" ref="B392">IF(A392="","",_xlfn.CHOOSECOLS('Prematch Backend 2A'!392:392,_xlfn.MAKEARRAY(1,A392-2,_xlfn.LAMBDA(_xlpm.r,_xlpm.c,_xlpm.c))))</f>
        <v/>
      </c>
    </row>
    <row r="393" spans="2:2" x14ac:dyDescent="0.2">
      <c r="B393" t="str" cm="1">
        <f t="array" ref="B393">IF(A393="","",_xlfn.CHOOSECOLS('Prematch Backend 2A'!393:393,_xlfn.MAKEARRAY(1,A393-2,_xlfn.LAMBDA(_xlpm.r,_xlpm.c,_xlpm.c))))</f>
        <v/>
      </c>
    </row>
    <row r="394" spans="2:2" x14ac:dyDescent="0.2">
      <c r="B394" t="str" cm="1">
        <f t="array" ref="B394">IF(A394="","",_xlfn.CHOOSECOLS('Prematch Backend 2A'!394:394,_xlfn.MAKEARRAY(1,A394-2,_xlfn.LAMBDA(_xlpm.r,_xlpm.c,_xlpm.c))))</f>
        <v/>
      </c>
    </row>
    <row r="395" spans="2:2" x14ac:dyDescent="0.2">
      <c r="B395" t="str" cm="1">
        <f t="array" ref="B395">IF(A395="","",_xlfn.CHOOSECOLS('Prematch Backend 2A'!395:395,_xlfn.MAKEARRAY(1,A395-2,_xlfn.LAMBDA(_xlpm.r,_xlpm.c,_xlpm.c))))</f>
        <v/>
      </c>
    </row>
    <row r="396" spans="2:2" x14ac:dyDescent="0.2">
      <c r="B396" t="str" cm="1">
        <f t="array" ref="B396">IF(A396="","",_xlfn.CHOOSECOLS('Prematch Backend 2A'!396:396,_xlfn.MAKEARRAY(1,A396-2,_xlfn.LAMBDA(_xlpm.r,_xlpm.c,_xlpm.c))))</f>
        <v/>
      </c>
    </row>
    <row r="397" spans="2:2" x14ac:dyDescent="0.2">
      <c r="B397" t="str" cm="1">
        <f t="array" ref="B397">IF(A397="","",_xlfn.CHOOSECOLS('Prematch Backend 2A'!397:397,_xlfn.MAKEARRAY(1,A397-2,_xlfn.LAMBDA(_xlpm.r,_xlpm.c,_xlpm.c))))</f>
        <v/>
      </c>
    </row>
    <row r="398" spans="2:2" x14ac:dyDescent="0.2">
      <c r="B398" t="str" cm="1">
        <f t="array" ref="B398">IF(A398="","",_xlfn.CHOOSECOLS('Prematch Backend 2A'!398:398,_xlfn.MAKEARRAY(1,A398-2,_xlfn.LAMBDA(_xlpm.r,_xlpm.c,_xlpm.c))))</f>
        <v/>
      </c>
    </row>
    <row r="399" spans="2:2" x14ac:dyDescent="0.2">
      <c r="B399" t="str" cm="1">
        <f t="array" ref="B399">IF(A399="","",_xlfn.CHOOSECOLS('Prematch Backend 2A'!399:399,_xlfn.MAKEARRAY(1,A399-2,_xlfn.LAMBDA(_xlpm.r,_xlpm.c,_xlpm.c))))</f>
        <v/>
      </c>
    </row>
    <row r="400" spans="2:2" x14ac:dyDescent="0.2">
      <c r="B400" t="str" cm="1">
        <f t="array" ref="B400">IF(A400="","",_xlfn.CHOOSECOLS('Prematch Backend 2A'!400:400,_xlfn.MAKEARRAY(1,A400-2,_xlfn.LAMBDA(_xlpm.r,_xlpm.c,_xlpm.c))))</f>
        <v/>
      </c>
    </row>
    <row r="401" spans="2:2" x14ac:dyDescent="0.2">
      <c r="B401" t="str" cm="1">
        <f t="array" ref="B401">IF(A401="","",_xlfn.CHOOSECOLS('Prematch Backend 2A'!401:401,_xlfn.MAKEARRAY(1,A401-2,_xlfn.LAMBDA(_xlpm.r,_xlpm.c,_xlpm.c))))</f>
        <v/>
      </c>
    </row>
    <row r="402" spans="2:2" x14ac:dyDescent="0.2">
      <c r="B402" t="str" cm="1">
        <f t="array" ref="B402">IF(A402="","",_xlfn.CHOOSECOLS('Prematch Backend 2A'!402:402,_xlfn.MAKEARRAY(1,A402-2,_xlfn.LAMBDA(_xlpm.r,_xlpm.c,_xlpm.c))))</f>
        <v/>
      </c>
    </row>
    <row r="403" spans="2:2" x14ac:dyDescent="0.2">
      <c r="B403" t="str" cm="1">
        <f t="array" ref="B403">IF(A403="","",_xlfn.CHOOSECOLS('Prematch Backend 2A'!403:403,_xlfn.MAKEARRAY(1,A403-2,_xlfn.LAMBDA(_xlpm.r,_xlpm.c,_xlpm.c))))</f>
        <v/>
      </c>
    </row>
    <row r="404" spans="2:2" x14ac:dyDescent="0.2">
      <c r="B404" t="str" cm="1">
        <f t="array" ref="B404">IF(A404="","",_xlfn.CHOOSECOLS('Prematch Backend 2A'!404:404,_xlfn.MAKEARRAY(1,A404-2,_xlfn.LAMBDA(_xlpm.r,_xlpm.c,_xlpm.c))))</f>
        <v/>
      </c>
    </row>
    <row r="405" spans="2:2" x14ac:dyDescent="0.2">
      <c r="B405" t="str" cm="1">
        <f t="array" ref="B405">IF(A405="","",_xlfn.CHOOSECOLS('Prematch Backend 2A'!405:405,_xlfn.MAKEARRAY(1,A405-2,_xlfn.LAMBDA(_xlpm.r,_xlpm.c,_xlpm.c))))</f>
        <v/>
      </c>
    </row>
    <row r="406" spans="2:2" x14ac:dyDescent="0.2">
      <c r="B406" t="str" cm="1">
        <f t="array" ref="B406">IF(A406="","",_xlfn.CHOOSECOLS('Prematch Backend 2A'!406:406,_xlfn.MAKEARRAY(1,A406-2,_xlfn.LAMBDA(_xlpm.r,_xlpm.c,_xlpm.c))))</f>
        <v/>
      </c>
    </row>
    <row r="407" spans="2:2" x14ac:dyDescent="0.2">
      <c r="B407" t="str" cm="1">
        <f t="array" ref="B407">IF(A407="","",_xlfn.CHOOSECOLS('Prematch Backend 2A'!407:407,_xlfn.MAKEARRAY(1,A407-2,_xlfn.LAMBDA(_xlpm.r,_xlpm.c,_xlpm.c))))</f>
        <v/>
      </c>
    </row>
    <row r="408" spans="2:2" x14ac:dyDescent="0.2">
      <c r="B408" t="str" cm="1">
        <f t="array" ref="B408">IF(A408="","",_xlfn.CHOOSECOLS('Prematch Backend 2A'!408:408,_xlfn.MAKEARRAY(1,A408-2,_xlfn.LAMBDA(_xlpm.r,_xlpm.c,_xlpm.c))))</f>
        <v/>
      </c>
    </row>
    <row r="409" spans="2:2" x14ac:dyDescent="0.2">
      <c r="B409" t="str" cm="1">
        <f t="array" ref="B409">IF(A409="","",_xlfn.CHOOSECOLS('Prematch Backend 2A'!409:409,_xlfn.MAKEARRAY(1,A409-2,_xlfn.LAMBDA(_xlpm.r,_xlpm.c,_xlpm.c))))</f>
        <v/>
      </c>
    </row>
    <row r="410" spans="2:2" x14ac:dyDescent="0.2">
      <c r="B410" t="str" cm="1">
        <f t="array" ref="B410">IF(A410="","",_xlfn.CHOOSECOLS('Prematch Backend 2A'!410:410,_xlfn.MAKEARRAY(1,A410-2,_xlfn.LAMBDA(_xlpm.r,_xlpm.c,_xlpm.c))))</f>
        <v/>
      </c>
    </row>
    <row r="411" spans="2:2" x14ac:dyDescent="0.2">
      <c r="B411" t="str" cm="1">
        <f t="array" ref="B411">IF(A411="","",_xlfn.CHOOSECOLS('Prematch Backend 2A'!411:411,_xlfn.MAKEARRAY(1,A411-2,_xlfn.LAMBDA(_xlpm.r,_xlpm.c,_xlpm.c))))</f>
        <v/>
      </c>
    </row>
    <row r="412" spans="2:2" x14ac:dyDescent="0.2">
      <c r="B412" t="str" cm="1">
        <f t="array" ref="B412">IF(A412="","",_xlfn.CHOOSECOLS('Prematch Backend 2A'!412:412,_xlfn.MAKEARRAY(1,A412-2,_xlfn.LAMBDA(_xlpm.r,_xlpm.c,_xlpm.c))))</f>
        <v/>
      </c>
    </row>
    <row r="413" spans="2:2" x14ac:dyDescent="0.2">
      <c r="B413" t="str" cm="1">
        <f t="array" ref="B413">IF(A413="","",_xlfn.CHOOSECOLS('Prematch Backend 2A'!413:413,_xlfn.MAKEARRAY(1,A413-2,_xlfn.LAMBDA(_xlpm.r,_xlpm.c,_xlpm.c))))</f>
        <v/>
      </c>
    </row>
    <row r="414" spans="2:2" x14ac:dyDescent="0.2">
      <c r="B414" t="str" cm="1">
        <f t="array" ref="B414">IF(A414="","",_xlfn.CHOOSECOLS('Prematch Backend 2A'!414:414,_xlfn.MAKEARRAY(1,A414-2,_xlfn.LAMBDA(_xlpm.r,_xlpm.c,_xlpm.c))))</f>
        <v/>
      </c>
    </row>
    <row r="415" spans="2:2" x14ac:dyDescent="0.2">
      <c r="B415" t="str" cm="1">
        <f t="array" ref="B415">IF(A415="","",_xlfn.CHOOSECOLS('Prematch Backend 2A'!415:415,_xlfn.MAKEARRAY(1,A415-2,_xlfn.LAMBDA(_xlpm.r,_xlpm.c,_xlpm.c))))</f>
        <v/>
      </c>
    </row>
    <row r="416" spans="2:2" x14ac:dyDescent="0.2">
      <c r="B416" t="str" cm="1">
        <f t="array" ref="B416">IF(A416="","",_xlfn.CHOOSECOLS('Prematch Backend 2A'!416:416,_xlfn.MAKEARRAY(1,A416-2,_xlfn.LAMBDA(_xlpm.r,_xlpm.c,_xlpm.c))))</f>
        <v/>
      </c>
    </row>
    <row r="417" spans="2:2" x14ac:dyDescent="0.2">
      <c r="B417" t="str" cm="1">
        <f t="array" ref="B417">IF(A417="","",_xlfn.CHOOSECOLS('Prematch Backend 2A'!417:417,_xlfn.MAKEARRAY(1,A417-2,_xlfn.LAMBDA(_xlpm.r,_xlpm.c,_xlpm.c))))</f>
        <v/>
      </c>
    </row>
    <row r="418" spans="2:2" x14ac:dyDescent="0.2">
      <c r="B418" t="str" cm="1">
        <f t="array" ref="B418">IF(A418="","",_xlfn.CHOOSECOLS('Prematch Backend 2A'!418:418,_xlfn.MAKEARRAY(1,A418-2,_xlfn.LAMBDA(_xlpm.r,_xlpm.c,_xlpm.c))))</f>
        <v/>
      </c>
    </row>
    <row r="419" spans="2:2" x14ac:dyDescent="0.2">
      <c r="B419" t="str" cm="1">
        <f t="array" ref="B419">IF(A419="","",_xlfn.CHOOSECOLS('Prematch Backend 2A'!419:419,_xlfn.MAKEARRAY(1,A419-2,_xlfn.LAMBDA(_xlpm.r,_xlpm.c,_xlpm.c))))</f>
        <v/>
      </c>
    </row>
    <row r="420" spans="2:2" x14ac:dyDescent="0.2">
      <c r="B420" t="str" cm="1">
        <f t="array" ref="B420">IF(A420="","",_xlfn.CHOOSECOLS('Prematch Backend 2A'!420:420,_xlfn.MAKEARRAY(1,A420-2,_xlfn.LAMBDA(_xlpm.r,_xlpm.c,_xlpm.c))))</f>
        <v/>
      </c>
    </row>
    <row r="421" spans="2:2" x14ac:dyDescent="0.2">
      <c r="B421" t="str" cm="1">
        <f t="array" ref="B421">IF(A421="","",_xlfn.CHOOSECOLS('Prematch Backend 2A'!421:421,_xlfn.MAKEARRAY(1,A421-2,_xlfn.LAMBDA(_xlpm.r,_xlpm.c,_xlpm.c))))</f>
        <v/>
      </c>
    </row>
    <row r="422" spans="2:2" x14ac:dyDescent="0.2">
      <c r="B422" t="str" cm="1">
        <f t="array" ref="B422">IF(A422="","",_xlfn.CHOOSECOLS('Prematch Backend 2A'!422:422,_xlfn.MAKEARRAY(1,A422-2,_xlfn.LAMBDA(_xlpm.r,_xlpm.c,_xlpm.c))))</f>
        <v/>
      </c>
    </row>
    <row r="423" spans="2:2" x14ac:dyDescent="0.2">
      <c r="B423" t="str" cm="1">
        <f t="array" ref="B423">IF(A423="","",_xlfn.CHOOSECOLS('Prematch Backend 2A'!423:423,_xlfn.MAKEARRAY(1,A423-2,_xlfn.LAMBDA(_xlpm.r,_xlpm.c,_xlpm.c))))</f>
        <v/>
      </c>
    </row>
    <row r="424" spans="2:2" x14ac:dyDescent="0.2">
      <c r="B424" t="str" cm="1">
        <f t="array" ref="B424">IF(A424="","",_xlfn.CHOOSECOLS('Prematch Backend 2A'!424:424,_xlfn.MAKEARRAY(1,A424-2,_xlfn.LAMBDA(_xlpm.r,_xlpm.c,_xlpm.c))))</f>
        <v/>
      </c>
    </row>
    <row r="425" spans="2:2" x14ac:dyDescent="0.2">
      <c r="B425" t="str" cm="1">
        <f t="array" ref="B425">IF(A425="","",_xlfn.CHOOSECOLS('Prematch Backend 2A'!425:425,_xlfn.MAKEARRAY(1,A425-2,_xlfn.LAMBDA(_xlpm.r,_xlpm.c,_xlpm.c))))</f>
        <v/>
      </c>
    </row>
    <row r="426" spans="2:2" x14ac:dyDescent="0.2">
      <c r="B426" t="str" cm="1">
        <f t="array" ref="B426">IF(A426="","",_xlfn.CHOOSECOLS('Prematch Backend 2A'!426:426,_xlfn.MAKEARRAY(1,A426-2,_xlfn.LAMBDA(_xlpm.r,_xlpm.c,_xlpm.c))))</f>
        <v/>
      </c>
    </row>
    <row r="427" spans="2:2" x14ac:dyDescent="0.2">
      <c r="B427" t="str" cm="1">
        <f t="array" ref="B427">IF(A427="","",_xlfn.CHOOSECOLS('Prematch Backend 2A'!427:427,_xlfn.MAKEARRAY(1,A427-2,_xlfn.LAMBDA(_xlpm.r,_xlpm.c,_xlpm.c))))</f>
        <v/>
      </c>
    </row>
    <row r="428" spans="2:2" x14ac:dyDescent="0.2">
      <c r="B428" t="str" cm="1">
        <f t="array" ref="B428">IF(A428="","",_xlfn.CHOOSECOLS('Prematch Backend 2A'!428:428,_xlfn.MAKEARRAY(1,A428-2,_xlfn.LAMBDA(_xlpm.r,_xlpm.c,_xlpm.c))))</f>
        <v/>
      </c>
    </row>
    <row r="429" spans="2:2" x14ac:dyDescent="0.2">
      <c r="B429" t="str" cm="1">
        <f t="array" ref="B429">IF(A429="","",_xlfn.CHOOSECOLS('Prematch Backend 2A'!429:429,_xlfn.MAKEARRAY(1,A429-2,_xlfn.LAMBDA(_xlpm.r,_xlpm.c,_xlpm.c))))</f>
        <v/>
      </c>
    </row>
    <row r="430" spans="2:2" x14ac:dyDescent="0.2">
      <c r="B430" t="str" cm="1">
        <f t="array" ref="B430">IF(A430="","",_xlfn.CHOOSECOLS('Prematch Backend 2A'!430:430,_xlfn.MAKEARRAY(1,A430-2,_xlfn.LAMBDA(_xlpm.r,_xlpm.c,_xlpm.c))))</f>
        <v/>
      </c>
    </row>
    <row r="431" spans="2:2" x14ac:dyDescent="0.2">
      <c r="B431" t="str" cm="1">
        <f t="array" ref="B431">IF(A431="","",_xlfn.CHOOSECOLS('Prematch Backend 2A'!431:431,_xlfn.MAKEARRAY(1,A431-2,_xlfn.LAMBDA(_xlpm.r,_xlpm.c,_xlpm.c))))</f>
        <v/>
      </c>
    </row>
    <row r="432" spans="2:2" x14ac:dyDescent="0.2">
      <c r="B432" t="str" cm="1">
        <f t="array" ref="B432">IF(A432="","",_xlfn.CHOOSECOLS('Prematch Backend 2A'!432:432,_xlfn.MAKEARRAY(1,A432-2,_xlfn.LAMBDA(_xlpm.r,_xlpm.c,_xlpm.c))))</f>
        <v/>
      </c>
    </row>
    <row r="433" spans="2:2" x14ac:dyDescent="0.2">
      <c r="B433" t="str" cm="1">
        <f t="array" ref="B433">IF(A433="","",_xlfn.CHOOSECOLS('Prematch Backend 2A'!433:433,_xlfn.MAKEARRAY(1,A433-2,_xlfn.LAMBDA(_xlpm.r,_xlpm.c,_xlpm.c))))</f>
        <v/>
      </c>
    </row>
    <row r="434" spans="2:2" x14ac:dyDescent="0.2">
      <c r="B434" t="str" cm="1">
        <f t="array" ref="B434">IF(A434="","",_xlfn.CHOOSECOLS('Prematch Backend 2A'!434:434,_xlfn.MAKEARRAY(1,A434-2,_xlfn.LAMBDA(_xlpm.r,_xlpm.c,_xlpm.c))))</f>
        <v/>
      </c>
    </row>
    <row r="435" spans="2:2" x14ac:dyDescent="0.2">
      <c r="B435" t="str" cm="1">
        <f t="array" ref="B435">IF(A435="","",_xlfn.CHOOSECOLS('Prematch Backend 2A'!435:435,_xlfn.MAKEARRAY(1,A435-2,_xlfn.LAMBDA(_xlpm.r,_xlpm.c,_xlpm.c))))</f>
        <v/>
      </c>
    </row>
    <row r="436" spans="2:2" x14ac:dyDescent="0.2">
      <c r="B436" t="str" cm="1">
        <f t="array" ref="B436">IF(A436="","",_xlfn.CHOOSECOLS('Prematch Backend 2A'!436:436,_xlfn.MAKEARRAY(1,A436-2,_xlfn.LAMBDA(_xlpm.r,_xlpm.c,_xlpm.c))))</f>
        <v/>
      </c>
    </row>
    <row r="437" spans="2:2" x14ac:dyDescent="0.2">
      <c r="B437" t="str" cm="1">
        <f t="array" ref="B437">IF(A437="","",_xlfn.CHOOSECOLS('Prematch Backend 2A'!437:437,_xlfn.MAKEARRAY(1,A437-2,_xlfn.LAMBDA(_xlpm.r,_xlpm.c,_xlpm.c))))</f>
        <v/>
      </c>
    </row>
    <row r="438" spans="2:2" x14ac:dyDescent="0.2">
      <c r="B438" t="str" cm="1">
        <f t="array" ref="B438">IF(A438="","",_xlfn.CHOOSECOLS('Prematch Backend 2A'!438:438,_xlfn.MAKEARRAY(1,A438-2,_xlfn.LAMBDA(_xlpm.r,_xlpm.c,_xlpm.c))))</f>
        <v/>
      </c>
    </row>
    <row r="439" spans="2:2" x14ac:dyDescent="0.2">
      <c r="B439" t="str" cm="1">
        <f t="array" ref="B439">IF(A439="","",_xlfn.CHOOSECOLS('Prematch Backend 2A'!439:439,_xlfn.MAKEARRAY(1,A439-2,_xlfn.LAMBDA(_xlpm.r,_xlpm.c,_xlpm.c))))</f>
        <v/>
      </c>
    </row>
    <row r="440" spans="2:2" x14ac:dyDescent="0.2">
      <c r="B440" t="str" cm="1">
        <f t="array" ref="B440">IF(A440="","",_xlfn.CHOOSECOLS('Prematch Backend 2A'!440:440,_xlfn.MAKEARRAY(1,A440-2,_xlfn.LAMBDA(_xlpm.r,_xlpm.c,_xlpm.c))))</f>
        <v/>
      </c>
    </row>
    <row r="441" spans="2:2" x14ac:dyDescent="0.2">
      <c r="B441" t="str" cm="1">
        <f t="array" ref="B441">IF(A441="","",_xlfn.CHOOSECOLS('Prematch Backend 2A'!441:441,_xlfn.MAKEARRAY(1,A441-2,_xlfn.LAMBDA(_xlpm.r,_xlpm.c,_xlpm.c))))</f>
        <v/>
      </c>
    </row>
    <row r="442" spans="2:2" x14ac:dyDescent="0.2">
      <c r="B442" t="str" cm="1">
        <f t="array" ref="B442">IF(A442="","",_xlfn.CHOOSECOLS('Prematch Backend 2A'!442:442,_xlfn.MAKEARRAY(1,A442-2,_xlfn.LAMBDA(_xlpm.r,_xlpm.c,_xlpm.c))))</f>
        <v/>
      </c>
    </row>
    <row r="443" spans="2:2" x14ac:dyDescent="0.2">
      <c r="B443" t="str" cm="1">
        <f t="array" ref="B443">IF(A443="","",_xlfn.CHOOSECOLS('Prematch Backend 2A'!443:443,_xlfn.MAKEARRAY(1,A443-2,_xlfn.LAMBDA(_xlpm.r,_xlpm.c,_xlpm.c))))</f>
        <v/>
      </c>
    </row>
    <row r="444" spans="2:2" x14ac:dyDescent="0.2">
      <c r="B444" t="str" cm="1">
        <f t="array" ref="B444">IF(A444="","",_xlfn.CHOOSECOLS('Prematch Backend 2A'!444:444,_xlfn.MAKEARRAY(1,A444-2,_xlfn.LAMBDA(_xlpm.r,_xlpm.c,_xlpm.c))))</f>
        <v/>
      </c>
    </row>
    <row r="445" spans="2:2" x14ac:dyDescent="0.2">
      <c r="B445" t="str" cm="1">
        <f t="array" ref="B445">IF(A445="","",_xlfn.CHOOSECOLS('Prematch Backend 2A'!445:445,_xlfn.MAKEARRAY(1,A445-2,_xlfn.LAMBDA(_xlpm.r,_xlpm.c,_xlpm.c))))</f>
        <v/>
      </c>
    </row>
    <row r="446" spans="2:2" x14ac:dyDescent="0.2">
      <c r="B446" t="str" cm="1">
        <f t="array" ref="B446">IF(A446="","",_xlfn.CHOOSECOLS('Prematch Backend 2A'!446:446,_xlfn.MAKEARRAY(1,A446-2,_xlfn.LAMBDA(_xlpm.r,_xlpm.c,_xlpm.c))))</f>
        <v/>
      </c>
    </row>
    <row r="447" spans="2:2" x14ac:dyDescent="0.2">
      <c r="B447" t="str" cm="1">
        <f t="array" ref="B447">IF(A447="","",_xlfn.CHOOSECOLS('Prematch Backend 2A'!447:447,_xlfn.MAKEARRAY(1,A447-2,_xlfn.LAMBDA(_xlpm.r,_xlpm.c,_xlpm.c))))</f>
        <v/>
      </c>
    </row>
    <row r="448" spans="2:2" x14ac:dyDescent="0.2">
      <c r="B448" t="str" cm="1">
        <f t="array" ref="B448">IF(A448="","",_xlfn.CHOOSECOLS('Prematch Backend 2A'!448:448,_xlfn.MAKEARRAY(1,A448-2,_xlfn.LAMBDA(_xlpm.r,_xlpm.c,_xlpm.c))))</f>
        <v/>
      </c>
    </row>
    <row r="449" spans="2:2" x14ac:dyDescent="0.2">
      <c r="B449" t="str" cm="1">
        <f t="array" ref="B449">IF(A449="","",_xlfn.CHOOSECOLS('Prematch Backend 2A'!449:449,_xlfn.MAKEARRAY(1,A449-2,_xlfn.LAMBDA(_xlpm.r,_xlpm.c,_xlpm.c))))</f>
        <v/>
      </c>
    </row>
    <row r="450" spans="2:2" x14ac:dyDescent="0.2">
      <c r="B450" t="str" cm="1">
        <f t="array" ref="B450">IF(A450="","",_xlfn.CHOOSECOLS('Prematch Backend 2A'!450:450,_xlfn.MAKEARRAY(1,A450-2,_xlfn.LAMBDA(_xlpm.r,_xlpm.c,_xlpm.c))))</f>
        <v/>
      </c>
    </row>
    <row r="451" spans="2:2" x14ac:dyDescent="0.2">
      <c r="B451" t="str" cm="1">
        <f t="array" ref="B451">IF(A451="","",_xlfn.CHOOSECOLS('Prematch Backend 2A'!451:451,_xlfn.MAKEARRAY(1,A451-2,_xlfn.LAMBDA(_xlpm.r,_xlpm.c,_xlpm.c))))</f>
        <v/>
      </c>
    </row>
    <row r="452" spans="2:2" x14ac:dyDescent="0.2">
      <c r="B452" t="str" cm="1">
        <f t="array" ref="B452">IF(A452="","",_xlfn.CHOOSECOLS('Prematch Backend 2A'!452:452,_xlfn.MAKEARRAY(1,A452-2,_xlfn.LAMBDA(_xlpm.r,_xlpm.c,_xlpm.c))))</f>
        <v/>
      </c>
    </row>
    <row r="453" spans="2:2" x14ac:dyDescent="0.2">
      <c r="B453" t="str" cm="1">
        <f t="array" ref="B453">IF(A453="","",_xlfn.CHOOSECOLS('Prematch Backend 2A'!453:453,_xlfn.MAKEARRAY(1,A453-2,_xlfn.LAMBDA(_xlpm.r,_xlpm.c,_xlpm.c))))</f>
        <v/>
      </c>
    </row>
    <row r="454" spans="2:2" x14ac:dyDescent="0.2">
      <c r="B454" t="str" cm="1">
        <f t="array" ref="B454">IF(A454="","",_xlfn.CHOOSECOLS('Prematch Backend 2A'!454:454,_xlfn.MAKEARRAY(1,A454-2,_xlfn.LAMBDA(_xlpm.r,_xlpm.c,_xlpm.c))))</f>
        <v/>
      </c>
    </row>
    <row r="455" spans="2:2" x14ac:dyDescent="0.2">
      <c r="B455" t="str" cm="1">
        <f t="array" ref="B455">IF(A455="","",_xlfn.CHOOSECOLS('Prematch Backend 2A'!455:455,_xlfn.MAKEARRAY(1,A455-2,_xlfn.LAMBDA(_xlpm.r,_xlpm.c,_xlpm.c))))</f>
        <v/>
      </c>
    </row>
    <row r="456" spans="2:2" x14ac:dyDescent="0.2">
      <c r="B456" t="str" cm="1">
        <f t="array" ref="B456">IF(A456="","",_xlfn.CHOOSECOLS('Prematch Backend 2A'!456:456,_xlfn.MAKEARRAY(1,A456-2,_xlfn.LAMBDA(_xlpm.r,_xlpm.c,_xlpm.c))))</f>
        <v/>
      </c>
    </row>
    <row r="457" spans="2:2" x14ac:dyDescent="0.2">
      <c r="B457" t="str" cm="1">
        <f t="array" ref="B457">IF(A457="","",_xlfn.CHOOSECOLS('Prematch Backend 2A'!457:457,_xlfn.MAKEARRAY(1,A457-2,_xlfn.LAMBDA(_xlpm.r,_xlpm.c,_xlpm.c))))</f>
        <v/>
      </c>
    </row>
    <row r="458" spans="2:2" x14ac:dyDescent="0.2">
      <c r="B458" t="str" cm="1">
        <f t="array" ref="B458">IF(A458="","",_xlfn.CHOOSECOLS('Prematch Backend 2A'!458:458,_xlfn.MAKEARRAY(1,A458-2,_xlfn.LAMBDA(_xlpm.r,_xlpm.c,_xlpm.c))))</f>
        <v/>
      </c>
    </row>
    <row r="459" spans="2:2" x14ac:dyDescent="0.2">
      <c r="B459" t="str" cm="1">
        <f t="array" ref="B459">IF(A459="","",_xlfn.CHOOSECOLS('Prematch Backend 2A'!459:459,_xlfn.MAKEARRAY(1,A459-2,_xlfn.LAMBDA(_xlpm.r,_xlpm.c,_xlpm.c))))</f>
        <v/>
      </c>
    </row>
    <row r="460" spans="2:2" x14ac:dyDescent="0.2">
      <c r="B460" t="str" cm="1">
        <f t="array" ref="B460">IF(A460="","",_xlfn.CHOOSECOLS('Prematch Backend 2A'!460:460,_xlfn.MAKEARRAY(1,A460-2,_xlfn.LAMBDA(_xlpm.r,_xlpm.c,_xlpm.c))))</f>
        <v/>
      </c>
    </row>
    <row r="461" spans="2:2" x14ac:dyDescent="0.2">
      <c r="B461" t="str" cm="1">
        <f t="array" ref="B461">IF(A461="","",_xlfn.CHOOSECOLS('Prematch Backend 2A'!461:461,_xlfn.MAKEARRAY(1,A461-2,_xlfn.LAMBDA(_xlpm.r,_xlpm.c,_xlpm.c))))</f>
        <v/>
      </c>
    </row>
    <row r="462" spans="2:2" x14ac:dyDescent="0.2">
      <c r="B462" t="str" cm="1">
        <f t="array" ref="B462">IF(A462="","",_xlfn.CHOOSECOLS('Prematch Backend 2A'!462:462,_xlfn.MAKEARRAY(1,A462-2,_xlfn.LAMBDA(_xlpm.r,_xlpm.c,_xlpm.c))))</f>
        <v/>
      </c>
    </row>
    <row r="463" spans="2:2" x14ac:dyDescent="0.2">
      <c r="B463" t="str" cm="1">
        <f t="array" ref="B463">IF(A463="","",_xlfn.CHOOSECOLS('Prematch Backend 2A'!463:463,_xlfn.MAKEARRAY(1,A463-2,_xlfn.LAMBDA(_xlpm.r,_xlpm.c,_xlpm.c))))</f>
        <v/>
      </c>
    </row>
    <row r="464" spans="2:2" x14ac:dyDescent="0.2">
      <c r="B464" t="str" cm="1">
        <f t="array" ref="B464">IF(A464="","",_xlfn.CHOOSECOLS('Prematch Backend 2A'!464:464,_xlfn.MAKEARRAY(1,A464-2,_xlfn.LAMBDA(_xlpm.r,_xlpm.c,_xlpm.c))))</f>
        <v/>
      </c>
    </row>
    <row r="465" spans="2:2" x14ac:dyDescent="0.2">
      <c r="B465" t="str" cm="1">
        <f t="array" ref="B465">IF(A465="","",_xlfn.CHOOSECOLS('Prematch Backend 2A'!465:465,_xlfn.MAKEARRAY(1,A465-2,_xlfn.LAMBDA(_xlpm.r,_xlpm.c,_xlpm.c))))</f>
        <v/>
      </c>
    </row>
    <row r="466" spans="2:2" x14ac:dyDescent="0.2">
      <c r="B466" t="str" cm="1">
        <f t="array" ref="B466">IF(A466="","",_xlfn.CHOOSECOLS('Prematch Backend 2A'!466:466,_xlfn.MAKEARRAY(1,A466-2,_xlfn.LAMBDA(_xlpm.r,_xlpm.c,_xlpm.c))))</f>
        <v/>
      </c>
    </row>
    <row r="467" spans="2:2" x14ac:dyDescent="0.2">
      <c r="B467" t="str" cm="1">
        <f t="array" ref="B467">IF(A467="","",_xlfn.CHOOSECOLS('Prematch Backend 2A'!467:467,_xlfn.MAKEARRAY(1,A467-2,_xlfn.LAMBDA(_xlpm.r,_xlpm.c,_xlpm.c))))</f>
        <v/>
      </c>
    </row>
    <row r="468" spans="2:2" x14ac:dyDescent="0.2">
      <c r="B468" t="str" cm="1">
        <f t="array" ref="B468">IF(A468="","",_xlfn.CHOOSECOLS('Prematch Backend 2A'!468:468,_xlfn.MAKEARRAY(1,A468-2,_xlfn.LAMBDA(_xlpm.r,_xlpm.c,_xlpm.c))))</f>
        <v/>
      </c>
    </row>
    <row r="469" spans="2:2" x14ac:dyDescent="0.2">
      <c r="B469" t="str" cm="1">
        <f t="array" ref="B469">IF(A469="","",_xlfn.CHOOSECOLS('Prematch Backend 2A'!469:469,_xlfn.MAKEARRAY(1,A469-2,_xlfn.LAMBDA(_xlpm.r,_xlpm.c,_xlpm.c))))</f>
        <v/>
      </c>
    </row>
    <row r="470" spans="2:2" x14ac:dyDescent="0.2">
      <c r="B470" t="str" cm="1">
        <f t="array" ref="B470">IF(A470="","",_xlfn.CHOOSECOLS('Prematch Backend 2A'!470:470,_xlfn.MAKEARRAY(1,A470-2,_xlfn.LAMBDA(_xlpm.r,_xlpm.c,_xlpm.c))))</f>
        <v/>
      </c>
    </row>
    <row r="471" spans="2:2" x14ac:dyDescent="0.2">
      <c r="B471" t="str" cm="1">
        <f t="array" ref="B471">IF(A471="","",_xlfn.CHOOSECOLS('Prematch Backend 2A'!471:471,_xlfn.MAKEARRAY(1,A471-2,_xlfn.LAMBDA(_xlpm.r,_xlpm.c,_xlpm.c))))</f>
        <v/>
      </c>
    </row>
    <row r="472" spans="2:2" x14ac:dyDescent="0.2">
      <c r="B472" t="str" cm="1">
        <f t="array" ref="B472">IF(A472="","",_xlfn.CHOOSECOLS('Prematch Backend 2A'!472:472,_xlfn.MAKEARRAY(1,A472-2,_xlfn.LAMBDA(_xlpm.r,_xlpm.c,_xlpm.c))))</f>
        <v/>
      </c>
    </row>
    <row r="473" spans="2:2" x14ac:dyDescent="0.2">
      <c r="B473" t="str" cm="1">
        <f t="array" ref="B473">IF(A473="","",_xlfn.CHOOSECOLS('Prematch Backend 2A'!473:473,_xlfn.MAKEARRAY(1,A473-2,_xlfn.LAMBDA(_xlpm.r,_xlpm.c,_xlpm.c))))</f>
        <v/>
      </c>
    </row>
    <row r="474" spans="2:2" x14ac:dyDescent="0.2">
      <c r="B474" t="str" cm="1">
        <f t="array" ref="B474">IF(A474="","",_xlfn.CHOOSECOLS('Prematch Backend 2A'!474:474,_xlfn.MAKEARRAY(1,A474-2,_xlfn.LAMBDA(_xlpm.r,_xlpm.c,_xlpm.c))))</f>
        <v/>
      </c>
    </row>
    <row r="475" spans="2:2" x14ac:dyDescent="0.2">
      <c r="B475" t="str" cm="1">
        <f t="array" ref="B475">IF(A475="","",_xlfn.CHOOSECOLS('Prematch Backend 2A'!475:475,_xlfn.MAKEARRAY(1,A475-2,_xlfn.LAMBDA(_xlpm.r,_xlpm.c,_xlpm.c))))</f>
        <v/>
      </c>
    </row>
    <row r="476" spans="2:2" x14ac:dyDescent="0.2">
      <c r="B476" t="str" cm="1">
        <f t="array" ref="B476">IF(A476="","",_xlfn.CHOOSECOLS('Prematch Backend 2A'!476:476,_xlfn.MAKEARRAY(1,A476-2,_xlfn.LAMBDA(_xlpm.r,_xlpm.c,_xlpm.c))))</f>
        <v/>
      </c>
    </row>
    <row r="477" spans="2:2" x14ac:dyDescent="0.2">
      <c r="B477" t="str" cm="1">
        <f t="array" ref="B477">IF(A477="","",_xlfn.CHOOSECOLS('Prematch Backend 2A'!477:477,_xlfn.MAKEARRAY(1,A477-2,_xlfn.LAMBDA(_xlpm.r,_xlpm.c,_xlpm.c))))</f>
        <v/>
      </c>
    </row>
    <row r="478" spans="2:2" x14ac:dyDescent="0.2">
      <c r="B478" t="str" cm="1">
        <f t="array" ref="B478">IF(A478="","",_xlfn.CHOOSECOLS('Prematch Backend 2A'!478:478,_xlfn.MAKEARRAY(1,A478-2,_xlfn.LAMBDA(_xlpm.r,_xlpm.c,_xlpm.c))))</f>
        <v/>
      </c>
    </row>
    <row r="479" spans="2:2" x14ac:dyDescent="0.2">
      <c r="B479" t="str" cm="1">
        <f t="array" ref="B479">IF(A479="","",_xlfn.CHOOSECOLS('Prematch Backend 2A'!479:479,_xlfn.MAKEARRAY(1,A479-2,_xlfn.LAMBDA(_xlpm.r,_xlpm.c,_xlpm.c))))</f>
        <v/>
      </c>
    </row>
    <row r="480" spans="2:2" x14ac:dyDescent="0.2">
      <c r="B480" t="str" cm="1">
        <f t="array" ref="B480">IF(A480="","",_xlfn.CHOOSECOLS('Prematch Backend 2A'!480:480,_xlfn.MAKEARRAY(1,A480-2,_xlfn.LAMBDA(_xlpm.r,_xlpm.c,_xlpm.c))))</f>
        <v/>
      </c>
    </row>
    <row r="481" spans="2:2" x14ac:dyDescent="0.2">
      <c r="B481" t="str" cm="1">
        <f t="array" ref="B481">IF(A481="","",_xlfn.CHOOSECOLS('Prematch Backend 2A'!481:481,_xlfn.MAKEARRAY(1,A481-2,_xlfn.LAMBDA(_xlpm.r,_xlpm.c,_xlpm.c))))</f>
        <v/>
      </c>
    </row>
    <row r="482" spans="2:2" x14ac:dyDescent="0.2">
      <c r="B482" t="str" cm="1">
        <f t="array" ref="B482">IF(A482="","",_xlfn.CHOOSECOLS('Prematch Backend 2A'!482:482,_xlfn.MAKEARRAY(1,A482-2,_xlfn.LAMBDA(_xlpm.r,_xlpm.c,_xlpm.c))))</f>
        <v/>
      </c>
    </row>
    <row r="483" spans="2:2" x14ac:dyDescent="0.2">
      <c r="B483" t="str" cm="1">
        <f t="array" ref="B483">IF(A483="","",_xlfn.CHOOSECOLS('Prematch Backend 2A'!483:483,_xlfn.MAKEARRAY(1,A483-2,_xlfn.LAMBDA(_xlpm.r,_xlpm.c,_xlpm.c))))</f>
        <v/>
      </c>
    </row>
    <row r="484" spans="2:2" x14ac:dyDescent="0.2">
      <c r="B484" t="str" cm="1">
        <f t="array" ref="B484">IF(A484="","",_xlfn.CHOOSECOLS('Prematch Backend 2A'!484:484,_xlfn.MAKEARRAY(1,A484-2,_xlfn.LAMBDA(_xlpm.r,_xlpm.c,_xlpm.c))))</f>
        <v/>
      </c>
    </row>
    <row r="485" spans="2:2" x14ac:dyDescent="0.2">
      <c r="B485" t="str" cm="1">
        <f t="array" ref="B485">IF(A485="","",_xlfn.CHOOSECOLS('Prematch Backend 2A'!485:485,_xlfn.MAKEARRAY(1,A485-2,_xlfn.LAMBDA(_xlpm.r,_xlpm.c,_xlpm.c))))</f>
        <v/>
      </c>
    </row>
    <row r="486" spans="2:2" x14ac:dyDescent="0.2">
      <c r="B486" t="str" cm="1">
        <f t="array" ref="B486">IF(A486="","",_xlfn.CHOOSECOLS('Prematch Backend 2A'!486:486,_xlfn.MAKEARRAY(1,A486-2,_xlfn.LAMBDA(_xlpm.r,_xlpm.c,_xlpm.c))))</f>
        <v/>
      </c>
    </row>
    <row r="487" spans="2:2" x14ac:dyDescent="0.2">
      <c r="B487" t="str" cm="1">
        <f t="array" ref="B487">IF(A487="","",_xlfn.CHOOSECOLS('Prematch Backend 2A'!487:487,_xlfn.MAKEARRAY(1,A487-2,_xlfn.LAMBDA(_xlpm.r,_xlpm.c,_xlpm.c))))</f>
        <v/>
      </c>
    </row>
    <row r="488" spans="2:2" x14ac:dyDescent="0.2">
      <c r="B488" t="str" cm="1">
        <f t="array" ref="B488">IF(A488="","",_xlfn.CHOOSECOLS('Prematch Backend 2A'!488:488,_xlfn.MAKEARRAY(1,A488-2,_xlfn.LAMBDA(_xlpm.r,_xlpm.c,_xlpm.c))))</f>
        <v/>
      </c>
    </row>
    <row r="489" spans="2:2" x14ac:dyDescent="0.2">
      <c r="B489" t="str" cm="1">
        <f t="array" ref="B489">IF(A489="","",_xlfn.CHOOSECOLS('Prematch Backend 2A'!489:489,_xlfn.MAKEARRAY(1,A489-2,_xlfn.LAMBDA(_xlpm.r,_xlpm.c,_xlpm.c))))</f>
        <v/>
      </c>
    </row>
    <row r="490" spans="2:2" x14ac:dyDescent="0.2">
      <c r="B490" t="str" cm="1">
        <f t="array" ref="B490">IF(A490="","",_xlfn.CHOOSECOLS('Prematch Backend 2A'!490:490,_xlfn.MAKEARRAY(1,A490-2,_xlfn.LAMBDA(_xlpm.r,_xlpm.c,_xlpm.c))))</f>
        <v/>
      </c>
    </row>
    <row r="491" spans="2:2" x14ac:dyDescent="0.2">
      <c r="B491" t="str" cm="1">
        <f t="array" ref="B491">IF(A491="","",_xlfn.CHOOSECOLS('Prematch Backend 2A'!491:491,_xlfn.MAKEARRAY(1,A491-2,_xlfn.LAMBDA(_xlpm.r,_xlpm.c,_xlpm.c))))</f>
        <v/>
      </c>
    </row>
    <row r="492" spans="2:2" x14ac:dyDescent="0.2">
      <c r="B492" t="str" cm="1">
        <f t="array" ref="B492">IF(A492="","",_xlfn.CHOOSECOLS('Prematch Backend 2A'!492:492,_xlfn.MAKEARRAY(1,A492-2,_xlfn.LAMBDA(_xlpm.r,_xlpm.c,_xlpm.c))))</f>
        <v/>
      </c>
    </row>
    <row r="493" spans="2:2" x14ac:dyDescent="0.2">
      <c r="B493" t="str" cm="1">
        <f t="array" ref="B493">IF(A493="","",_xlfn.CHOOSECOLS('Prematch Backend 2A'!493:493,_xlfn.MAKEARRAY(1,A493-2,_xlfn.LAMBDA(_xlpm.r,_xlpm.c,_xlpm.c))))</f>
        <v/>
      </c>
    </row>
    <row r="494" spans="2:2" x14ac:dyDescent="0.2">
      <c r="B494" t="str" cm="1">
        <f t="array" ref="B494">IF(A494="","",_xlfn.CHOOSECOLS('Prematch Backend 2A'!494:494,_xlfn.MAKEARRAY(1,A494-2,_xlfn.LAMBDA(_xlpm.r,_xlpm.c,_xlpm.c))))</f>
        <v/>
      </c>
    </row>
    <row r="495" spans="2:2" x14ac:dyDescent="0.2">
      <c r="B495" t="str" cm="1">
        <f t="array" ref="B495">IF(A495="","",_xlfn.CHOOSECOLS('Prematch Backend 2A'!495:495,_xlfn.MAKEARRAY(1,A495-2,_xlfn.LAMBDA(_xlpm.r,_xlpm.c,_xlpm.c))))</f>
        <v/>
      </c>
    </row>
    <row r="496" spans="2:2" x14ac:dyDescent="0.2">
      <c r="B496" t="str" cm="1">
        <f t="array" ref="B496">IF(A496="","",_xlfn.CHOOSECOLS('Prematch Backend 2A'!496:496,_xlfn.MAKEARRAY(1,A496-2,_xlfn.LAMBDA(_xlpm.r,_xlpm.c,_xlpm.c))))</f>
        <v/>
      </c>
    </row>
    <row r="497" spans="2:2" x14ac:dyDescent="0.2">
      <c r="B497" t="str" cm="1">
        <f t="array" ref="B497">IF(A497="","",_xlfn.CHOOSECOLS('Prematch Backend 2A'!497:497,_xlfn.MAKEARRAY(1,A497-2,_xlfn.LAMBDA(_xlpm.r,_xlpm.c,_xlpm.c))))</f>
        <v/>
      </c>
    </row>
    <row r="498" spans="2:2" x14ac:dyDescent="0.2">
      <c r="B498" t="str" cm="1">
        <f t="array" ref="B498">IF(A498="","",_xlfn.CHOOSECOLS('Prematch Backend 2A'!498:498,_xlfn.MAKEARRAY(1,A498-2,_xlfn.LAMBDA(_xlpm.r,_xlpm.c,_xlpm.c))))</f>
        <v/>
      </c>
    </row>
    <row r="499" spans="2:2" x14ac:dyDescent="0.2">
      <c r="B499" t="str" cm="1">
        <f t="array" ref="B499">IF(A499="","",_xlfn.CHOOSECOLS('Prematch Backend 2A'!499:499,_xlfn.MAKEARRAY(1,A499-2,_xlfn.LAMBDA(_xlpm.r,_xlpm.c,_xlpm.c))))</f>
        <v/>
      </c>
    </row>
    <row r="500" spans="2:2" x14ac:dyDescent="0.2">
      <c r="B500" t="str" cm="1">
        <f t="array" ref="B500">IF(A500="","",_xlfn.CHOOSECOLS('Prematch Backend 2A'!500:500,_xlfn.MAKEARRAY(1,A500-2,_xlfn.LAMBDA(_xlpm.r,_xlpm.c,_xlpm.c))))</f>
        <v/>
      </c>
    </row>
    <row r="501" spans="2:2" x14ac:dyDescent="0.2">
      <c r="B501" t="str" cm="1">
        <f t="array" ref="B501">IF(A501="","",_xlfn.CHOOSECOLS('Prematch Backend 2A'!501:501,_xlfn.MAKEARRAY(1,A501-2,_xlfn.LAMBDA(_xlpm.r,_xlpm.c,_xlpm.c))))</f>
        <v/>
      </c>
    </row>
    <row r="502" spans="2:2" x14ac:dyDescent="0.2">
      <c r="B502" t="str" cm="1">
        <f t="array" ref="B502">IF(A502="","",_xlfn.CHOOSECOLS('Prematch Backend 2A'!502:502,_xlfn.MAKEARRAY(1,A502-2,_xlfn.LAMBDA(_xlpm.r,_xlpm.c,_xlpm.c))))</f>
        <v/>
      </c>
    </row>
    <row r="503" spans="2:2" x14ac:dyDescent="0.2">
      <c r="B503" t="str" cm="1">
        <f t="array" ref="B503">IF(A503="","",_xlfn.CHOOSECOLS('Prematch Backend 2A'!503:503,_xlfn.MAKEARRAY(1,A503-2,_xlfn.LAMBDA(_xlpm.r,_xlpm.c,_xlpm.c))))</f>
        <v/>
      </c>
    </row>
    <row r="504" spans="2:2" x14ac:dyDescent="0.2">
      <c r="B504" t="str" cm="1">
        <f t="array" ref="B504">IF(A504="","",_xlfn.CHOOSECOLS('Prematch Backend 2A'!504:504,_xlfn.MAKEARRAY(1,A504-2,_xlfn.LAMBDA(_xlpm.r,_xlpm.c,_xlpm.c))))</f>
        <v/>
      </c>
    </row>
    <row r="505" spans="2:2" x14ac:dyDescent="0.2">
      <c r="B505" t="str" cm="1">
        <f t="array" ref="B505">IF(A505="","",_xlfn.CHOOSECOLS('Prematch Backend 2A'!505:505,_xlfn.MAKEARRAY(1,A505-2,_xlfn.LAMBDA(_xlpm.r,_xlpm.c,_xlpm.c))))</f>
        <v/>
      </c>
    </row>
    <row r="506" spans="2:2" x14ac:dyDescent="0.2">
      <c r="B506" t="str" cm="1">
        <f t="array" ref="B506">IF(A506="","",_xlfn.CHOOSECOLS('Prematch Backend 2A'!506:506,_xlfn.MAKEARRAY(1,A506-2,_xlfn.LAMBDA(_xlpm.r,_xlpm.c,_xlpm.c))))</f>
        <v/>
      </c>
    </row>
    <row r="507" spans="2:2" x14ac:dyDescent="0.2">
      <c r="B507" t="str" cm="1">
        <f t="array" ref="B507">IF(A507="","",_xlfn.CHOOSECOLS('Prematch Backend 2A'!507:507,_xlfn.MAKEARRAY(1,A507-2,_xlfn.LAMBDA(_xlpm.r,_xlpm.c,_xlpm.c))))</f>
        <v/>
      </c>
    </row>
    <row r="508" spans="2:2" x14ac:dyDescent="0.2">
      <c r="B508" t="str" cm="1">
        <f t="array" ref="B508">IF(A508="","",_xlfn.CHOOSECOLS('Prematch Backend 2A'!508:508,_xlfn.MAKEARRAY(1,A508-2,_xlfn.LAMBDA(_xlpm.r,_xlpm.c,_xlpm.c))))</f>
        <v/>
      </c>
    </row>
    <row r="509" spans="2:2" x14ac:dyDescent="0.2">
      <c r="B509" t="str" cm="1">
        <f t="array" ref="B509">IF(A509="","",_xlfn.CHOOSECOLS('Prematch Backend 2A'!509:509,_xlfn.MAKEARRAY(1,A509-2,_xlfn.LAMBDA(_xlpm.r,_xlpm.c,_xlpm.c))))</f>
        <v/>
      </c>
    </row>
    <row r="510" spans="2:2" x14ac:dyDescent="0.2">
      <c r="B510" t="str" cm="1">
        <f t="array" ref="B510">IF(A510="","",_xlfn.CHOOSECOLS('Prematch Backend 2A'!510:510,_xlfn.MAKEARRAY(1,A510-2,_xlfn.LAMBDA(_xlpm.r,_xlpm.c,_xlpm.c))))</f>
        <v/>
      </c>
    </row>
    <row r="511" spans="2:2" x14ac:dyDescent="0.2">
      <c r="B511" t="str" cm="1">
        <f t="array" ref="B511">IF(A511="","",_xlfn.CHOOSECOLS('Prematch Backend 2A'!511:511,_xlfn.MAKEARRAY(1,A511-2,_xlfn.LAMBDA(_xlpm.r,_xlpm.c,_xlpm.c))))</f>
        <v/>
      </c>
    </row>
    <row r="512" spans="2:2" x14ac:dyDescent="0.2">
      <c r="B512" t="str" cm="1">
        <f t="array" ref="B512">IF(A512="","",_xlfn.CHOOSECOLS('Prematch Backend 2A'!512:512,_xlfn.MAKEARRAY(1,A512-2,_xlfn.LAMBDA(_xlpm.r,_xlpm.c,_xlpm.c))))</f>
        <v/>
      </c>
    </row>
    <row r="513" spans="2:2" x14ac:dyDescent="0.2">
      <c r="B513" t="str" cm="1">
        <f t="array" ref="B513">IF(A513="","",_xlfn.CHOOSECOLS('Prematch Backend 2A'!513:513,_xlfn.MAKEARRAY(1,A513-2,_xlfn.LAMBDA(_xlpm.r,_xlpm.c,_xlpm.c))))</f>
        <v/>
      </c>
    </row>
    <row r="514" spans="2:2" x14ac:dyDescent="0.2">
      <c r="B514" t="str" cm="1">
        <f t="array" ref="B514">IF(A514="","",_xlfn.CHOOSECOLS('Prematch Backend 2A'!514:514,_xlfn.MAKEARRAY(1,A514-2,_xlfn.LAMBDA(_xlpm.r,_xlpm.c,_xlpm.c))))</f>
        <v/>
      </c>
    </row>
    <row r="515" spans="2:2" x14ac:dyDescent="0.2">
      <c r="B515" t="str" cm="1">
        <f t="array" ref="B515">IF(A515="","",_xlfn.CHOOSECOLS('Prematch Backend 2A'!515:515,_xlfn.MAKEARRAY(1,A515-2,_xlfn.LAMBDA(_xlpm.r,_xlpm.c,_xlpm.c))))</f>
        <v/>
      </c>
    </row>
    <row r="516" spans="2:2" x14ac:dyDescent="0.2">
      <c r="B516" t="str" cm="1">
        <f t="array" ref="B516">IF(A516="","",_xlfn.CHOOSECOLS('Prematch Backend 2A'!516:516,_xlfn.MAKEARRAY(1,A516-2,_xlfn.LAMBDA(_xlpm.r,_xlpm.c,_xlpm.c))))</f>
        <v/>
      </c>
    </row>
    <row r="517" spans="2:2" x14ac:dyDescent="0.2">
      <c r="B517" t="str" cm="1">
        <f t="array" ref="B517">IF(A517="","",_xlfn.CHOOSECOLS('Prematch Backend 2A'!517:517,_xlfn.MAKEARRAY(1,A517-2,_xlfn.LAMBDA(_xlpm.r,_xlpm.c,_xlpm.c))))</f>
        <v/>
      </c>
    </row>
    <row r="518" spans="2:2" x14ac:dyDescent="0.2">
      <c r="B518" t="str" cm="1">
        <f t="array" ref="B518">IF(A518="","",_xlfn.CHOOSECOLS('Prematch Backend 2A'!518:518,_xlfn.MAKEARRAY(1,A518-2,_xlfn.LAMBDA(_xlpm.r,_xlpm.c,_xlpm.c))))</f>
        <v/>
      </c>
    </row>
    <row r="519" spans="2:2" x14ac:dyDescent="0.2">
      <c r="B519" t="str" cm="1">
        <f t="array" ref="B519">IF(A519="","",_xlfn.CHOOSECOLS('Prematch Backend 2A'!519:519,_xlfn.MAKEARRAY(1,A519-2,_xlfn.LAMBDA(_xlpm.r,_xlpm.c,_xlpm.c))))</f>
        <v/>
      </c>
    </row>
    <row r="520" spans="2:2" x14ac:dyDescent="0.2">
      <c r="B520" t="str" cm="1">
        <f t="array" ref="B520">IF(A520="","",_xlfn.CHOOSECOLS('Prematch Backend 2A'!520:520,_xlfn.MAKEARRAY(1,A520-2,_xlfn.LAMBDA(_xlpm.r,_xlpm.c,_xlpm.c))))</f>
        <v/>
      </c>
    </row>
    <row r="521" spans="2:2" x14ac:dyDescent="0.2">
      <c r="B521" t="str" cm="1">
        <f t="array" ref="B521">IF(A521="","",_xlfn.CHOOSECOLS('Prematch Backend 2A'!521:521,_xlfn.MAKEARRAY(1,A521-2,_xlfn.LAMBDA(_xlpm.r,_xlpm.c,_xlpm.c))))</f>
        <v/>
      </c>
    </row>
    <row r="522" spans="2:2" x14ac:dyDescent="0.2">
      <c r="B522" t="str" cm="1">
        <f t="array" ref="B522">IF(A522="","",_xlfn.CHOOSECOLS('Prematch Backend 2A'!522:522,_xlfn.MAKEARRAY(1,A522-2,_xlfn.LAMBDA(_xlpm.r,_xlpm.c,_xlpm.c))))</f>
        <v/>
      </c>
    </row>
    <row r="523" spans="2:2" x14ac:dyDescent="0.2">
      <c r="B523" t="str" cm="1">
        <f t="array" ref="B523">IF(A523="","",_xlfn.CHOOSECOLS('Prematch Backend 2A'!523:523,_xlfn.MAKEARRAY(1,A523-2,_xlfn.LAMBDA(_xlpm.r,_xlpm.c,_xlpm.c))))</f>
        <v/>
      </c>
    </row>
    <row r="524" spans="2:2" x14ac:dyDescent="0.2">
      <c r="B524" t="str" cm="1">
        <f t="array" ref="B524">IF(A524="","",_xlfn.CHOOSECOLS('Prematch Backend 2A'!524:524,_xlfn.MAKEARRAY(1,A524-2,_xlfn.LAMBDA(_xlpm.r,_xlpm.c,_xlpm.c))))</f>
        <v/>
      </c>
    </row>
    <row r="525" spans="2:2" x14ac:dyDescent="0.2">
      <c r="B525" t="str" cm="1">
        <f t="array" ref="B525">IF(A525="","",_xlfn.CHOOSECOLS('Prematch Backend 2A'!525:525,_xlfn.MAKEARRAY(1,A525-2,_xlfn.LAMBDA(_xlpm.r,_xlpm.c,_xlpm.c))))</f>
        <v/>
      </c>
    </row>
    <row r="526" spans="2:2" x14ac:dyDescent="0.2">
      <c r="B526" t="str" cm="1">
        <f t="array" ref="B526">IF(A526="","",_xlfn.CHOOSECOLS('Prematch Backend 2A'!526:526,_xlfn.MAKEARRAY(1,A526-2,_xlfn.LAMBDA(_xlpm.r,_xlpm.c,_xlpm.c))))</f>
        <v/>
      </c>
    </row>
    <row r="527" spans="2:2" x14ac:dyDescent="0.2">
      <c r="B527" t="str" cm="1">
        <f t="array" ref="B527">IF(A527="","",_xlfn.CHOOSECOLS('Prematch Backend 2A'!527:527,_xlfn.MAKEARRAY(1,A527-2,_xlfn.LAMBDA(_xlpm.r,_xlpm.c,_xlpm.c))))</f>
        <v/>
      </c>
    </row>
    <row r="528" spans="2:2" x14ac:dyDescent="0.2">
      <c r="B528" t="str" cm="1">
        <f t="array" ref="B528">IF(A528="","",_xlfn.CHOOSECOLS('Prematch Backend 2A'!528:528,_xlfn.MAKEARRAY(1,A528-2,_xlfn.LAMBDA(_xlpm.r,_xlpm.c,_xlpm.c))))</f>
        <v/>
      </c>
    </row>
    <row r="529" spans="2:2" x14ac:dyDescent="0.2">
      <c r="B529" t="str" cm="1">
        <f t="array" ref="B529">IF(A529="","",_xlfn.CHOOSECOLS('Prematch Backend 2A'!529:529,_xlfn.MAKEARRAY(1,A529-2,_xlfn.LAMBDA(_xlpm.r,_xlpm.c,_xlpm.c))))</f>
        <v/>
      </c>
    </row>
    <row r="530" spans="2:2" x14ac:dyDescent="0.2">
      <c r="B530" t="str" cm="1">
        <f t="array" ref="B530">IF(A530="","",_xlfn.CHOOSECOLS('Prematch Backend 2A'!530:530,_xlfn.MAKEARRAY(1,A530-2,_xlfn.LAMBDA(_xlpm.r,_xlpm.c,_xlpm.c))))</f>
        <v/>
      </c>
    </row>
    <row r="531" spans="2:2" x14ac:dyDescent="0.2">
      <c r="B531" t="str" cm="1">
        <f t="array" ref="B531">IF(A531="","",_xlfn.CHOOSECOLS('Prematch Backend 2A'!531:531,_xlfn.MAKEARRAY(1,A531-2,_xlfn.LAMBDA(_xlpm.r,_xlpm.c,_xlpm.c))))</f>
        <v/>
      </c>
    </row>
    <row r="532" spans="2:2" x14ac:dyDescent="0.2">
      <c r="B532" t="str" cm="1">
        <f t="array" ref="B532">IF(A532="","",_xlfn.CHOOSECOLS('Prematch Backend 2A'!532:532,_xlfn.MAKEARRAY(1,A532-2,_xlfn.LAMBDA(_xlpm.r,_xlpm.c,_xlpm.c))))</f>
        <v/>
      </c>
    </row>
    <row r="533" spans="2:2" x14ac:dyDescent="0.2">
      <c r="B533" t="str" cm="1">
        <f t="array" ref="B533">IF(A533="","",_xlfn.CHOOSECOLS('Prematch Backend 2A'!533:533,_xlfn.MAKEARRAY(1,A533-2,_xlfn.LAMBDA(_xlpm.r,_xlpm.c,_xlpm.c))))</f>
        <v/>
      </c>
    </row>
    <row r="534" spans="2:2" x14ac:dyDescent="0.2">
      <c r="B534" t="str" cm="1">
        <f t="array" ref="B534">IF(A534="","",_xlfn.CHOOSECOLS('Prematch Backend 2A'!534:534,_xlfn.MAKEARRAY(1,A534-2,_xlfn.LAMBDA(_xlpm.r,_xlpm.c,_xlpm.c))))</f>
        <v/>
      </c>
    </row>
    <row r="535" spans="2:2" x14ac:dyDescent="0.2">
      <c r="B535" t="str" cm="1">
        <f t="array" ref="B535">IF(A535="","",_xlfn.CHOOSECOLS('Prematch Backend 2A'!535:535,_xlfn.MAKEARRAY(1,A535-2,_xlfn.LAMBDA(_xlpm.r,_xlpm.c,_xlpm.c))))</f>
        <v/>
      </c>
    </row>
    <row r="536" spans="2:2" x14ac:dyDescent="0.2">
      <c r="B536" t="str" cm="1">
        <f t="array" ref="B536">IF(A536="","",_xlfn.CHOOSECOLS('Prematch Backend 2A'!536:536,_xlfn.MAKEARRAY(1,A536-2,_xlfn.LAMBDA(_xlpm.r,_xlpm.c,_xlpm.c))))</f>
        <v/>
      </c>
    </row>
    <row r="537" spans="2:2" x14ac:dyDescent="0.2">
      <c r="B537" t="str" cm="1">
        <f t="array" ref="B537">IF(A537="","",_xlfn.CHOOSECOLS('Prematch Backend 2A'!537:537,_xlfn.MAKEARRAY(1,A537-2,_xlfn.LAMBDA(_xlpm.r,_xlpm.c,_xlpm.c))))</f>
        <v/>
      </c>
    </row>
    <row r="538" spans="2:2" x14ac:dyDescent="0.2">
      <c r="B538" t="str" cm="1">
        <f t="array" ref="B538">IF(A538="","",_xlfn.CHOOSECOLS('Prematch Backend 2A'!538:538,_xlfn.MAKEARRAY(1,A538-2,_xlfn.LAMBDA(_xlpm.r,_xlpm.c,_xlpm.c))))</f>
        <v/>
      </c>
    </row>
    <row r="539" spans="2:2" x14ac:dyDescent="0.2">
      <c r="B539" t="str" cm="1">
        <f t="array" ref="B539">IF(A539="","",_xlfn.CHOOSECOLS('Prematch Backend 2A'!539:539,_xlfn.MAKEARRAY(1,A539-2,_xlfn.LAMBDA(_xlpm.r,_xlpm.c,_xlpm.c))))</f>
        <v/>
      </c>
    </row>
    <row r="540" spans="2:2" x14ac:dyDescent="0.2">
      <c r="B540" t="str" cm="1">
        <f t="array" ref="B540">IF(A540="","",_xlfn.CHOOSECOLS('Prematch Backend 2A'!540:540,_xlfn.MAKEARRAY(1,A540-2,_xlfn.LAMBDA(_xlpm.r,_xlpm.c,_xlpm.c))))</f>
        <v/>
      </c>
    </row>
    <row r="541" spans="2:2" x14ac:dyDescent="0.2">
      <c r="B541" t="str" cm="1">
        <f t="array" ref="B541">IF(A541="","",_xlfn.CHOOSECOLS('Prematch Backend 2A'!541:541,_xlfn.MAKEARRAY(1,A541-2,_xlfn.LAMBDA(_xlpm.r,_xlpm.c,_xlpm.c))))</f>
        <v/>
      </c>
    </row>
    <row r="542" spans="2:2" x14ac:dyDescent="0.2">
      <c r="B542" t="str" cm="1">
        <f t="array" ref="B542">IF(A542="","",_xlfn.CHOOSECOLS('Prematch Backend 2A'!542:542,_xlfn.MAKEARRAY(1,A542-2,_xlfn.LAMBDA(_xlpm.r,_xlpm.c,_xlpm.c))))</f>
        <v/>
      </c>
    </row>
    <row r="543" spans="2:2" x14ac:dyDescent="0.2">
      <c r="B543" t="str" cm="1">
        <f t="array" ref="B543">IF(A543="","",_xlfn.CHOOSECOLS('Prematch Backend 2A'!543:543,_xlfn.MAKEARRAY(1,A543-2,_xlfn.LAMBDA(_xlpm.r,_xlpm.c,_xlpm.c))))</f>
        <v/>
      </c>
    </row>
    <row r="544" spans="2:2" x14ac:dyDescent="0.2">
      <c r="B544" t="str" cm="1">
        <f t="array" ref="B544">IF(A544="","",_xlfn.CHOOSECOLS('Prematch Backend 2A'!544:544,_xlfn.MAKEARRAY(1,A544-2,_xlfn.LAMBDA(_xlpm.r,_xlpm.c,_xlpm.c))))</f>
        <v/>
      </c>
    </row>
    <row r="545" spans="2:2" x14ac:dyDescent="0.2">
      <c r="B545" t="str" cm="1">
        <f t="array" ref="B545">IF(A545="","",_xlfn.CHOOSECOLS('Prematch Backend 2A'!545:545,_xlfn.MAKEARRAY(1,A545-2,_xlfn.LAMBDA(_xlpm.r,_xlpm.c,_xlpm.c))))</f>
        <v/>
      </c>
    </row>
    <row r="546" spans="2:2" x14ac:dyDescent="0.2">
      <c r="B546" t="str" cm="1">
        <f t="array" ref="B546">IF(A546="","",_xlfn.CHOOSECOLS('Prematch Backend 2A'!546:546,_xlfn.MAKEARRAY(1,A546-2,_xlfn.LAMBDA(_xlpm.r,_xlpm.c,_xlpm.c))))</f>
        <v/>
      </c>
    </row>
    <row r="547" spans="2:2" x14ac:dyDescent="0.2">
      <c r="B547" t="str" cm="1">
        <f t="array" ref="B547">IF(A547="","",_xlfn.CHOOSECOLS('Prematch Backend 2A'!547:547,_xlfn.MAKEARRAY(1,A547-2,_xlfn.LAMBDA(_xlpm.r,_xlpm.c,_xlpm.c))))</f>
        <v/>
      </c>
    </row>
    <row r="548" spans="2:2" x14ac:dyDescent="0.2">
      <c r="B548" t="str" cm="1">
        <f t="array" ref="B548">IF(A548="","",_xlfn.CHOOSECOLS('Prematch Backend 2A'!548:548,_xlfn.MAKEARRAY(1,A548-2,_xlfn.LAMBDA(_xlpm.r,_xlpm.c,_xlpm.c))))</f>
        <v/>
      </c>
    </row>
    <row r="549" spans="2:2" x14ac:dyDescent="0.2">
      <c r="B549" t="str" cm="1">
        <f t="array" ref="B549">IF(A549="","",_xlfn.CHOOSECOLS('Prematch Backend 2A'!549:549,_xlfn.MAKEARRAY(1,A549-2,_xlfn.LAMBDA(_xlpm.r,_xlpm.c,_xlpm.c))))</f>
        <v/>
      </c>
    </row>
    <row r="550" spans="2:2" x14ac:dyDescent="0.2">
      <c r="B550" t="str" cm="1">
        <f t="array" ref="B550">IF(A550="","",_xlfn.CHOOSECOLS('Prematch Backend 2A'!550:550,_xlfn.MAKEARRAY(1,A550-2,_xlfn.LAMBDA(_xlpm.r,_xlpm.c,_xlpm.c))))</f>
        <v/>
      </c>
    </row>
    <row r="551" spans="2:2" x14ac:dyDescent="0.2">
      <c r="B551" t="str" cm="1">
        <f t="array" ref="B551">IF(A551="","",_xlfn.CHOOSECOLS('Prematch Backend 2A'!551:551,_xlfn.MAKEARRAY(1,A551-2,_xlfn.LAMBDA(_xlpm.r,_xlpm.c,_xlpm.c))))</f>
        <v/>
      </c>
    </row>
    <row r="552" spans="2:2" x14ac:dyDescent="0.2">
      <c r="B552" t="str" cm="1">
        <f t="array" ref="B552">IF(A552="","",_xlfn.CHOOSECOLS('Prematch Backend 2A'!552:552,_xlfn.MAKEARRAY(1,A552-2,_xlfn.LAMBDA(_xlpm.r,_xlpm.c,_xlpm.c))))</f>
        <v/>
      </c>
    </row>
    <row r="553" spans="2:2" x14ac:dyDescent="0.2">
      <c r="B553" t="str" cm="1">
        <f t="array" ref="B553">IF(A553="","",_xlfn.CHOOSECOLS('Prematch Backend 2A'!553:553,_xlfn.MAKEARRAY(1,A553-2,_xlfn.LAMBDA(_xlpm.r,_xlpm.c,_xlpm.c))))</f>
        <v/>
      </c>
    </row>
    <row r="554" spans="2:2" x14ac:dyDescent="0.2">
      <c r="B554" t="str" cm="1">
        <f t="array" ref="B554">IF(A554="","",_xlfn.CHOOSECOLS('Prematch Backend 2A'!554:554,_xlfn.MAKEARRAY(1,A554-2,_xlfn.LAMBDA(_xlpm.r,_xlpm.c,_xlpm.c))))</f>
        <v/>
      </c>
    </row>
    <row r="555" spans="2:2" x14ac:dyDescent="0.2">
      <c r="B555" t="str" cm="1">
        <f t="array" ref="B555">IF(A555="","",_xlfn.CHOOSECOLS('Prematch Backend 2A'!555:555,_xlfn.MAKEARRAY(1,A555-2,_xlfn.LAMBDA(_xlpm.r,_xlpm.c,_xlpm.c))))</f>
        <v/>
      </c>
    </row>
    <row r="556" spans="2:2" x14ac:dyDescent="0.2">
      <c r="B556" t="str" cm="1">
        <f t="array" ref="B556">IF(A556="","",_xlfn.CHOOSECOLS('Prematch Backend 2A'!556:556,_xlfn.MAKEARRAY(1,A556-2,_xlfn.LAMBDA(_xlpm.r,_xlpm.c,_xlpm.c))))</f>
        <v/>
      </c>
    </row>
    <row r="557" spans="2:2" x14ac:dyDescent="0.2">
      <c r="B557" t="str" cm="1">
        <f t="array" ref="B557">IF(A557="","",_xlfn.CHOOSECOLS('Prematch Backend 2A'!557:557,_xlfn.MAKEARRAY(1,A557-2,_xlfn.LAMBDA(_xlpm.r,_xlpm.c,_xlpm.c))))</f>
        <v/>
      </c>
    </row>
    <row r="558" spans="2:2" x14ac:dyDescent="0.2">
      <c r="B558" t="str" cm="1">
        <f t="array" ref="B558">IF(A558="","",_xlfn.CHOOSECOLS('Prematch Backend 2A'!558:558,_xlfn.MAKEARRAY(1,A558-2,_xlfn.LAMBDA(_xlpm.r,_xlpm.c,_xlpm.c))))</f>
        <v/>
      </c>
    </row>
    <row r="559" spans="2:2" x14ac:dyDescent="0.2">
      <c r="B559" t="str" cm="1">
        <f t="array" ref="B559">IF(A559="","",_xlfn.CHOOSECOLS('Prematch Backend 2A'!559:559,_xlfn.MAKEARRAY(1,A559-2,_xlfn.LAMBDA(_xlpm.r,_xlpm.c,_xlpm.c))))</f>
        <v/>
      </c>
    </row>
    <row r="560" spans="2:2" x14ac:dyDescent="0.2">
      <c r="B560" t="str" cm="1">
        <f t="array" ref="B560">IF(A560="","",_xlfn.CHOOSECOLS('Prematch Backend 2A'!560:560,_xlfn.MAKEARRAY(1,A560-2,_xlfn.LAMBDA(_xlpm.r,_xlpm.c,_xlpm.c))))</f>
        <v/>
      </c>
    </row>
    <row r="561" spans="2:2" x14ac:dyDescent="0.2">
      <c r="B561" t="str" cm="1">
        <f t="array" ref="B561">IF(A561="","",_xlfn.CHOOSECOLS('Prematch Backend 2A'!561:561,_xlfn.MAKEARRAY(1,A561-2,_xlfn.LAMBDA(_xlpm.r,_xlpm.c,_xlpm.c))))</f>
        <v/>
      </c>
    </row>
    <row r="562" spans="2:2" x14ac:dyDescent="0.2">
      <c r="B562" t="str" cm="1">
        <f t="array" ref="B562">IF(A562="","",_xlfn.CHOOSECOLS('Prematch Backend 2A'!562:562,_xlfn.MAKEARRAY(1,A562-2,_xlfn.LAMBDA(_xlpm.r,_xlpm.c,_xlpm.c))))</f>
        <v/>
      </c>
    </row>
    <row r="563" spans="2:2" x14ac:dyDescent="0.2">
      <c r="B563" t="str" cm="1">
        <f t="array" ref="B563">IF(A563="","",_xlfn.CHOOSECOLS('Prematch Backend 2A'!563:563,_xlfn.MAKEARRAY(1,A563-2,_xlfn.LAMBDA(_xlpm.r,_xlpm.c,_xlpm.c))))</f>
        <v/>
      </c>
    </row>
    <row r="564" spans="2:2" x14ac:dyDescent="0.2">
      <c r="B564" t="str" cm="1">
        <f t="array" ref="B564">IF(A564="","",_xlfn.CHOOSECOLS('Prematch Backend 2A'!564:564,_xlfn.MAKEARRAY(1,A564-2,_xlfn.LAMBDA(_xlpm.r,_xlpm.c,_xlpm.c))))</f>
        <v/>
      </c>
    </row>
    <row r="565" spans="2:2" x14ac:dyDescent="0.2">
      <c r="B565" t="str" cm="1">
        <f t="array" ref="B565">IF(A565="","",_xlfn.CHOOSECOLS('Prematch Backend 2A'!565:565,_xlfn.MAKEARRAY(1,A565-2,_xlfn.LAMBDA(_xlpm.r,_xlpm.c,_xlpm.c))))</f>
        <v/>
      </c>
    </row>
    <row r="566" spans="2:2" x14ac:dyDescent="0.2">
      <c r="B566" t="str" cm="1">
        <f t="array" ref="B566">IF(A566="","",_xlfn.CHOOSECOLS('Prematch Backend 2A'!566:566,_xlfn.MAKEARRAY(1,A566-2,_xlfn.LAMBDA(_xlpm.r,_xlpm.c,_xlpm.c))))</f>
        <v/>
      </c>
    </row>
    <row r="567" spans="2:2" x14ac:dyDescent="0.2">
      <c r="B567" t="str" cm="1">
        <f t="array" ref="B567">IF(A567="","",_xlfn.CHOOSECOLS('Prematch Backend 2A'!567:567,_xlfn.MAKEARRAY(1,A567-2,_xlfn.LAMBDA(_xlpm.r,_xlpm.c,_xlpm.c))))</f>
        <v/>
      </c>
    </row>
    <row r="568" spans="2:2" x14ac:dyDescent="0.2">
      <c r="B568" t="str" cm="1">
        <f t="array" ref="B568">IF(A568="","",_xlfn.CHOOSECOLS('Prematch Backend 2A'!568:568,_xlfn.MAKEARRAY(1,A568-2,_xlfn.LAMBDA(_xlpm.r,_xlpm.c,_xlpm.c))))</f>
        <v/>
      </c>
    </row>
    <row r="569" spans="2:2" x14ac:dyDescent="0.2">
      <c r="B569" t="str" cm="1">
        <f t="array" ref="B569">IF(A569="","",_xlfn.CHOOSECOLS('Prematch Backend 2A'!569:569,_xlfn.MAKEARRAY(1,A569-2,_xlfn.LAMBDA(_xlpm.r,_xlpm.c,_xlpm.c))))</f>
        <v/>
      </c>
    </row>
    <row r="570" spans="2:2" x14ac:dyDescent="0.2">
      <c r="B570" t="str" cm="1">
        <f t="array" ref="B570">IF(A570="","",_xlfn.CHOOSECOLS('Prematch Backend 2A'!570:570,_xlfn.MAKEARRAY(1,A570-2,_xlfn.LAMBDA(_xlpm.r,_xlpm.c,_xlpm.c))))</f>
        <v/>
      </c>
    </row>
    <row r="571" spans="2:2" x14ac:dyDescent="0.2">
      <c r="B571" t="str" cm="1">
        <f t="array" ref="B571">IF(A571="","",_xlfn.CHOOSECOLS('Prematch Backend 2A'!571:571,_xlfn.MAKEARRAY(1,A571-2,_xlfn.LAMBDA(_xlpm.r,_xlpm.c,_xlpm.c))))</f>
        <v/>
      </c>
    </row>
    <row r="572" spans="2:2" x14ac:dyDescent="0.2">
      <c r="B572" t="str" cm="1">
        <f t="array" ref="B572">IF(A572="","",_xlfn.CHOOSECOLS('Prematch Backend 2A'!572:572,_xlfn.MAKEARRAY(1,A572-2,_xlfn.LAMBDA(_xlpm.r,_xlpm.c,_xlpm.c))))</f>
        <v/>
      </c>
    </row>
    <row r="573" spans="2:2" x14ac:dyDescent="0.2">
      <c r="B573" t="str" cm="1">
        <f t="array" ref="B573">IF(A573="","",_xlfn.CHOOSECOLS('Prematch Backend 2A'!573:573,_xlfn.MAKEARRAY(1,A573-2,_xlfn.LAMBDA(_xlpm.r,_xlpm.c,_xlpm.c))))</f>
        <v/>
      </c>
    </row>
    <row r="574" spans="2:2" x14ac:dyDescent="0.2">
      <c r="B574" t="str" cm="1">
        <f t="array" ref="B574">IF(A574="","",_xlfn.CHOOSECOLS('Prematch Backend 2A'!574:574,_xlfn.MAKEARRAY(1,A574-2,_xlfn.LAMBDA(_xlpm.r,_xlpm.c,_xlpm.c))))</f>
        <v/>
      </c>
    </row>
    <row r="575" spans="2:2" x14ac:dyDescent="0.2">
      <c r="B575" t="str" cm="1">
        <f t="array" ref="B575">IF(A575="","",_xlfn.CHOOSECOLS('Prematch Backend 2A'!575:575,_xlfn.MAKEARRAY(1,A575-2,_xlfn.LAMBDA(_xlpm.r,_xlpm.c,_xlpm.c))))</f>
        <v/>
      </c>
    </row>
    <row r="576" spans="2:2" x14ac:dyDescent="0.2">
      <c r="B576" t="str" cm="1">
        <f t="array" ref="B576">IF(A576="","",_xlfn.CHOOSECOLS('Prematch Backend 2A'!576:576,_xlfn.MAKEARRAY(1,A576-2,_xlfn.LAMBDA(_xlpm.r,_xlpm.c,_xlpm.c))))</f>
        <v/>
      </c>
    </row>
    <row r="577" spans="2:2" x14ac:dyDescent="0.2">
      <c r="B577" t="str" cm="1">
        <f t="array" ref="B577">IF(A577="","",_xlfn.CHOOSECOLS('Prematch Backend 2A'!577:577,_xlfn.MAKEARRAY(1,A577-2,_xlfn.LAMBDA(_xlpm.r,_xlpm.c,_xlpm.c))))</f>
        <v/>
      </c>
    </row>
    <row r="578" spans="2:2" x14ac:dyDescent="0.2">
      <c r="B578" t="str" cm="1">
        <f t="array" ref="B578">IF(A578="","",_xlfn.CHOOSECOLS('Prematch Backend 2A'!578:578,_xlfn.MAKEARRAY(1,A578-2,_xlfn.LAMBDA(_xlpm.r,_xlpm.c,_xlpm.c))))</f>
        <v/>
      </c>
    </row>
    <row r="579" spans="2:2" x14ac:dyDescent="0.2">
      <c r="B579" t="str" cm="1">
        <f t="array" ref="B579">IF(A579="","",_xlfn.CHOOSECOLS('Prematch Backend 2A'!579:579,_xlfn.MAKEARRAY(1,A579-2,_xlfn.LAMBDA(_xlpm.r,_xlpm.c,_xlpm.c))))</f>
        <v/>
      </c>
    </row>
    <row r="580" spans="2:2" x14ac:dyDescent="0.2">
      <c r="B580" t="str" cm="1">
        <f t="array" ref="B580">IF(A580="","",_xlfn.CHOOSECOLS('Prematch Backend 2A'!580:580,_xlfn.MAKEARRAY(1,A580-2,_xlfn.LAMBDA(_xlpm.r,_xlpm.c,_xlpm.c))))</f>
        <v/>
      </c>
    </row>
    <row r="581" spans="2:2" x14ac:dyDescent="0.2">
      <c r="B581" t="str" cm="1">
        <f t="array" ref="B581">IF(A581="","",_xlfn.CHOOSECOLS('Prematch Backend 2A'!581:581,_xlfn.MAKEARRAY(1,A581-2,_xlfn.LAMBDA(_xlpm.r,_xlpm.c,_xlpm.c))))</f>
        <v/>
      </c>
    </row>
    <row r="582" spans="2:2" x14ac:dyDescent="0.2">
      <c r="B582" t="str" cm="1">
        <f t="array" ref="B582">IF(A582="","",_xlfn.CHOOSECOLS('Prematch Backend 2A'!582:582,_xlfn.MAKEARRAY(1,A582-2,_xlfn.LAMBDA(_xlpm.r,_xlpm.c,_xlpm.c))))</f>
        <v/>
      </c>
    </row>
    <row r="583" spans="2:2" x14ac:dyDescent="0.2">
      <c r="B583" t="str" cm="1">
        <f t="array" ref="B583">IF(A583="","",_xlfn.CHOOSECOLS('Prematch Backend 2A'!583:583,_xlfn.MAKEARRAY(1,A583-2,_xlfn.LAMBDA(_xlpm.r,_xlpm.c,_xlpm.c))))</f>
        <v/>
      </c>
    </row>
    <row r="584" spans="2:2" x14ac:dyDescent="0.2">
      <c r="B584" t="str" cm="1">
        <f t="array" ref="B584">IF(A584="","",_xlfn.CHOOSECOLS('Prematch Backend 2A'!584:584,_xlfn.MAKEARRAY(1,A584-2,_xlfn.LAMBDA(_xlpm.r,_xlpm.c,_xlpm.c))))</f>
        <v/>
      </c>
    </row>
    <row r="585" spans="2:2" x14ac:dyDescent="0.2">
      <c r="B585" t="str" cm="1">
        <f t="array" ref="B585">IF(A585="","",_xlfn.CHOOSECOLS('Prematch Backend 2A'!585:585,_xlfn.MAKEARRAY(1,A585-2,_xlfn.LAMBDA(_xlpm.r,_xlpm.c,_xlpm.c))))</f>
        <v/>
      </c>
    </row>
    <row r="586" spans="2:2" x14ac:dyDescent="0.2">
      <c r="B586" t="str" cm="1">
        <f t="array" ref="B586">IF(A586="","",_xlfn.CHOOSECOLS('Prematch Backend 2A'!586:586,_xlfn.MAKEARRAY(1,A586-2,_xlfn.LAMBDA(_xlpm.r,_xlpm.c,_xlpm.c))))</f>
        <v/>
      </c>
    </row>
    <row r="587" spans="2:2" x14ac:dyDescent="0.2">
      <c r="B587" t="str" cm="1">
        <f t="array" ref="B587">IF(A587="","",_xlfn.CHOOSECOLS('Prematch Backend 2A'!587:587,_xlfn.MAKEARRAY(1,A587-2,_xlfn.LAMBDA(_xlpm.r,_xlpm.c,_xlpm.c))))</f>
        <v/>
      </c>
    </row>
    <row r="588" spans="2:2" x14ac:dyDescent="0.2">
      <c r="B588" t="str" cm="1">
        <f t="array" ref="B588">IF(A588="","",_xlfn.CHOOSECOLS('Prematch Backend 2A'!588:588,_xlfn.MAKEARRAY(1,A588-2,_xlfn.LAMBDA(_xlpm.r,_xlpm.c,_xlpm.c))))</f>
        <v/>
      </c>
    </row>
    <row r="589" spans="2:2" x14ac:dyDescent="0.2">
      <c r="B589" t="str" cm="1">
        <f t="array" ref="B589">IF(A589="","",_xlfn.CHOOSECOLS('Prematch Backend 2A'!589:589,_xlfn.MAKEARRAY(1,A589-2,_xlfn.LAMBDA(_xlpm.r,_xlpm.c,_xlpm.c))))</f>
        <v/>
      </c>
    </row>
    <row r="590" spans="2:2" x14ac:dyDescent="0.2">
      <c r="B590" t="str" cm="1">
        <f t="array" ref="B590">IF(A590="","",_xlfn.CHOOSECOLS('Prematch Backend 2A'!590:590,_xlfn.MAKEARRAY(1,A590-2,_xlfn.LAMBDA(_xlpm.r,_xlpm.c,_xlpm.c))))</f>
        <v/>
      </c>
    </row>
    <row r="591" spans="2:2" x14ac:dyDescent="0.2">
      <c r="B591" t="str" cm="1">
        <f t="array" ref="B591">IF(A591="","",_xlfn.CHOOSECOLS('Prematch Backend 2A'!591:591,_xlfn.MAKEARRAY(1,A591-2,_xlfn.LAMBDA(_xlpm.r,_xlpm.c,_xlpm.c))))</f>
        <v/>
      </c>
    </row>
    <row r="592" spans="2:2" x14ac:dyDescent="0.2">
      <c r="B592" t="str" cm="1">
        <f t="array" ref="B592">IF(A592="","",_xlfn.CHOOSECOLS('Prematch Backend 2A'!592:592,_xlfn.MAKEARRAY(1,A592-2,_xlfn.LAMBDA(_xlpm.r,_xlpm.c,_xlpm.c))))</f>
        <v/>
      </c>
    </row>
    <row r="593" spans="2:2" x14ac:dyDescent="0.2">
      <c r="B593" t="str" cm="1">
        <f t="array" ref="B593">IF(A593="","",_xlfn.CHOOSECOLS('Prematch Backend 2A'!593:593,_xlfn.MAKEARRAY(1,A593-2,_xlfn.LAMBDA(_xlpm.r,_xlpm.c,_xlpm.c))))</f>
        <v/>
      </c>
    </row>
    <row r="594" spans="2:2" x14ac:dyDescent="0.2">
      <c r="B594" t="str" cm="1">
        <f t="array" ref="B594">IF(A594="","",_xlfn.CHOOSECOLS('Prematch Backend 2A'!594:594,_xlfn.MAKEARRAY(1,A594-2,_xlfn.LAMBDA(_xlpm.r,_xlpm.c,_xlpm.c))))</f>
        <v/>
      </c>
    </row>
    <row r="595" spans="2:2" x14ac:dyDescent="0.2">
      <c r="B595" t="str" cm="1">
        <f t="array" ref="B595">IF(A595="","",_xlfn.CHOOSECOLS('Prematch Backend 2A'!595:595,_xlfn.MAKEARRAY(1,A595-2,_xlfn.LAMBDA(_xlpm.r,_xlpm.c,_xlpm.c))))</f>
        <v/>
      </c>
    </row>
    <row r="596" spans="2:2" x14ac:dyDescent="0.2">
      <c r="B596" t="str" cm="1">
        <f t="array" ref="B596">IF(A596="","",_xlfn.CHOOSECOLS('Prematch Backend 2A'!596:596,_xlfn.MAKEARRAY(1,A596-2,_xlfn.LAMBDA(_xlpm.r,_xlpm.c,_xlpm.c))))</f>
        <v/>
      </c>
    </row>
    <row r="597" spans="2:2" x14ac:dyDescent="0.2">
      <c r="B597" t="str" cm="1">
        <f t="array" ref="B597">IF(A597="","",_xlfn.CHOOSECOLS('Prematch Backend 2A'!597:597,_xlfn.MAKEARRAY(1,A597-2,_xlfn.LAMBDA(_xlpm.r,_xlpm.c,_xlpm.c))))</f>
        <v/>
      </c>
    </row>
    <row r="598" spans="2:2" x14ac:dyDescent="0.2">
      <c r="B598" t="str" cm="1">
        <f t="array" ref="B598">IF(A598="","",_xlfn.CHOOSECOLS('Prematch Backend 2A'!598:598,_xlfn.MAKEARRAY(1,A598-2,_xlfn.LAMBDA(_xlpm.r,_xlpm.c,_xlpm.c))))</f>
        <v/>
      </c>
    </row>
    <row r="599" spans="2:2" x14ac:dyDescent="0.2">
      <c r="B599" t="str" cm="1">
        <f t="array" ref="B599">IF(A599="","",_xlfn.CHOOSECOLS('Prematch Backend 2A'!599:599,_xlfn.MAKEARRAY(1,A599-2,_xlfn.LAMBDA(_xlpm.r,_xlpm.c,_xlpm.c))))</f>
        <v/>
      </c>
    </row>
    <row r="600" spans="2:2" x14ac:dyDescent="0.2">
      <c r="B600" t="str" cm="1">
        <f t="array" ref="B600">IF(A600="","",_xlfn.CHOOSECOLS('Prematch Backend 2A'!600:600,_xlfn.MAKEARRAY(1,A600-2,_xlfn.LAMBDA(_xlpm.r,_xlpm.c,_xlpm.c))))</f>
        <v/>
      </c>
    </row>
    <row r="601" spans="2:2" x14ac:dyDescent="0.2">
      <c r="B601" t="str" cm="1">
        <f t="array" ref="B601">IF(A601="","",_xlfn.CHOOSECOLS('Prematch Backend 2A'!601:601,_xlfn.MAKEARRAY(1,A601-2,_xlfn.LAMBDA(_xlpm.r,_xlpm.c,_xlpm.c))))</f>
        <v/>
      </c>
    </row>
    <row r="602" spans="2:2" x14ac:dyDescent="0.2">
      <c r="B602" t="str" cm="1">
        <f t="array" ref="B602">IF(A602="","",_xlfn.CHOOSECOLS('Prematch Backend 2A'!602:602,_xlfn.MAKEARRAY(1,A602-2,_xlfn.LAMBDA(_xlpm.r,_xlpm.c,_xlpm.c))))</f>
        <v/>
      </c>
    </row>
    <row r="603" spans="2:2" x14ac:dyDescent="0.2">
      <c r="B603" t="str" cm="1">
        <f t="array" ref="B603">IF(A603="","",_xlfn.CHOOSECOLS('Prematch Backend 2A'!603:603,_xlfn.MAKEARRAY(1,A603-2,_xlfn.LAMBDA(_xlpm.r,_xlpm.c,_xlpm.c))))</f>
        <v/>
      </c>
    </row>
    <row r="604" spans="2:2" x14ac:dyDescent="0.2">
      <c r="B604" t="str" cm="1">
        <f t="array" ref="B604">IF(A604="","",_xlfn.CHOOSECOLS('Prematch Backend 2A'!604:604,_xlfn.MAKEARRAY(1,A604-2,_xlfn.LAMBDA(_xlpm.r,_xlpm.c,_xlpm.c))))</f>
        <v/>
      </c>
    </row>
    <row r="605" spans="2:2" x14ac:dyDescent="0.2">
      <c r="B605" t="str" cm="1">
        <f t="array" ref="B605">IF(A605="","",_xlfn.CHOOSECOLS('Prematch Backend 2A'!605:605,_xlfn.MAKEARRAY(1,A605-2,_xlfn.LAMBDA(_xlpm.r,_xlpm.c,_xlpm.c))))</f>
        <v/>
      </c>
    </row>
    <row r="606" spans="2:2" x14ac:dyDescent="0.2">
      <c r="B606" t="str" cm="1">
        <f t="array" ref="B606">IF(A606="","",_xlfn.CHOOSECOLS('Prematch Backend 2A'!606:606,_xlfn.MAKEARRAY(1,A606-2,_xlfn.LAMBDA(_xlpm.r,_xlpm.c,_xlpm.c))))</f>
        <v/>
      </c>
    </row>
    <row r="607" spans="2:2" x14ac:dyDescent="0.2">
      <c r="B607" t="str" cm="1">
        <f t="array" ref="B607">IF(A607="","",_xlfn.CHOOSECOLS('Prematch Backend 2A'!607:607,_xlfn.MAKEARRAY(1,A607-2,_xlfn.LAMBDA(_xlpm.r,_xlpm.c,_xlpm.c))))</f>
        <v/>
      </c>
    </row>
    <row r="608" spans="2:2" x14ac:dyDescent="0.2">
      <c r="B608" t="str" cm="1">
        <f t="array" ref="B608">IF(A608="","",_xlfn.CHOOSECOLS('Prematch Backend 2A'!608:608,_xlfn.MAKEARRAY(1,A608-2,_xlfn.LAMBDA(_xlpm.r,_xlpm.c,_xlpm.c))))</f>
        <v/>
      </c>
    </row>
    <row r="609" spans="2:2" x14ac:dyDescent="0.2">
      <c r="B609" t="str" cm="1">
        <f t="array" ref="B609">IF(A609="","",_xlfn.CHOOSECOLS('Prematch Backend 2A'!609:609,_xlfn.MAKEARRAY(1,A609-2,_xlfn.LAMBDA(_xlpm.r,_xlpm.c,_xlpm.c))))</f>
        <v/>
      </c>
    </row>
    <row r="610" spans="2:2" x14ac:dyDescent="0.2">
      <c r="B610" t="str" cm="1">
        <f t="array" ref="B610">IF(A610="","",_xlfn.CHOOSECOLS('Prematch Backend 2A'!610:610,_xlfn.MAKEARRAY(1,A610-2,_xlfn.LAMBDA(_xlpm.r,_xlpm.c,_xlpm.c))))</f>
        <v/>
      </c>
    </row>
    <row r="611" spans="2:2" x14ac:dyDescent="0.2">
      <c r="B611" t="str" cm="1">
        <f t="array" ref="B611">IF(A611="","",_xlfn.CHOOSECOLS('Prematch Backend 2A'!611:611,_xlfn.MAKEARRAY(1,A611-2,_xlfn.LAMBDA(_xlpm.r,_xlpm.c,_xlpm.c))))</f>
        <v/>
      </c>
    </row>
    <row r="612" spans="2:2" x14ac:dyDescent="0.2">
      <c r="B612" t="str" cm="1">
        <f t="array" ref="B612">IF(A612="","",_xlfn.CHOOSECOLS('Prematch Backend 2A'!612:612,_xlfn.MAKEARRAY(1,A612-2,_xlfn.LAMBDA(_xlpm.r,_xlpm.c,_xlpm.c))))</f>
        <v/>
      </c>
    </row>
    <row r="613" spans="2:2" x14ac:dyDescent="0.2">
      <c r="B613" t="str" cm="1">
        <f t="array" ref="B613">IF(A613="","",_xlfn.CHOOSECOLS('Prematch Backend 2A'!613:613,_xlfn.MAKEARRAY(1,A613-2,_xlfn.LAMBDA(_xlpm.r,_xlpm.c,_xlpm.c))))</f>
        <v/>
      </c>
    </row>
    <row r="614" spans="2:2" x14ac:dyDescent="0.2">
      <c r="B614" t="str" cm="1">
        <f t="array" ref="B614">IF(A614="","",_xlfn.CHOOSECOLS('Prematch Backend 2A'!614:614,_xlfn.MAKEARRAY(1,A614-2,_xlfn.LAMBDA(_xlpm.r,_xlpm.c,_xlpm.c))))</f>
        <v/>
      </c>
    </row>
    <row r="615" spans="2:2" x14ac:dyDescent="0.2">
      <c r="B615" t="str" cm="1">
        <f t="array" ref="B615">IF(A615="","",_xlfn.CHOOSECOLS('Prematch Backend 2A'!615:615,_xlfn.MAKEARRAY(1,A615-2,_xlfn.LAMBDA(_xlpm.r,_xlpm.c,_xlpm.c))))</f>
        <v/>
      </c>
    </row>
    <row r="616" spans="2:2" x14ac:dyDescent="0.2">
      <c r="B616" t="str" cm="1">
        <f t="array" ref="B616">IF(A616="","",_xlfn.CHOOSECOLS('Prematch Backend 2A'!616:616,_xlfn.MAKEARRAY(1,A616-2,_xlfn.LAMBDA(_xlpm.r,_xlpm.c,_xlpm.c))))</f>
        <v/>
      </c>
    </row>
    <row r="617" spans="2:2" x14ac:dyDescent="0.2">
      <c r="B617" t="str" cm="1">
        <f t="array" ref="B617">IF(A617="","",_xlfn.CHOOSECOLS('Prematch Backend 2A'!617:617,_xlfn.MAKEARRAY(1,A617-2,_xlfn.LAMBDA(_xlpm.r,_xlpm.c,_xlpm.c))))</f>
        <v/>
      </c>
    </row>
    <row r="618" spans="2:2" x14ac:dyDescent="0.2">
      <c r="B618" t="str" cm="1">
        <f t="array" ref="B618">IF(A618="","",_xlfn.CHOOSECOLS('Prematch Backend 2A'!618:618,_xlfn.MAKEARRAY(1,A618-2,_xlfn.LAMBDA(_xlpm.r,_xlpm.c,_xlpm.c))))</f>
        <v/>
      </c>
    </row>
    <row r="619" spans="2:2" x14ac:dyDescent="0.2">
      <c r="B619" t="str" cm="1">
        <f t="array" ref="B619">IF(A619="","",_xlfn.CHOOSECOLS('Prematch Backend 2A'!619:619,_xlfn.MAKEARRAY(1,A619-2,_xlfn.LAMBDA(_xlpm.r,_xlpm.c,_xlpm.c))))</f>
        <v/>
      </c>
    </row>
    <row r="620" spans="2:2" x14ac:dyDescent="0.2">
      <c r="B620" t="str" cm="1">
        <f t="array" ref="B620">IF(A620="","",_xlfn.CHOOSECOLS('Prematch Backend 2A'!620:620,_xlfn.MAKEARRAY(1,A620-2,_xlfn.LAMBDA(_xlpm.r,_xlpm.c,_xlpm.c))))</f>
        <v/>
      </c>
    </row>
    <row r="621" spans="2:2" x14ac:dyDescent="0.2">
      <c r="B621" t="str" cm="1">
        <f t="array" ref="B621">IF(A621="","",_xlfn.CHOOSECOLS('Prematch Backend 2A'!621:621,_xlfn.MAKEARRAY(1,A621-2,_xlfn.LAMBDA(_xlpm.r,_xlpm.c,_xlpm.c))))</f>
        <v/>
      </c>
    </row>
    <row r="622" spans="2:2" x14ac:dyDescent="0.2">
      <c r="B622" t="str" cm="1">
        <f t="array" ref="B622">IF(A622="","",_xlfn.CHOOSECOLS('Prematch Backend 2A'!622:622,_xlfn.MAKEARRAY(1,A622-2,_xlfn.LAMBDA(_xlpm.r,_xlpm.c,_xlpm.c))))</f>
        <v/>
      </c>
    </row>
    <row r="623" spans="2:2" x14ac:dyDescent="0.2">
      <c r="B623" t="str" cm="1">
        <f t="array" ref="B623">IF(A623="","",_xlfn.CHOOSECOLS('Prematch Backend 2A'!623:623,_xlfn.MAKEARRAY(1,A623-2,_xlfn.LAMBDA(_xlpm.r,_xlpm.c,_xlpm.c))))</f>
        <v/>
      </c>
    </row>
    <row r="624" spans="2:2" x14ac:dyDescent="0.2">
      <c r="B624" t="str" cm="1">
        <f t="array" ref="B624">IF(A624="","",_xlfn.CHOOSECOLS('Prematch Backend 2A'!624:624,_xlfn.MAKEARRAY(1,A624-2,_xlfn.LAMBDA(_xlpm.r,_xlpm.c,_xlpm.c))))</f>
        <v/>
      </c>
    </row>
    <row r="625" spans="2:2" x14ac:dyDescent="0.2">
      <c r="B625" t="str" cm="1">
        <f t="array" ref="B625">IF(A625="","",_xlfn.CHOOSECOLS('Prematch Backend 2A'!625:625,_xlfn.MAKEARRAY(1,A625-2,_xlfn.LAMBDA(_xlpm.r,_xlpm.c,_xlpm.c))))</f>
        <v/>
      </c>
    </row>
    <row r="626" spans="2:2" x14ac:dyDescent="0.2">
      <c r="B626" t="str" cm="1">
        <f t="array" ref="B626">IF(A626="","",_xlfn.CHOOSECOLS('Prematch Backend 2A'!626:626,_xlfn.MAKEARRAY(1,A626-2,_xlfn.LAMBDA(_xlpm.r,_xlpm.c,_xlpm.c))))</f>
        <v/>
      </c>
    </row>
    <row r="627" spans="2:2" x14ac:dyDescent="0.2">
      <c r="B627" t="str" cm="1">
        <f t="array" ref="B627">IF(A627="","",_xlfn.CHOOSECOLS('Prematch Backend 2A'!627:627,_xlfn.MAKEARRAY(1,A627-2,_xlfn.LAMBDA(_xlpm.r,_xlpm.c,_xlpm.c))))</f>
        <v/>
      </c>
    </row>
    <row r="628" spans="2:2" x14ac:dyDescent="0.2">
      <c r="B628" t="str" cm="1">
        <f t="array" ref="B628">IF(A628="","",_xlfn.CHOOSECOLS('Prematch Backend 2A'!628:628,_xlfn.MAKEARRAY(1,A628-2,_xlfn.LAMBDA(_xlpm.r,_xlpm.c,_xlpm.c))))</f>
        <v/>
      </c>
    </row>
    <row r="629" spans="2:2" x14ac:dyDescent="0.2">
      <c r="B629" t="str" cm="1">
        <f t="array" ref="B629">IF(A629="","",_xlfn.CHOOSECOLS('Prematch Backend 2A'!629:629,_xlfn.MAKEARRAY(1,A629-2,_xlfn.LAMBDA(_xlpm.r,_xlpm.c,_xlpm.c))))</f>
        <v/>
      </c>
    </row>
    <row r="630" spans="2:2" x14ac:dyDescent="0.2">
      <c r="B630" t="str" cm="1">
        <f t="array" ref="B630">IF(A630="","",_xlfn.CHOOSECOLS('Prematch Backend 2A'!630:630,_xlfn.MAKEARRAY(1,A630-2,_xlfn.LAMBDA(_xlpm.r,_xlpm.c,_xlpm.c))))</f>
        <v/>
      </c>
    </row>
    <row r="631" spans="2:2" x14ac:dyDescent="0.2">
      <c r="B631" t="str" cm="1">
        <f t="array" ref="B631">IF(A631="","",_xlfn.CHOOSECOLS('Prematch Backend 2A'!631:631,_xlfn.MAKEARRAY(1,A631-2,_xlfn.LAMBDA(_xlpm.r,_xlpm.c,_xlpm.c))))</f>
        <v/>
      </c>
    </row>
    <row r="632" spans="2:2" x14ac:dyDescent="0.2">
      <c r="B632" t="str" cm="1">
        <f t="array" ref="B632">IF(A632="","",_xlfn.CHOOSECOLS('Prematch Backend 2A'!632:632,_xlfn.MAKEARRAY(1,A632-2,_xlfn.LAMBDA(_xlpm.r,_xlpm.c,_xlpm.c))))</f>
        <v/>
      </c>
    </row>
    <row r="633" spans="2:2" x14ac:dyDescent="0.2">
      <c r="B633" t="str" cm="1">
        <f t="array" ref="B633">IF(A633="","",_xlfn.CHOOSECOLS('Prematch Backend 2A'!633:633,_xlfn.MAKEARRAY(1,A633-2,_xlfn.LAMBDA(_xlpm.r,_xlpm.c,_xlpm.c))))</f>
        <v/>
      </c>
    </row>
    <row r="634" spans="2:2" x14ac:dyDescent="0.2">
      <c r="B634" t="str" cm="1">
        <f t="array" ref="B634">IF(A634="","",_xlfn.CHOOSECOLS('Prematch Backend 2A'!634:634,_xlfn.MAKEARRAY(1,A634-2,_xlfn.LAMBDA(_xlpm.r,_xlpm.c,_xlpm.c))))</f>
        <v/>
      </c>
    </row>
    <row r="635" spans="2:2" x14ac:dyDescent="0.2">
      <c r="B635" t="str" cm="1">
        <f t="array" ref="B635">IF(A635="","",_xlfn.CHOOSECOLS('Prematch Backend 2A'!635:635,_xlfn.MAKEARRAY(1,A635-2,_xlfn.LAMBDA(_xlpm.r,_xlpm.c,_xlpm.c))))</f>
        <v/>
      </c>
    </row>
    <row r="636" spans="2:2" x14ac:dyDescent="0.2">
      <c r="B636" t="str" cm="1">
        <f t="array" ref="B636">IF(A636="","",_xlfn.CHOOSECOLS('Prematch Backend 2A'!636:636,_xlfn.MAKEARRAY(1,A636-2,_xlfn.LAMBDA(_xlpm.r,_xlpm.c,_xlpm.c))))</f>
        <v/>
      </c>
    </row>
    <row r="637" spans="2:2" x14ac:dyDescent="0.2">
      <c r="B637" t="str" cm="1">
        <f t="array" ref="B637">IF(A637="","",_xlfn.CHOOSECOLS('Prematch Backend 2A'!637:637,_xlfn.MAKEARRAY(1,A637-2,_xlfn.LAMBDA(_xlpm.r,_xlpm.c,_xlpm.c))))</f>
        <v/>
      </c>
    </row>
    <row r="638" spans="2:2" x14ac:dyDescent="0.2">
      <c r="B638" t="str" cm="1">
        <f t="array" ref="B638">IF(A638="","",_xlfn.CHOOSECOLS('Prematch Backend 2A'!638:638,_xlfn.MAKEARRAY(1,A638-2,_xlfn.LAMBDA(_xlpm.r,_xlpm.c,_xlpm.c))))</f>
        <v/>
      </c>
    </row>
    <row r="639" spans="2:2" x14ac:dyDescent="0.2">
      <c r="B639" t="str" cm="1">
        <f t="array" ref="B639">IF(A639="","",_xlfn.CHOOSECOLS('Prematch Backend 2A'!639:639,_xlfn.MAKEARRAY(1,A639-2,_xlfn.LAMBDA(_xlpm.r,_xlpm.c,_xlpm.c))))</f>
        <v/>
      </c>
    </row>
    <row r="640" spans="2:2" x14ac:dyDescent="0.2">
      <c r="B640" t="str" cm="1">
        <f t="array" ref="B640">IF(A640="","",_xlfn.CHOOSECOLS('Prematch Backend 2A'!640:640,_xlfn.MAKEARRAY(1,A640-2,_xlfn.LAMBDA(_xlpm.r,_xlpm.c,_xlpm.c))))</f>
        <v/>
      </c>
    </row>
    <row r="641" spans="2:2" x14ac:dyDescent="0.2">
      <c r="B641" t="str" cm="1">
        <f t="array" ref="B641">IF(A641="","",_xlfn.CHOOSECOLS('Prematch Backend 2A'!641:641,_xlfn.MAKEARRAY(1,A641-2,_xlfn.LAMBDA(_xlpm.r,_xlpm.c,_xlpm.c))))</f>
        <v/>
      </c>
    </row>
    <row r="642" spans="2:2" x14ac:dyDescent="0.2">
      <c r="B642" t="str" cm="1">
        <f t="array" ref="B642">IF(A642="","",_xlfn.CHOOSECOLS('Prematch Backend 2A'!642:642,_xlfn.MAKEARRAY(1,A642-2,_xlfn.LAMBDA(_xlpm.r,_xlpm.c,_xlpm.c))))</f>
        <v/>
      </c>
    </row>
    <row r="643" spans="2:2" x14ac:dyDescent="0.2">
      <c r="B643" t="str" cm="1">
        <f t="array" ref="B643">IF(A643="","",_xlfn.CHOOSECOLS('Prematch Backend 2A'!643:643,_xlfn.MAKEARRAY(1,A643-2,_xlfn.LAMBDA(_xlpm.r,_xlpm.c,_xlpm.c))))</f>
        <v/>
      </c>
    </row>
    <row r="644" spans="2:2" x14ac:dyDescent="0.2">
      <c r="B644" t="str" cm="1">
        <f t="array" ref="B644">IF(A644="","",_xlfn.CHOOSECOLS('Prematch Backend 2A'!644:644,_xlfn.MAKEARRAY(1,A644-2,_xlfn.LAMBDA(_xlpm.r,_xlpm.c,_xlpm.c))))</f>
        <v/>
      </c>
    </row>
    <row r="645" spans="2:2" x14ac:dyDescent="0.2">
      <c r="B645" t="str" cm="1">
        <f t="array" ref="B645">IF(A645="","",_xlfn.CHOOSECOLS('Prematch Backend 2A'!645:645,_xlfn.MAKEARRAY(1,A645-2,_xlfn.LAMBDA(_xlpm.r,_xlpm.c,_xlpm.c))))</f>
        <v/>
      </c>
    </row>
    <row r="646" spans="2:2" x14ac:dyDescent="0.2">
      <c r="B646" t="str" cm="1">
        <f t="array" ref="B646">IF(A646="","",_xlfn.CHOOSECOLS('Prematch Backend 2A'!646:646,_xlfn.MAKEARRAY(1,A646-2,_xlfn.LAMBDA(_xlpm.r,_xlpm.c,_xlpm.c))))</f>
        <v/>
      </c>
    </row>
    <row r="647" spans="2:2" x14ac:dyDescent="0.2">
      <c r="B647" t="str" cm="1">
        <f t="array" ref="B647">IF(A647="","",_xlfn.CHOOSECOLS('Prematch Backend 2A'!647:647,_xlfn.MAKEARRAY(1,A647-2,_xlfn.LAMBDA(_xlpm.r,_xlpm.c,_xlpm.c))))</f>
        <v/>
      </c>
    </row>
    <row r="648" spans="2:2" x14ac:dyDescent="0.2">
      <c r="B648" t="str" cm="1">
        <f t="array" ref="B648">IF(A648="","",_xlfn.CHOOSECOLS('Prematch Backend 2A'!648:648,_xlfn.MAKEARRAY(1,A648-2,_xlfn.LAMBDA(_xlpm.r,_xlpm.c,_xlpm.c))))</f>
        <v/>
      </c>
    </row>
    <row r="649" spans="2:2" x14ac:dyDescent="0.2">
      <c r="B649" t="str" cm="1">
        <f t="array" ref="B649">IF(A649="","",_xlfn.CHOOSECOLS('Prematch Backend 2A'!649:649,_xlfn.MAKEARRAY(1,A649-2,_xlfn.LAMBDA(_xlpm.r,_xlpm.c,_xlpm.c))))</f>
        <v/>
      </c>
    </row>
    <row r="650" spans="2:2" x14ac:dyDescent="0.2">
      <c r="B650" t="str" cm="1">
        <f t="array" ref="B650">IF(A650="","",_xlfn.CHOOSECOLS('Prematch Backend 2A'!650:650,_xlfn.MAKEARRAY(1,A650-2,_xlfn.LAMBDA(_xlpm.r,_xlpm.c,_xlpm.c))))</f>
        <v/>
      </c>
    </row>
    <row r="651" spans="2:2" x14ac:dyDescent="0.2">
      <c r="B651" t="str" cm="1">
        <f t="array" ref="B651">IF(A651="","",_xlfn.CHOOSECOLS('Prematch Backend 2A'!651:651,_xlfn.MAKEARRAY(1,A651-2,_xlfn.LAMBDA(_xlpm.r,_xlpm.c,_xlpm.c))))</f>
        <v/>
      </c>
    </row>
    <row r="652" spans="2:2" x14ac:dyDescent="0.2">
      <c r="B652" t="str" cm="1">
        <f t="array" ref="B652">IF(A652="","",_xlfn.CHOOSECOLS('Prematch Backend 2A'!652:652,_xlfn.MAKEARRAY(1,A652-2,_xlfn.LAMBDA(_xlpm.r,_xlpm.c,_xlpm.c))))</f>
        <v/>
      </c>
    </row>
    <row r="653" spans="2:2" x14ac:dyDescent="0.2">
      <c r="B653" t="str" cm="1">
        <f t="array" ref="B653">IF(A653="","",_xlfn.CHOOSECOLS('Prematch Backend 2A'!653:653,_xlfn.MAKEARRAY(1,A653-2,_xlfn.LAMBDA(_xlpm.r,_xlpm.c,_xlpm.c))))</f>
        <v/>
      </c>
    </row>
    <row r="654" spans="2:2" x14ac:dyDescent="0.2">
      <c r="B654" t="str" cm="1">
        <f t="array" ref="B654">IF(A654="","",_xlfn.CHOOSECOLS('Prematch Backend 2A'!654:654,_xlfn.MAKEARRAY(1,A654-2,_xlfn.LAMBDA(_xlpm.r,_xlpm.c,_xlpm.c))))</f>
        <v/>
      </c>
    </row>
    <row r="655" spans="2:2" x14ac:dyDescent="0.2">
      <c r="B655" t="str" cm="1">
        <f t="array" ref="B655">IF(A655="","",_xlfn.CHOOSECOLS('Prematch Backend 2A'!655:655,_xlfn.MAKEARRAY(1,A655-2,_xlfn.LAMBDA(_xlpm.r,_xlpm.c,_xlpm.c))))</f>
        <v/>
      </c>
    </row>
    <row r="656" spans="2:2" x14ac:dyDescent="0.2">
      <c r="B656" t="str" cm="1">
        <f t="array" ref="B656">IF(A656="","",_xlfn.CHOOSECOLS('Prematch Backend 2A'!656:656,_xlfn.MAKEARRAY(1,A656-2,_xlfn.LAMBDA(_xlpm.r,_xlpm.c,_xlpm.c))))</f>
        <v/>
      </c>
    </row>
    <row r="657" spans="2:2" x14ac:dyDescent="0.2">
      <c r="B657" t="str" cm="1">
        <f t="array" ref="B657">IF(A657="","",_xlfn.CHOOSECOLS('Prematch Backend 2A'!657:657,_xlfn.MAKEARRAY(1,A657-2,_xlfn.LAMBDA(_xlpm.r,_xlpm.c,_xlpm.c))))</f>
        <v/>
      </c>
    </row>
    <row r="658" spans="2:2" x14ac:dyDescent="0.2">
      <c r="B658" t="str" cm="1">
        <f t="array" ref="B658">IF(A658="","",_xlfn.CHOOSECOLS('Prematch Backend 2A'!658:658,_xlfn.MAKEARRAY(1,A658-2,_xlfn.LAMBDA(_xlpm.r,_xlpm.c,_xlpm.c))))</f>
        <v/>
      </c>
    </row>
    <row r="659" spans="2:2" x14ac:dyDescent="0.2">
      <c r="B659" t="str" cm="1">
        <f t="array" ref="B659">IF(A659="","",_xlfn.CHOOSECOLS('Prematch Backend 2A'!659:659,_xlfn.MAKEARRAY(1,A659-2,_xlfn.LAMBDA(_xlpm.r,_xlpm.c,_xlpm.c))))</f>
        <v/>
      </c>
    </row>
    <row r="660" spans="2:2" x14ac:dyDescent="0.2">
      <c r="B660" t="str" cm="1">
        <f t="array" ref="B660">IF(A660="","",_xlfn.CHOOSECOLS('Prematch Backend 2A'!660:660,_xlfn.MAKEARRAY(1,A660-2,_xlfn.LAMBDA(_xlpm.r,_xlpm.c,_xlpm.c))))</f>
        <v/>
      </c>
    </row>
    <row r="661" spans="2:2" x14ac:dyDescent="0.2">
      <c r="B661" t="str" cm="1">
        <f t="array" ref="B661">IF(A661="","",_xlfn.CHOOSECOLS('Prematch Backend 2A'!661:661,_xlfn.MAKEARRAY(1,A661-2,_xlfn.LAMBDA(_xlpm.r,_xlpm.c,_xlpm.c))))</f>
        <v/>
      </c>
    </row>
    <row r="662" spans="2:2" x14ac:dyDescent="0.2">
      <c r="B662" t="str" cm="1">
        <f t="array" ref="B662">IF(A662="","",_xlfn.CHOOSECOLS('Prematch Backend 2A'!662:662,_xlfn.MAKEARRAY(1,A662-2,_xlfn.LAMBDA(_xlpm.r,_xlpm.c,_xlpm.c))))</f>
        <v/>
      </c>
    </row>
    <row r="663" spans="2:2" x14ac:dyDescent="0.2">
      <c r="B663" t="str" cm="1">
        <f t="array" ref="B663">IF(A663="","",_xlfn.CHOOSECOLS('Prematch Backend 2A'!663:663,_xlfn.MAKEARRAY(1,A663-2,_xlfn.LAMBDA(_xlpm.r,_xlpm.c,_xlpm.c))))</f>
        <v/>
      </c>
    </row>
    <row r="664" spans="2:2" x14ac:dyDescent="0.2">
      <c r="B664" t="str" cm="1">
        <f t="array" ref="B664">IF(A664="","",_xlfn.CHOOSECOLS('Prematch Backend 2A'!664:664,_xlfn.MAKEARRAY(1,A664-2,_xlfn.LAMBDA(_xlpm.r,_xlpm.c,_xlpm.c))))</f>
        <v/>
      </c>
    </row>
    <row r="665" spans="2:2" x14ac:dyDescent="0.2">
      <c r="B665" t="str" cm="1">
        <f t="array" ref="B665">IF(A665="","",_xlfn.CHOOSECOLS('Prematch Backend 2A'!665:665,_xlfn.MAKEARRAY(1,A665-2,_xlfn.LAMBDA(_xlpm.r,_xlpm.c,_xlpm.c))))</f>
        <v/>
      </c>
    </row>
    <row r="666" spans="2:2" x14ac:dyDescent="0.2">
      <c r="B666" t="str" cm="1">
        <f t="array" ref="B666">IF(A666="","",_xlfn.CHOOSECOLS('Prematch Backend 2A'!666:666,_xlfn.MAKEARRAY(1,A666-2,_xlfn.LAMBDA(_xlpm.r,_xlpm.c,_xlpm.c))))</f>
        <v/>
      </c>
    </row>
    <row r="667" spans="2:2" x14ac:dyDescent="0.2">
      <c r="B667" t="str" cm="1">
        <f t="array" ref="B667">IF(A667="","",_xlfn.CHOOSECOLS('Prematch Backend 2A'!667:667,_xlfn.MAKEARRAY(1,A667-2,_xlfn.LAMBDA(_xlpm.r,_xlpm.c,_xlpm.c))))</f>
        <v/>
      </c>
    </row>
    <row r="668" spans="2:2" x14ac:dyDescent="0.2">
      <c r="B668" t="str" cm="1">
        <f t="array" ref="B668">IF(A668="","",_xlfn.CHOOSECOLS('Prematch Backend 2A'!668:668,_xlfn.MAKEARRAY(1,A668-2,_xlfn.LAMBDA(_xlpm.r,_xlpm.c,_xlpm.c))))</f>
        <v/>
      </c>
    </row>
    <row r="669" spans="2:2" x14ac:dyDescent="0.2">
      <c r="B669" t="str" cm="1">
        <f t="array" ref="B669">IF(A669="","",_xlfn.CHOOSECOLS('Prematch Backend 2A'!669:669,_xlfn.MAKEARRAY(1,A669-2,_xlfn.LAMBDA(_xlpm.r,_xlpm.c,_xlpm.c))))</f>
        <v/>
      </c>
    </row>
    <row r="670" spans="2:2" x14ac:dyDescent="0.2">
      <c r="B670" t="str" cm="1">
        <f t="array" ref="B670">IF(A670="","",_xlfn.CHOOSECOLS('Prematch Backend 2A'!670:670,_xlfn.MAKEARRAY(1,A670-2,_xlfn.LAMBDA(_xlpm.r,_xlpm.c,_xlpm.c))))</f>
        <v/>
      </c>
    </row>
    <row r="671" spans="2:2" x14ac:dyDescent="0.2">
      <c r="B671" t="str" cm="1">
        <f t="array" ref="B671">IF(A671="","",_xlfn.CHOOSECOLS('Prematch Backend 2A'!671:671,_xlfn.MAKEARRAY(1,A671-2,_xlfn.LAMBDA(_xlpm.r,_xlpm.c,_xlpm.c))))</f>
        <v/>
      </c>
    </row>
    <row r="672" spans="2:2" x14ac:dyDescent="0.2">
      <c r="B672" t="str" cm="1">
        <f t="array" ref="B672">IF(A672="","",_xlfn.CHOOSECOLS('Prematch Backend 2A'!672:672,_xlfn.MAKEARRAY(1,A672-2,_xlfn.LAMBDA(_xlpm.r,_xlpm.c,_xlpm.c))))</f>
        <v/>
      </c>
    </row>
    <row r="673" spans="2:2" x14ac:dyDescent="0.2">
      <c r="B673" t="str" cm="1">
        <f t="array" ref="B673">IF(A673="","",_xlfn.CHOOSECOLS('Prematch Backend 2A'!673:673,_xlfn.MAKEARRAY(1,A673-2,_xlfn.LAMBDA(_xlpm.r,_xlpm.c,_xlpm.c))))</f>
        <v/>
      </c>
    </row>
    <row r="674" spans="2:2" x14ac:dyDescent="0.2">
      <c r="B674" t="str" cm="1">
        <f t="array" ref="B674">IF(A674="","",_xlfn.CHOOSECOLS('Prematch Backend 2A'!674:674,_xlfn.MAKEARRAY(1,A674-2,_xlfn.LAMBDA(_xlpm.r,_xlpm.c,_xlpm.c))))</f>
        <v/>
      </c>
    </row>
    <row r="675" spans="2:2" x14ac:dyDescent="0.2">
      <c r="B675" t="str" cm="1">
        <f t="array" ref="B675">IF(A675="","",_xlfn.CHOOSECOLS('Prematch Backend 2A'!675:675,_xlfn.MAKEARRAY(1,A675-2,_xlfn.LAMBDA(_xlpm.r,_xlpm.c,_xlpm.c))))</f>
        <v/>
      </c>
    </row>
    <row r="676" spans="2:2" x14ac:dyDescent="0.2">
      <c r="B676" t="str" cm="1">
        <f t="array" ref="B676">IF(A676="","",_xlfn.CHOOSECOLS('Prematch Backend 2A'!676:676,_xlfn.MAKEARRAY(1,A676-2,_xlfn.LAMBDA(_xlpm.r,_xlpm.c,_xlpm.c))))</f>
        <v/>
      </c>
    </row>
    <row r="677" spans="2:2" x14ac:dyDescent="0.2">
      <c r="B677" t="str" cm="1">
        <f t="array" ref="B677">IF(A677="","",_xlfn.CHOOSECOLS('Prematch Backend 2A'!677:677,_xlfn.MAKEARRAY(1,A677-2,_xlfn.LAMBDA(_xlpm.r,_xlpm.c,_xlpm.c))))</f>
        <v/>
      </c>
    </row>
    <row r="678" spans="2:2" x14ac:dyDescent="0.2">
      <c r="B678" t="str" cm="1">
        <f t="array" ref="B678">IF(A678="","",_xlfn.CHOOSECOLS('Prematch Backend 2A'!678:678,_xlfn.MAKEARRAY(1,A678-2,_xlfn.LAMBDA(_xlpm.r,_xlpm.c,_xlpm.c))))</f>
        <v/>
      </c>
    </row>
    <row r="679" spans="2:2" x14ac:dyDescent="0.2">
      <c r="B679" t="str" cm="1">
        <f t="array" ref="B679">IF(A679="","",_xlfn.CHOOSECOLS('Prematch Backend 2A'!679:679,_xlfn.MAKEARRAY(1,A679-2,_xlfn.LAMBDA(_xlpm.r,_xlpm.c,_xlpm.c))))</f>
        <v/>
      </c>
    </row>
    <row r="680" spans="2:2" x14ac:dyDescent="0.2">
      <c r="B680" t="str" cm="1">
        <f t="array" ref="B680">IF(A680="","",_xlfn.CHOOSECOLS('Prematch Backend 2A'!680:680,_xlfn.MAKEARRAY(1,A680-2,_xlfn.LAMBDA(_xlpm.r,_xlpm.c,_xlpm.c))))</f>
        <v/>
      </c>
    </row>
    <row r="681" spans="2:2" x14ac:dyDescent="0.2">
      <c r="B681" t="str" cm="1">
        <f t="array" ref="B681">IF(A681="","",_xlfn.CHOOSECOLS('Prematch Backend 2A'!681:681,_xlfn.MAKEARRAY(1,A681-2,_xlfn.LAMBDA(_xlpm.r,_xlpm.c,_xlpm.c))))</f>
        <v/>
      </c>
    </row>
    <row r="682" spans="2:2" x14ac:dyDescent="0.2">
      <c r="B682" t="str" cm="1">
        <f t="array" ref="B682">IF(A682="","",_xlfn.CHOOSECOLS('Prematch Backend 2A'!682:682,_xlfn.MAKEARRAY(1,A682-2,_xlfn.LAMBDA(_xlpm.r,_xlpm.c,_xlpm.c))))</f>
        <v/>
      </c>
    </row>
    <row r="683" spans="2:2" x14ac:dyDescent="0.2">
      <c r="B683" t="str" cm="1">
        <f t="array" ref="B683">IF(A683="","",_xlfn.CHOOSECOLS('Prematch Backend 2A'!683:683,_xlfn.MAKEARRAY(1,A683-2,_xlfn.LAMBDA(_xlpm.r,_xlpm.c,_xlpm.c))))</f>
        <v/>
      </c>
    </row>
    <row r="684" spans="2:2" x14ac:dyDescent="0.2">
      <c r="B684" t="str" cm="1">
        <f t="array" ref="B684">IF(A684="","",_xlfn.CHOOSECOLS('Prematch Backend 2A'!684:684,_xlfn.MAKEARRAY(1,A684-2,_xlfn.LAMBDA(_xlpm.r,_xlpm.c,_xlpm.c))))</f>
        <v/>
      </c>
    </row>
    <row r="685" spans="2:2" x14ac:dyDescent="0.2">
      <c r="B685" t="str" cm="1">
        <f t="array" ref="B685">IF(A685="","",_xlfn.CHOOSECOLS('Prematch Backend 2A'!685:685,_xlfn.MAKEARRAY(1,A685-2,_xlfn.LAMBDA(_xlpm.r,_xlpm.c,_xlpm.c))))</f>
        <v/>
      </c>
    </row>
    <row r="686" spans="2:2" x14ac:dyDescent="0.2">
      <c r="B686" t="str" cm="1">
        <f t="array" ref="B686">IF(A686="","",_xlfn.CHOOSECOLS('Prematch Backend 2A'!686:686,_xlfn.MAKEARRAY(1,A686-2,_xlfn.LAMBDA(_xlpm.r,_xlpm.c,_xlpm.c))))</f>
        <v/>
      </c>
    </row>
    <row r="687" spans="2:2" x14ac:dyDescent="0.2">
      <c r="B687" t="str" cm="1">
        <f t="array" ref="B687">IF(A687="","",_xlfn.CHOOSECOLS('Prematch Backend 2A'!687:687,_xlfn.MAKEARRAY(1,A687-2,_xlfn.LAMBDA(_xlpm.r,_xlpm.c,_xlpm.c))))</f>
        <v/>
      </c>
    </row>
    <row r="688" spans="2:2" x14ac:dyDescent="0.2">
      <c r="B688" t="str" cm="1">
        <f t="array" ref="B688">IF(A688="","",_xlfn.CHOOSECOLS('Prematch Backend 2A'!688:688,_xlfn.MAKEARRAY(1,A688-2,_xlfn.LAMBDA(_xlpm.r,_xlpm.c,_xlpm.c))))</f>
        <v/>
      </c>
    </row>
    <row r="689" spans="2:2" x14ac:dyDescent="0.2">
      <c r="B689" t="str" cm="1">
        <f t="array" ref="B689">IF(A689="","",_xlfn.CHOOSECOLS('Prematch Backend 2A'!689:689,_xlfn.MAKEARRAY(1,A689-2,_xlfn.LAMBDA(_xlpm.r,_xlpm.c,_xlpm.c))))</f>
        <v/>
      </c>
    </row>
    <row r="690" spans="2:2" x14ac:dyDescent="0.2">
      <c r="B690" t="str" cm="1">
        <f t="array" ref="B690">IF(A690="","",_xlfn.CHOOSECOLS('Prematch Backend 2A'!690:690,_xlfn.MAKEARRAY(1,A690-2,_xlfn.LAMBDA(_xlpm.r,_xlpm.c,_xlpm.c))))</f>
        <v/>
      </c>
    </row>
    <row r="691" spans="2:2" x14ac:dyDescent="0.2">
      <c r="B691" t="str" cm="1">
        <f t="array" ref="B691">IF(A691="","",_xlfn.CHOOSECOLS('Prematch Backend 2A'!691:691,_xlfn.MAKEARRAY(1,A691-2,_xlfn.LAMBDA(_xlpm.r,_xlpm.c,_xlpm.c))))</f>
        <v/>
      </c>
    </row>
    <row r="692" spans="2:2" x14ac:dyDescent="0.2">
      <c r="B692" t="str" cm="1">
        <f t="array" ref="B692">IF(A692="","",_xlfn.CHOOSECOLS('Prematch Backend 2A'!692:692,_xlfn.MAKEARRAY(1,A692-2,_xlfn.LAMBDA(_xlpm.r,_xlpm.c,_xlpm.c))))</f>
        <v/>
      </c>
    </row>
    <row r="693" spans="2:2" x14ac:dyDescent="0.2">
      <c r="B693" t="str" cm="1">
        <f t="array" ref="B693">IF(A693="","",_xlfn.CHOOSECOLS('Prematch Backend 2A'!693:693,_xlfn.MAKEARRAY(1,A693-2,_xlfn.LAMBDA(_xlpm.r,_xlpm.c,_xlpm.c))))</f>
        <v/>
      </c>
    </row>
    <row r="694" spans="2:2" x14ac:dyDescent="0.2">
      <c r="B694" t="str" cm="1">
        <f t="array" ref="B694">IF(A694="","",_xlfn.CHOOSECOLS('Prematch Backend 2A'!694:694,_xlfn.MAKEARRAY(1,A694-2,_xlfn.LAMBDA(_xlpm.r,_xlpm.c,_xlpm.c))))</f>
        <v/>
      </c>
    </row>
    <row r="695" spans="2:2" x14ac:dyDescent="0.2">
      <c r="B695" t="str" cm="1">
        <f t="array" ref="B695">IF(A695="","",_xlfn.CHOOSECOLS('Prematch Backend 2A'!695:695,_xlfn.MAKEARRAY(1,A695-2,_xlfn.LAMBDA(_xlpm.r,_xlpm.c,_xlpm.c))))</f>
        <v/>
      </c>
    </row>
    <row r="696" spans="2:2" x14ac:dyDescent="0.2">
      <c r="B696" t="str" cm="1">
        <f t="array" ref="B696">IF(A696="","",_xlfn.CHOOSECOLS('Prematch Backend 2A'!696:696,_xlfn.MAKEARRAY(1,A696-2,_xlfn.LAMBDA(_xlpm.r,_xlpm.c,_xlpm.c))))</f>
        <v/>
      </c>
    </row>
    <row r="697" spans="2:2" x14ac:dyDescent="0.2">
      <c r="B697" t="str" cm="1">
        <f t="array" ref="B697">IF(A697="","",_xlfn.CHOOSECOLS('Prematch Backend 2A'!697:697,_xlfn.MAKEARRAY(1,A697-2,_xlfn.LAMBDA(_xlpm.r,_xlpm.c,_xlpm.c))))</f>
        <v/>
      </c>
    </row>
    <row r="698" spans="2:2" x14ac:dyDescent="0.2">
      <c r="B698" t="str" cm="1">
        <f t="array" ref="B698">IF(A698="","",_xlfn.CHOOSECOLS('Prematch Backend 2A'!698:698,_xlfn.MAKEARRAY(1,A698-2,_xlfn.LAMBDA(_xlpm.r,_xlpm.c,_xlpm.c))))</f>
        <v/>
      </c>
    </row>
    <row r="699" spans="2:2" x14ac:dyDescent="0.2">
      <c r="B699" t="str" cm="1">
        <f t="array" ref="B699">IF(A699="","",_xlfn.CHOOSECOLS('Prematch Backend 2A'!699:699,_xlfn.MAKEARRAY(1,A699-2,_xlfn.LAMBDA(_xlpm.r,_xlpm.c,_xlpm.c))))</f>
        <v/>
      </c>
    </row>
    <row r="700" spans="2:2" x14ac:dyDescent="0.2">
      <c r="B700" t="str" cm="1">
        <f t="array" ref="B700">IF(A700="","",_xlfn.CHOOSECOLS('Prematch Backend 2A'!700:700,_xlfn.MAKEARRAY(1,A700-2,_xlfn.LAMBDA(_xlpm.r,_xlpm.c,_xlpm.c))))</f>
        <v/>
      </c>
    </row>
    <row r="701" spans="2:2" x14ac:dyDescent="0.2">
      <c r="B701" t="str" cm="1">
        <f t="array" ref="B701">IF(A701="","",_xlfn.CHOOSECOLS('Prematch Backend 2A'!701:701,_xlfn.MAKEARRAY(1,A701-2,_xlfn.LAMBDA(_xlpm.r,_xlpm.c,_xlpm.c))))</f>
        <v/>
      </c>
    </row>
    <row r="702" spans="2:2" x14ac:dyDescent="0.2">
      <c r="B702" t="str" cm="1">
        <f t="array" ref="B702">IF(A702="","",_xlfn.CHOOSECOLS('Prematch Backend 2A'!702:702,_xlfn.MAKEARRAY(1,A702-2,_xlfn.LAMBDA(_xlpm.r,_xlpm.c,_xlpm.c))))</f>
        <v/>
      </c>
    </row>
    <row r="703" spans="2:2" x14ac:dyDescent="0.2">
      <c r="B703" t="str" cm="1">
        <f t="array" ref="B703">IF(A703="","",_xlfn.CHOOSECOLS('Prematch Backend 2A'!703:703,_xlfn.MAKEARRAY(1,A703-2,_xlfn.LAMBDA(_xlpm.r,_xlpm.c,_xlpm.c))))</f>
        <v/>
      </c>
    </row>
    <row r="704" spans="2:2" x14ac:dyDescent="0.2">
      <c r="B704" t="str" cm="1">
        <f t="array" ref="B704">IF(A704="","",_xlfn.CHOOSECOLS('Prematch Backend 2A'!704:704,_xlfn.MAKEARRAY(1,A704-2,_xlfn.LAMBDA(_xlpm.r,_xlpm.c,_xlpm.c))))</f>
        <v/>
      </c>
    </row>
    <row r="705" spans="2:2" x14ac:dyDescent="0.2">
      <c r="B705" t="str" cm="1">
        <f t="array" ref="B705">IF(A705="","",_xlfn.CHOOSECOLS('Prematch Backend 2A'!705:705,_xlfn.MAKEARRAY(1,A705-2,_xlfn.LAMBDA(_xlpm.r,_xlpm.c,_xlpm.c))))</f>
        <v/>
      </c>
    </row>
    <row r="706" spans="2:2" x14ac:dyDescent="0.2">
      <c r="B706" t="str" cm="1">
        <f t="array" ref="B706">IF(A706="","",_xlfn.CHOOSECOLS('Prematch Backend 2A'!706:706,_xlfn.MAKEARRAY(1,A706-2,_xlfn.LAMBDA(_xlpm.r,_xlpm.c,_xlpm.c))))</f>
        <v/>
      </c>
    </row>
    <row r="707" spans="2:2" x14ac:dyDescent="0.2">
      <c r="B707" t="str" cm="1">
        <f t="array" ref="B707">IF(A707="","",_xlfn.CHOOSECOLS('Prematch Backend 2A'!707:707,_xlfn.MAKEARRAY(1,A707-2,_xlfn.LAMBDA(_xlpm.r,_xlpm.c,_xlpm.c))))</f>
        <v/>
      </c>
    </row>
    <row r="708" spans="2:2" x14ac:dyDescent="0.2">
      <c r="B708" t="str" cm="1">
        <f t="array" ref="B708">IF(A708="","",_xlfn.CHOOSECOLS('Prematch Backend 2A'!708:708,_xlfn.MAKEARRAY(1,A708-2,_xlfn.LAMBDA(_xlpm.r,_xlpm.c,_xlpm.c))))</f>
        <v/>
      </c>
    </row>
    <row r="709" spans="2:2" x14ac:dyDescent="0.2">
      <c r="B709" t="str" cm="1">
        <f t="array" ref="B709">IF(A709="","",_xlfn.CHOOSECOLS('Prematch Backend 2A'!709:709,_xlfn.MAKEARRAY(1,A709-2,_xlfn.LAMBDA(_xlpm.r,_xlpm.c,_xlpm.c))))</f>
        <v/>
      </c>
    </row>
    <row r="710" spans="2:2" x14ac:dyDescent="0.2">
      <c r="B710" t="str" cm="1">
        <f t="array" ref="B710">IF(A710="","",_xlfn.CHOOSECOLS('Prematch Backend 2A'!710:710,_xlfn.MAKEARRAY(1,A710-2,_xlfn.LAMBDA(_xlpm.r,_xlpm.c,_xlpm.c))))</f>
        <v/>
      </c>
    </row>
    <row r="711" spans="2:2" x14ac:dyDescent="0.2">
      <c r="B711" t="str" cm="1">
        <f t="array" ref="B711">IF(A711="","",_xlfn.CHOOSECOLS('Prematch Backend 2A'!711:711,_xlfn.MAKEARRAY(1,A711-2,_xlfn.LAMBDA(_xlpm.r,_xlpm.c,_xlpm.c))))</f>
        <v/>
      </c>
    </row>
    <row r="712" spans="2:2" x14ac:dyDescent="0.2">
      <c r="B712" t="str" cm="1">
        <f t="array" ref="B712">IF(A712="","",_xlfn.CHOOSECOLS('Prematch Backend 2A'!712:712,_xlfn.MAKEARRAY(1,A712-2,_xlfn.LAMBDA(_xlpm.r,_xlpm.c,_xlpm.c))))</f>
        <v/>
      </c>
    </row>
    <row r="713" spans="2:2" x14ac:dyDescent="0.2">
      <c r="B713" t="str" cm="1">
        <f t="array" ref="B713">IF(A713="","",_xlfn.CHOOSECOLS('Prematch Backend 2A'!713:713,_xlfn.MAKEARRAY(1,A713-2,_xlfn.LAMBDA(_xlpm.r,_xlpm.c,_xlpm.c))))</f>
        <v/>
      </c>
    </row>
    <row r="714" spans="2:2" x14ac:dyDescent="0.2">
      <c r="B714" t="str" cm="1">
        <f t="array" ref="B714">IF(A714="","",_xlfn.CHOOSECOLS('Prematch Backend 2A'!714:714,_xlfn.MAKEARRAY(1,A714-2,_xlfn.LAMBDA(_xlpm.r,_xlpm.c,_xlpm.c))))</f>
        <v/>
      </c>
    </row>
    <row r="715" spans="2:2" x14ac:dyDescent="0.2">
      <c r="B715" t="str" cm="1">
        <f t="array" ref="B715">IF(A715="","",_xlfn.CHOOSECOLS('Prematch Backend 2A'!715:715,_xlfn.MAKEARRAY(1,A715-2,_xlfn.LAMBDA(_xlpm.r,_xlpm.c,_xlpm.c))))</f>
        <v/>
      </c>
    </row>
    <row r="716" spans="2:2" x14ac:dyDescent="0.2">
      <c r="B716" t="str" cm="1">
        <f t="array" ref="B716">IF(A716="","",_xlfn.CHOOSECOLS('Prematch Backend 2A'!716:716,_xlfn.MAKEARRAY(1,A716-2,_xlfn.LAMBDA(_xlpm.r,_xlpm.c,_xlpm.c))))</f>
        <v/>
      </c>
    </row>
    <row r="717" spans="2:2" x14ac:dyDescent="0.2">
      <c r="B717" t="str" cm="1">
        <f t="array" ref="B717">IF(A717="","",_xlfn.CHOOSECOLS('Prematch Backend 2A'!717:717,_xlfn.MAKEARRAY(1,A717-2,_xlfn.LAMBDA(_xlpm.r,_xlpm.c,_xlpm.c))))</f>
        <v/>
      </c>
    </row>
    <row r="718" spans="2:2" x14ac:dyDescent="0.2">
      <c r="B718" t="str" cm="1">
        <f t="array" ref="B718">IF(A718="","",_xlfn.CHOOSECOLS('Prematch Backend 2A'!718:718,_xlfn.MAKEARRAY(1,A718-2,_xlfn.LAMBDA(_xlpm.r,_xlpm.c,_xlpm.c))))</f>
        <v/>
      </c>
    </row>
    <row r="719" spans="2:2" x14ac:dyDescent="0.2">
      <c r="B719" t="str" cm="1">
        <f t="array" ref="B719">IF(A719="","",_xlfn.CHOOSECOLS('Prematch Backend 2A'!719:719,_xlfn.MAKEARRAY(1,A719-2,_xlfn.LAMBDA(_xlpm.r,_xlpm.c,_xlpm.c))))</f>
        <v/>
      </c>
    </row>
    <row r="720" spans="2:2" x14ac:dyDescent="0.2">
      <c r="B720" t="str" cm="1">
        <f t="array" ref="B720">IF(A720="","",_xlfn.CHOOSECOLS('Prematch Backend 2A'!720:720,_xlfn.MAKEARRAY(1,A720-2,_xlfn.LAMBDA(_xlpm.r,_xlpm.c,_xlpm.c))))</f>
        <v/>
      </c>
    </row>
    <row r="721" spans="2:2" x14ac:dyDescent="0.2">
      <c r="B721" t="str" cm="1">
        <f t="array" ref="B721">IF(A721="","",_xlfn.CHOOSECOLS('Prematch Backend 2A'!721:721,_xlfn.MAKEARRAY(1,A721-2,_xlfn.LAMBDA(_xlpm.r,_xlpm.c,_xlpm.c))))</f>
        <v/>
      </c>
    </row>
    <row r="722" spans="2:2" x14ac:dyDescent="0.2">
      <c r="B722" t="str" cm="1">
        <f t="array" ref="B722">IF(A722="","",_xlfn.CHOOSECOLS('Prematch Backend 2A'!722:722,_xlfn.MAKEARRAY(1,A722-2,_xlfn.LAMBDA(_xlpm.r,_xlpm.c,_xlpm.c))))</f>
        <v/>
      </c>
    </row>
    <row r="723" spans="2:2" x14ac:dyDescent="0.2">
      <c r="B723" t="str" cm="1">
        <f t="array" ref="B723">IF(A723="","",_xlfn.CHOOSECOLS('Prematch Backend 2A'!723:723,_xlfn.MAKEARRAY(1,A723-2,_xlfn.LAMBDA(_xlpm.r,_xlpm.c,_xlpm.c))))</f>
        <v/>
      </c>
    </row>
    <row r="724" spans="2:2" x14ac:dyDescent="0.2">
      <c r="B724" t="str" cm="1">
        <f t="array" ref="B724">IF(A724="","",_xlfn.CHOOSECOLS('Prematch Backend 2A'!724:724,_xlfn.MAKEARRAY(1,A724-2,_xlfn.LAMBDA(_xlpm.r,_xlpm.c,_xlpm.c))))</f>
        <v/>
      </c>
    </row>
    <row r="725" spans="2:2" x14ac:dyDescent="0.2">
      <c r="B725" t="str" cm="1">
        <f t="array" ref="B725">IF(A725="","",_xlfn.CHOOSECOLS('Prematch Backend 2A'!725:725,_xlfn.MAKEARRAY(1,A725-2,_xlfn.LAMBDA(_xlpm.r,_xlpm.c,_xlpm.c))))</f>
        <v/>
      </c>
    </row>
    <row r="726" spans="2:2" x14ac:dyDescent="0.2">
      <c r="B726" t="str" cm="1">
        <f t="array" ref="B726">IF(A726="","",_xlfn.CHOOSECOLS('Prematch Backend 2A'!726:726,_xlfn.MAKEARRAY(1,A726-2,_xlfn.LAMBDA(_xlpm.r,_xlpm.c,_xlpm.c))))</f>
        <v/>
      </c>
    </row>
    <row r="727" spans="2:2" x14ac:dyDescent="0.2">
      <c r="B727" t="str" cm="1">
        <f t="array" ref="B727">IF(A727="","",_xlfn.CHOOSECOLS('Prematch Backend 2A'!727:727,_xlfn.MAKEARRAY(1,A727-2,_xlfn.LAMBDA(_xlpm.r,_xlpm.c,_xlpm.c))))</f>
        <v/>
      </c>
    </row>
    <row r="728" spans="2:2" x14ac:dyDescent="0.2">
      <c r="B728" t="str" cm="1">
        <f t="array" ref="B728">IF(A728="","",_xlfn.CHOOSECOLS('Prematch Backend 2A'!728:728,_xlfn.MAKEARRAY(1,A728-2,_xlfn.LAMBDA(_xlpm.r,_xlpm.c,_xlpm.c))))</f>
        <v/>
      </c>
    </row>
    <row r="729" spans="2:2" x14ac:dyDescent="0.2">
      <c r="B729" t="str" cm="1">
        <f t="array" ref="B729">IF(A729="","",_xlfn.CHOOSECOLS('Prematch Backend 2A'!729:729,_xlfn.MAKEARRAY(1,A729-2,_xlfn.LAMBDA(_xlpm.r,_xlpm.c,_xlpm.c))))</f>
        <v/>
      </c>
    </row>
    <row r="730" spans="2:2" x14ac:dyDescent="0.2">
      <c r="B730" t="str" cm="1">
        <f t="array" ref="B730">IF(A730="","",_xlfn.CHOOSECOLS('Prematch Backend 2A'!730:730,_xlfn.MAKEARRAY(1,A730-2,_xlfn.LAMBDA(_xlpm.r,_xlpm.c,_xlpm.c))))</f>
        <v/>
      </c>
    </row>
    <row r="731" spans="2:2" x14ac:dyDescent="0.2">
      <c r="B731" t="str" cm="1">
        <f t="array" ref="B731">IF(A731="","",_xlfn.CHOOSECOLS('Prematch Backend 2A'!731:731,_xlfn.MAKEARRAY(1,A731-2,_xlfn.LAMBDA(_xlpm.r,_xlpm.c,_xlpm.c))))</f>
        <v/>
      </c>
    </row>
    <row r="732" spans="2:2" x14ac:dyDescent="0.2">
      <c r="B732" t="str" cm="1">
        <f t="array" ref="B732">IF(A732="","",_xlfn.CHOOSECOLS('Prematch Backend 2A'!732:732,_xlfn.MAKEARRAY(1,A732-2,_xlfn.LAMBDA(_xlpm.r,_xlpm.c,_xlpm.c))))</f>
        <v/>
      </c>
    </row>
    <row r="733" spans="2:2" x14ac:dyDescent="0.2">
      <c r="B733" t="str" cm="1">
        <f t="array" ref="B733">IF(A733="","",_xlfn.CHOOSECOLS('Prematch Backend 2A'!733:733,_xlfn.MAKEARRAY(1,A733-2,_xlfn.LAMBDA(_xlpm.r,_xlpm.c,_xlpm.c))))</f>
        <v/>
      </c>
    </row>
    <row r="734" spans="2:2" x14ac:dyDescent="0.2">
      <c r="B734" t="str" cm="1">
        <f t="array" ref="B734">IF(A734="","",_xlfn.CHOOSECOLS('Prematch Backend 2A'!734:734,_xlfn.MAKEARRAY(1,A734-2,_xlfn.LAMBDA(_xlpm.r,_xlpm.c,_xlpm.c))))</f>
        <v/>
      </c>
    </row>
    <row r="735" spans="2:2" x14ac:dyDescent="0.2">
      <c r="B735" t="str" cm="1">
        <f t="array" ref="B735">IF(A735="","",_xlfn.CHOOSECOLS('Prematch Backend 2A'!735:735,_xlfn.MAKEARRAY(1,A735-2,_xlfn.LAMBDA(_xlpm.r,_xlpm.c,_xlpm.c))))</f>
        <v/>
      </c>
    </row>
    <row r="736" spans="2:2" x14ac:dyDescent="0.2">
      <c r="B736" t="str" cm="1">
        <f t="array" ref="B736">IF(A736="","",_xlfn.CHOOSECOLS('Prematch Backend 2A'!736:736,_xlfn.MAKEARRAY(1,A736-2,_xlfn.LAMBDA(_xlpm.r,_xlpm.c,_xlpm.c))))</f>
        <v/>
      </c>
    </row>
    <row r="737" spans="2:2" x14ac:dyDescent="0.2">
      <c r="B737" t="str" cm="1">
        <f t="array" ref="B737">IF(A737="","",_xlfn.CHOOSECOLS('Prematch Backend 2A'!737:737,_xlfn.MAKEARRAY(1,A737-2,_xlfn.LAMBDA(_xlpm.r,_xlpm.c,_xlpm.c))))</f>
        <v/>
      </c>
    </row>
    <row r="738" spans="2:2" x14ac:dyDescent="0.2">
      <c r="B738" t="str" cm="1">
        <f t="array" ref="B738">IF(A738="","",_xlfn.CHOOSECOLS('Prematch Backend 2A'!738:738,_xlfn.MAKEARRAY(1,A738-2,_xlfn.LAMBDA(_xlpm.r,_xlpm.c,_xlpm.c))))</f>
        <v/>
      </c>
    </row>
    <row r="739" spans="2:2" x14ac:dyDescent="0.2">
      <c r="B739" t="str" cm="1">
        <f t="array" ref="B739">IF(A739="","",_xlfn.CHOOSECOLS('Prematch Backend 2A'!739:739,_xlfn.MAKEARRAY(1,A739-2,_xlfn.LAMBDA(_xlpm.r,_xlpm.c,_xlpm.c))))</f>
        <v/>
      </c>
    </row>
    <row r="740" spans="2:2" x14ac:dyDescent="0.2">
      <c r="B740" t="str" cm="1">
        <f t="array" ref="B740">IF(A740="","",_xlfn.CHOOSECOLS('Prematch Backend 2A'!740:740,_xlfn.MAKEARRAY(1,A740-2,_xlfn.LAMBDA(_xlpm.r,_xlpm.c,_xlpm.c))))</f>
        <v/>
      </c>
    </row>
    <row r="741" spans="2:2" x14ac:dyDescent="0.2">
      <c r="B741" t="str" cm="1">
        <f t="array" ref="B741">IF(A741="","",_xlfn.CHOOSECOLS('Prematch Backend 2A'!741:741,_xlfn.MAKEARRAY(1,A741-2,_xlfn.LAMBDA(_xlpm.r,_xlpm.c,_xlpm.c))))</f>
        <v/>
      </c>
    </row>
    <row r="742" spans="2:2" x14ac:dyDescent="0.2">
      <c r="B742" t="str" cm="1">
        <f t="array" ref="B742">IF(A742="","",_xlfn.CHOOSECOLS('Prematch Backend 2A'!742:742,_xlfn.MAKEARRAY(1,A742-2,_xlfn.LAMBDA(_xlpm.r,_xlpm.c,_xlpm.c))))</f>
        <v/>
      </c>
    </row>
    <row r="743" spans="2:2" x14ac:dyDescent="0.2">
      <c r="B743" t="str" cm="1">
        <f t="array" ref="B743">IF(A743="","",_xlfn.CHOOSECOLS('Prematch Backend 2A'!743:743,_xlfn.MAKEARRAY(1,A743-2,_xlfn.LAMBDA(_xlpm.r,_xlpm.c,_xlpm.c))))</f>
        <v/>
      </c>
    </row>
    <row r="744" spans="2:2" x14ac:dyDescent="0.2">
      <c r="B744" t="str" cm="1">
        <f t="array" ref="B744">IF(A744="","",_xlfn.CHOOSECOLS('Prematch Backend 2A'!744:744,_xlfn.MAKEARRAY(1,A744-2,_xlfn.LAMBDA(_xlpm.r,_xlpm.c,_xlpm.c))))</f>
        <v/>
      </c>
    </row>
    <row r="745" spans="2:2" x14ac:dyDescent="0.2">
      <c r="B745" t="str" cm="1">
        <f t="array" ref="B745">IF(A745="","",_xlfn.CHOOSECOLS('Prematch Backend 2A'!745:745,_xlfn.MAKEARRAY(1,A745-2,_xlfn.LAMBDA(_xlpm.r,_xlpm.c,_xlpm.c))))</f>
        <v/>
      </c>
    </row>
    <row r="746" spans="2:2" x14ac:dyDescent="0.2">
      <c r="B746" t="str" cm="1">
        <f t="array" ref="B746">IF(A746="","",_xlfn.CHOOSECOLS('Prematch Backend 2A'!746:746,_xlfn.MAKEARRAY(1,A746-2,_xlfn.LAMBDA(_xlpm.r,_xlpm.c,_xlpm.c))))</f>
        <v/>
      </c>
    </row>
    <row r="747" spans="2:2" x14ac:dyDescent="0.2">
      <c r="B747" t="str" cm="1">
        <f t="array" ref="B747">IF(A747="","",_xlfn.CHOOSECOLS('Prematch Backend 2A'!747:747,_xlfn.MAKEARRAY(1,A747-2,_xlfn.LAMBDA(_xlpm.r,_xlpm.c,_xlpm.c))))</f>
        <v/>
      </c>
    </row>
    <row r="748" spans="2:2" x14ac:dyDescent="0.2">
      <c r="B748" t="str" cm="1">
        <f t="array" ref="B748">IF(A748="","",_xlfn.CHOOSECOLS('Prematch Backend 2A'!748:748,_xlfn.MAKEARRAY(1,A748-2,_xlfn.LAMBDA(_xlpm.r,_xlpm.c,_xlpm.c))))</f>
        <v/>
      </c>
    </row>
    <row r="749" spans="2:2" x14ac:dyDescent="0.2">
      <c r="B749" t="str" cm="1">
        <f t="array" ref="B749">IF(A749="","",_xlfn.CHOOSECOLS('Prematch Backend 2A'!749:749,_xlfn.MAKEARRAY(1,A749-2,_xlfn.LAMBDA(_xlpm.r,_xlpm.c,_xlpm.c))))</f>
        <v/>
      </c>
    </row>
    <row r="750" spans="2:2" x14ac:dyDescent="0.2">
      <c r="B750" t="str" cm="1">
        <f t="array" ref="B750">IF(A750="","",_xlfn.CHOOSECOLS('Prematch Backend 2A'!750:750,_xlfn.MAKEARRAY(1,A750-2,_xlfn.LAMBDA(_xlpm.r,_xlpm.c,_xlpm.c))))</f>
        <v/>
      </c>
    </row>
    <row r="751" spans="2:2" x14ac:dyDescent="0.2">
      <c r="B751" t="str" cm="1">
        <f t="array" ref="B751">IF(A751="","",_xlfn.CHOOSECOLS('Prematch Backend 2A'!751:751,_xlfn.MAKEARRAY(1,A751-2,_xlfn.LAMBDA(_xlpm.r,_xlpm.c,_xlpm.c))))</f>
        <v/>
      </c>
    </row>
    <row r="752" spans="2:2" x14ac:dyDescent="0.2">
      <c r="B752" t="str" cm="1">
        <f t="array" ref="B752">IF(A752="","",_xlfn.CHOOSECOLS('Prematch Backend 2A'!752:752,_xlfn.MAKEARRAY(1,A752-2,_xlfn.LAMBDA(_xlpm.r,_xlpm.c,_xlpm.c))))</f>
        <v/>
      </c>
    </row>
    <row r="753" spans="2:2" x14ac:dyDescent="0.2">
      <c r="B753" t="str" cm="1">
        <f t="array" ref="B753">IF(A753="","",_xlfn.CHOOSECOLS('Prematch Backend 2A'!753:753,_xlfn.MAKEARRAY(1,A753-2,_xlfn.LAMBDA(_xlpm.r,_xlpm.c,_xlpm.c))))</f>
        <v/>
      </c>
    </row>
    <row r="754" spans="2:2" x14ac:dyDescent="0.2">
      <c r="B754" t="str" cm="1">
        <f t="array" ref="B754">IF(A754="","",_xlfn.CHOOSECOLS('Prematch Backend 2A'!754:754,_xlfn.MAKEARRAY(1,A754-2,_xlfn.LAMBDA(_xlpm.r,_xlpm.c,_xlpm.c))))</f>
        <v/>
      </c>
    </row>
    <row r="755" spans="2:2" x14ac:dyDescent="0.2">
      <c r="B755" t="str" cm="1">
        <f t="array" ref="B755">IF(A755="","",_xlfn.CHOOSECOLS('Prematch Backend 2A'!755:755,_xlfn.MAKEARRAY(1,A755-2,_xlfn.LAMBDA(_xlpm.r,_xlpm.c,_xlpm.c))))</f>
        <v/>
      </c>
    </row>
    <row r="756" spans="2:2" x14ac:dyDescent="0.2">
      <c r="B756" t="str" cm="1">
        <f t="array" ref="B756">IF(A756="","",_xlfn.CHOOSECOLS('Prematch Backend 2A'!756:756,_xlfn.MAKEARRAY(1,A756-2,_xlfn.LAMBDA(_xlpm.r,_xlpm.c,_xlpm.c))))</f>
        <v/>
      </c>
    </row>
    <row r="757" spans="2:2" x14ac:dyDescent="0.2">
      <c r="B757" t="str" cm="1">
        <f t="array" ref="B757">IF(A757="","",_xlfn.CHOOSECOLS('Prematch Backend 2A'!757:757,_xlfn.MAKEARRAY(1,A757-2,_xlfn.LAMBDA(_xlpm.r,_xlpm.c,_xlpm.c))))</f>
        <v/>
      </c>
    </row>
    <row r="758" spans="2:2" x14ac:dyDescent="0.2">
      <c r="B758" t="str" cm="1">
        <f t="array" ref="B758">IF(A758="","",_xlfn.CHOOSECOLS('Prematch Backend 2A'!758:758,_xlfn.MAKEARRAY(1,A758-2,_xlfn.LAMBDA(_xlpm.r,_xlpm.c,_xlpm.c))))</f>
        <v/>
      </c>
    </row>
    <row r="759" spans="2:2" x14ac:dyDescent="0.2">
      <c r="B759" t="str" cm="1">
        <f t="array" ref="B759">IF(A759="","",_xlfn.CHOOSECOLS('Prematch Backend 2A'!759:759,_xlfn.MAKEARRAY(1,A759-2,_xlfn.LAMBDA(_xlpm.r,_xlpm.c,_xlpm.c))))</f>
        <v/>
      </c>
    </row>
    <row r="760" spans="2:2" x14ac:dyDescent="0.2">
      <c r="B760" t="str" cm="1">
        <f t="array" ref="B760">IF(A760="","",_xlfn.CHOOSECOLS('Prematch Backend 2A'!760:760,_xlfn.MAKEARRAY(1,A760-2,_xlfn.LAMBDA(_xlpm.r,_xlpm.c,_xlpm.c))))</f>
        <v/>
      </c>
    </row>
    <row r="761" spans="2:2" x14ac:dyDescent="0.2">
      <c r="B761" t="str" cm="1">
        <f t="array" ref="B761">IF(A761="","",_xlfn.CHOOSECOLS('Prematch Backend 2A'!761:761,_xlfn.MAKEARRAY(1,A761-2,_xlfn.LAMBDA(_xlpm.r,_xlpm.c,_xlpm.c))))</f>
        <v/>
      </c>
    </row>
    <row r="762" spans="2:2" x14ac:dyDescent="0.2">
      <c r="B762" t="str" cm="1">
        <f t="array" ref="B762">IF(A762="","",_xlfn.CHOOSECOLS('Prematch Backend 2A'!762:762,_xlfn.MAKEARRAY(1,A762-2,_xlfn.LAMBDA(_xlpm.r,_xlpm.c,_xlpm.c))))</f>
        <v/>
      </c>
    </row>
    <row r="763" spans="2:2" x14ac:dyDescent="0.2">
      <c r="B763" t="str" cm="1">
        <f t="array" ref="B763">IF(A763="","",_xlfn.CHOOSECOLS('Prematch Backend 2A'!763:763,_xlfn.MAKEARRAY(1,A763-2,_xlfn.LAMBDA(_xlpm.r,_xlpm.c,_xlpm.c))))</f>
        <v/>
      </c>
    </row>
    <row r="764" spans="2:2" x14ac:dyDescent="0.2">
      <c r="B764" t="str" cm="1">
        <f t="array" ref="B764">IF(A764="","",_xlfn.CHOOSECOLS('Prematch Backend 2A'!764:764,_xlfn.MAKEARRAY(1,A764-2,_xlfn.LAMBDA(_xlpm.r,_xlpm.c,_xlpm.c))))</f>
        <v/>
      </c>
    </row>
    <row r="765" spans="2:2" x14ac:dyDescent="0.2">
      <c r="B765" t="str" cm="1">
        <f t="array" ref="B765">IF(A765="","",_xlfn.CHOOSECOLS('Prematch Backend 2A'!765:765,_xlfn.MAKEARRAY(1,A765-2,_xlfn.LAMBDA(_xlpm.r,_xlpm.c,_xlpm.c))))</f>
        <v/>
      </c>
    </row>
    <row r="766" spans="2:2" x14ac:dyDescent="0.2">
      <c r="B766" t="str" cm="1">
        <f t="array" ref="B766">IF(A766="","",_xlfn.CHOOSECOLS('Prematch Backend 2A'!766:766,_xlfn.MAKEARRAY(1,A766-2,_xlfn.LAMBDA(_xlpm.r,_xlpm.c,_xlpm.c))))</f>
        <v/>
      </c>
    </row>
    <row r="767" spans="2:2" x14ac:dyDescent="0.2">
      <c r="B767" t="str" cm="1">
        <f t="array" ref="B767">IF(A767="","",_xlfn.CHOOSECOLS('Prematch Backend 2A'!767:767,_xlfn.MAKEARRAY(1,A767-2,_xlfn.LAMBDA(_xlpm.r,_xlpm.c,_xlpm.c))))</f>
        <v/>
      </c>
    </row>
    <row r="768" spans="2:2" x14ac:dyDescent="0.2">
      <c r="B768" t="str" cm="1">
        <f t="array" ref="B768">IF(A768="","",_xlfn.CHOOSECOLS('Prematch Backend 2A'!768:768,_xlfn.MAKEARRAY(1,A768-2,_xlfn.LAMBDA(_xlpm.r,_xlpm.c,_xlpm.c))))</f>
        <v/>
      </c>
    </row>
    <row r="769" spans="2:2" x14ac:dyDescent="0.2">
      <c r="B769" t="str" cm="1">
        <f t="array" ref="B769">IF(A769="","",_xlfn.CHOOSECOLS('Prematch Backend 2A'!769:769,_xlfn.MAKEARRAY(1,A769-2,_xlfn.LAMBDA(_xlpm.r,_xlpm.c,_xlpm.c))))</f>
        <v/>
      </c>
    </row>
    <row r="770" spans="2:2" x14ac:dyDescent="0.2">
      <c r="B770" t="str" cm="1">
        <f t="array" ref="B770">IF(A770="","",_xlfn.CHOOSECOLS('Prematch Backend 2A'!770:770,_xlfn.MAKEARRAY(1,A770-2,_xlfn.LAMBDA(_xlpm.r,_xlpm.c,_xlpm.c))))</f>
        <v/>
      </c>
    </row>
    <row r="771" spans="2:2" x14ac:dyDescent="0.2">
      <c r="B771" t="str" cm="1">
        <f t="array" ref="B771">IF(A771="","",_xlfn.CHOOSECOLS('Prematch Backend 2A'!771:771,_xlfn.MAKEARRAY(1,A771-2,_xlfn.LAMBDA(_xlpm.r,_xlpm.c,_xlpm.c))))</f>
        <v/>
      </c>
    </row>
    <row r="772" spans="2:2" x14ac:dyDescent="0.2">
      <c r="B772" t="str" cm="1">
        <f t="array" ref="B772">IF(A772="","",_xlfn.CHOOSECOLS('Prematch Backend 2A'!772:772,_xlfn.MAKEARRAY(1,A772-2,_xlfn.LAMBDA(_xlpm.r,_xlpm.c,_xlpm.c))))</f>
        <v/>
      </c>
    </row>
    <row r="773" spans="2:2" x14ac:dyDescent="0.2">
      <c r="B773" t="str" cm="1">
        <f t="array" ref="B773">IF(A773="","",_xlfn.CHOOSECOLS('Prematch Backend 2A'!773:773,_xlfn.MAKEARRAY(1,A773-2,_xlfn.LAMBDA(_xlpm.r,_xlpm.c,_xlpm.c))))</f>
        <v/>
      </c>
    </row>
    <row r="774" spans="2:2" x14ac:dyDescent="0.2">
      <c r="B774" t="str" cm="1">
        <f t="array" ref="B774">IF(A774="","",_xlfn.CHOOSECOLS('Prematch Backend 2A'!774:774,_xlfn.MAKEARRAY(1,A774-2,_xlfn.LAMBDA(_xlpm.r,_xlpm.c,_xlpm.c))))</f>
        <v/>
      </c>
    </row>
    <row r="775" spans="2:2" x14ac:dyDescent="0.2">
      <c r="B775" t="str" cm="1">
        <f t="array" ref="B775">IF(A775="","",_xlfn.CHOOSECOLS('Prematch Backend 2A'!775:775,_xlfn.MAKEARRAY(1,A775-2,_xlfn.LAMBDA(_xlpm.r,_xlpm.c,_xlpm.c))))</f>
        <v/>
      </c>
    </row>
    <row r="776" spans="2:2" x14ac:dyDescent="0.2">
      <c r="B776" t="str" cm="1">
        <f t="array" ref="B776">IF(A776="","",_xlfn.CHOOSECOLS('Prematch Backend 2A'!776:776,_xlfn.MAKEARRAY(1,A776-2,_xlfn.LAMBDA(_xlpm.r,_xlpm.c,_xlpm.c))))</f>
        <v/>
      </c>
    </row>
    <row r="777" spans="2:2" x14ac:dyDescent="0.2">
      <c r="B777" t="str" cm="1">
        <f t="array" ref="B777">IF(A777="","",_xlfn.CHOOSECOLS('Prematch Backend 2A'!777:777,_xlfn.MAKEARRAY(1,A777-2,_xlfn.LAMBDA(_xlpm.r,_xlpm.c,_xlpm.c))))</f>
        <v/>
      </c>
    </row>
    <row r="778" spans="2:2" x14ac:dyDescent="0.2">
      <c r="B778" t="str" cm="1">
        <f t="array" ref="B778">IF(A778="","",_xlfn.CHOOSECOLS('Prematch Backend 2A'!778:778,_xlfn.MAKEARRAY(1,A778-2,_xlfn.LAMBDA(_xlpm.r,_xlpm.c,_xlpm.c))))</f>
        <v/>
      </c>
    </row>
    <row r="779" spans="2:2" x14ac:dyDescent="0.2">
      <c r="B779" t="str" cm="1">
        <f t="array" ref="B779">IF(A779="","",_xlfn.CHOOSECOLS('Prematch Backend 2A'!779:779,_xlfn.MAKEARRAY(1,A779-2,_xlfn.LAMBDA(_xlpm.r,_xlpm.c,_xlpm.c))))</f>
        <v/>
      </c>
    </row>
    <row r="780" spans="2:2" x14ac:dyDescent="0.2">
      <c r="B780" t="str" cm="1">
        <f t="array" ref="B780">IF(A780="","",_xlfn.CHOOSECOLS('Prematch Backend 2A'!780:780,_xlfn.MAKEARRAY(1,A780-2,_xlfn.LAMBDA(_xlpm.r,_xlpm.c,_xlpm.c))))</f>
        <v/>
      </c>
    </row>
    <row r="781" spans="2:2" x14ac:dyDescent="0.2">
      <c r="B781" t="str" cm="1">
        <f t="array" ref="B781">IF(A781="","",_xlfn.CHOOSECOLS('Prematch Backend 2A'!781:781,_xlfn.MAKEARRAY(1,A781-2,_xlfn.LAMBDA(_xlpm.r,_xlpm.c,_xlpm.c))))</f>
        <v/>
      </c>
    </row>
    <row r="782" spans="2:2" x14ac:dyDescent="0.2">
      <c r="B782" t="str" cm="1">
        <f t="array" ref="B782">IF(A782="","",_xlfn.CHOOSECOLS('Prematch Backend 2A'!782:782,_xlfn.MAKEARRAY(1,A782-2,_xlfn.LAMBDA(_xlpm.r,_xlpm.c,_xlpm.c))))</f>
        <v/>
      </c>
    </row>
    <row r="783" spans="2:2" x14ac:dyDescent="0.2">
      <c r="B783" t="str" cm="1">
        <f t="array" ref="B783">IF(A783="","",_xlfn.CHOOSECOLS('Prematch Backend 2A'!783:783,_xlfn.MAKEARRAY(1,A783-2,_xlfn.LAMBDA(_xlpm.r,_xlpm.c,_xlpm.c))))</f>
        <v/>
      </c>
    </row>
    <row r="784" spans="2:2" x14ac:dyDescent="0.2">
      <c r="B784" t="str" cm="1">
        <f t="array" ref="B784">IF(A784="","",_xlfn.CHOOSECOLS('Prematch Backend 2A'!784:784,_xlfn.MAKEARRAY(1,A784-2,_xlfn.LAMBDA(_xlpm.r,_xlpm.c,_xlpm.c))))</f>
        <v/>
      </c>
    </row>
    <row r="785" spans="2:2" x14ac:dyDescent="0.2">
      <c r="B785" t="str" cm="1">
        <f t="array" ref="B785">IF(A785="","",_xlfn.CHOOSECOLS('Prematch Backend 2A'!785:785,_xlfn.MAKEARRAY(1,A785-2,_xlfn.LAMBDA(_xlpm.r,_xlpm.c,_xlpm.c))))</f>
        <v/>
      </c>
    </row>
    <row r="786" spans="2:2" x14ac:dyDescent="0.2">
      <c r="B786" t="str" cm="1">
        <f t="array" ref="B786">IF(A786="","",_xlfn.CHOOSECOLS('Prematch Backend 2A'!786:786,_xlfn.MAKEARRAY(1,A786-2,_xlfn.LAMBDA(_xlpm.r,_xlpm.c,_xlpm.c))))</f>
        <v/>
      </c>
    </row>
    <row r="787" spans="2:2" x14ac:dyDescent="0.2">
      <c r="B787" t="str" cm="1">
        <f t="array" ref="B787">IF(A787="","",_xlfn.CHOOSECOLS('Prematch Backend 2A'!787:787,_xlfn.MAKEARRAY(1,A787-2,_xlfn.LAMBDA(_xlpm.r,_xlpm.c,_xlpm.c))))</f>
        <v/>
      </c>
    </row>
    <row r="788" spans="2:2" x14ac:dyDescent="0.2">
      <c r="B788" t="str" cm="1">
        <f t="array" ref="B788">IF(A788="","",_xlfn.CHOOSECOLS('Prematch Backend 2A'!788:788,_xlfn.MAKEARRAY(1,A788-2,_xlfn.LAMBDA(_xlpm.r,_xlpm.c,_xlpm.c))))</f>
        <v/>
      </c>
    </row>
    <row r="789" spans="2:2" x14ac:dyDescent="0.2">
      <c r="B789" t="str" cm="1">
        <f t="array" ref="B789">IF(A789="","",_xlfn.CHOOSECOLS('Prematch Backend 2A'!789:789,_xlfn.MAKEARRAY(1,A789-2,_xlfn.LAMBDA(_xlpm.r,_xlpm.c,_xlpm.c))))</f>
        <v/>
      </c>
    </row>
    <row r="790" spans="2:2" x14ac:dyDescent="0.2">
      <c r="B790" t="str" cm="1">
        <f t="array" ref="B790">IF(A790="","",_xlfn.CHOOSECOLS('Prematch Backend 2A'!790:790,_xlfn.MAKEARRAY(1,A790-2,_xlfn.LAMBDA(_xlpm.r,_xlpm.c,_xlpm.c))))</f>
        <v/>
      </c>
    </row>
    <row r="791" spans="2:2" x14ac:dyDescent="0.2">
      <c r="B791" t="str" cm="1">
        <f t="array" ref="B791">IF(A791="","",_xlfn.CHOOSECOLS('Prematch Backend 2A'!791:791,_xlfn.MAKEARRAY(1,A791-2,_xlfn.LAMBDA(_xlpm.r,_xlpm.c,_xlpm.c))))</f>
        <v/>
      </c>
    </row>
    <row r="792" spans="2:2" x14ac:dyDescent="0.2">
      <c r="B792" t="str" cm="1">
        <f t="array" ref="B792">IF(A792="","",_xlfn.CHOOSECOLS('Prematch Backend 2A'!792:792,_xlfn.MAKEARRAY(1,A792-2,_xlfn.LAMBDA(_xlpm.r,_xlpm.c,_xlpm.c))))</f>
        <v/>
      </c>
    </row>
    <row r="793" spans="2:2" x14ac:dyDescent="0.2">
      <c r="B793" t="str" cm="1">
        <f t="array" ref="B793">IF(A793="","",_xlfn.CHOOSECOLS('Prematch Backend 2A'!793:793,_xlfn.MAKEARRAY(1,A793-2,_xlfn.LAMBDA(_xlpm.r,_xlpm.c,_xlpm.c))))</f>
        <v/>
      </c>
    </row>
    <row r="794" spans="2:2" x14ac:dyDescent="0.2">
      <c r="B794" t="str" cm="1">
        <f t="array" ref="B794">IF(A794="","",_xlfn.CHOOSECOLS('Prematch Backend 2A'!794:794,_xlfn.MAKEARRAY(1,A794-2,_xlfn.LAMBDA(_xlpm.r,_xlpm.c,_xlpm.c))))</f>
        <v/>
      </c>
    </row>
    <row r="795" spans="2:2" x14ac:dyDescent="0.2">
      <c r="B795" t="str" cm="1">
        <f t="array" ref="B795">IF(A795="","",_xlfn.CHOOSECOLS('Prematch Backend 2A'!795:795,_xlfn.MAKEARRAY(1,A795-2,_xlfn.LAMBDA(_xlpm.r,_xlpm.c,_xlpm.c))))</f>
        <v/>
      </c>
    </row>
    <row r="796" spans="2:2" x14ac:dyDescent="0.2">
      <c r="B796" t="str" cm="1">
        <f t="array" ref="B796">IF(A796="","",_xlfn.CHOOSECOLS('Prematch Backend 2A'!796:796,_xlfn.MAKEARRAY(1,A796-2,_xlfn.LAMBDA(_xlpm.r,_xlpm.c,_xlpm.c))))</f>
        <v/>
      </c>
    </row>
    <row r="797" spans="2:2" x14ac:dyDescent="0.2">
      <c r="B797" t="str" cm="1">
        <f t="array" ref="B797">IF(A797="","",_xlfn.CHOOSECOLS('Prematch Backend 2A'!797:797,_xlfn.MAKEARRAY(1,A797-2,_xlfn.LAMBDA(_xlpm.r,_xlpm.c,_xlpm.c))))</f>
        <v/>
      </c>
    </row>
    <row r="798" spans="2:2" x14ac:dyDescent="0.2">
      <c r="B798" t="str" cm="1">
        <f t="array" ref="B798">IF(A798="","",_xlfn.CHOOSECOLS('Prematch Backend 2A'!798:798,_xlfn.MAKEARRAY(1,A798-2,_xlfn.LAMBDA(_xlpm.r,_xlpm.c,_xlpm.c))))</f>
        <v/>
      </c>
    </row>
    <row r="799" spans="2:2" x14ac:dyDescent="0.2">
      <c r="B799" t="str" cm="1">
        <f t="array" ref="B799">IF(A799="","",_xlfn.CHOOSECOLS('Prematch Backend 2A'!799:799,_xlfn.MAKEARRAY(1,A799-2,_xlfn.LAMBDA(_xlpm.r,_xlpm.c,_xlpm.c))))</f>
        <v/>
      </c>
    </row>
    <row r="800" spans="2:2" x14ac:dyDescent="0.2">
      <c r="B800" t="str" cm="1">
        <f t="array" ref="B800">IF(A800="","",_xlfn.CHOOSECOLS('Prematch Backend 2A'!800:800,_xlfn.MAKEARRAY(1,A800-2,_xlfn.LAMBDA(_xlpm.r,_xlpm.c,_xlpm.c))))</f>
        <v/>
      </c>
    </row>
    <row r="801" spans="2:2" x14ac:dyDescent="0.2">
      <c r="B801" t="str" cm="1">
        <f t="array" ref="B801">IF(A801="","",_xlfn.CHOOSECOLS('Prematch Backend 2A'!801:801,_xlfn.MAKEARRAY(1,A801-2,_xlfn.LAMBDA(_xlpm.r,_xlpm.c,_xlpm.c))))</f>
        <v/>
      </c>
    </row>
    <row r="802" spans="2:2" x14ac:dyDescent="0.2">
      <c r="B802" t="str" cm="1">
        <f t="array" ref="B802">IF(A802="","",_xlfn.CHOOSECOLS('Prematch Backend 2A'!802:802,_xlfn.MAKEARRAY(1,A802-2,_xlfn.LAMBDA(_xlpm.r,_xlpm.c,_xlpm.c))))</f>
        <v/>
      </c>
    </row>
    <row r="803" spans="2:2" x14ac:dyDescent="0.2">
      <c r="B803" t="str" cm="1">
        <f t="array" ref="B803">IF(A803="","",_xlfn.CHOOSECOLS('Prematch Backend 2A'!803:803,_xlfn.MAKEARRAY(1,A803-2,_xlfn.LAMBDA(_xlpm.r,_xlpm.c,_xlpm.c))))</f>
        <v/>
      </c>
    </row>
    <row r="804" spans="2:2" x14ac:dyDescent="0.2">
      <c r="B804" t="str" cm="1">
        <f t="array" ref="B804">IF(A804="","",_xlfn.CHOOSECOLS('Prematch Backend 2A'!804:804,_xlfn.MAKEARRAY(1,A804-2,_xlfn.LAMBDA(_xlpm.r,_xlpm.c,_xlpm.c))))</f>
        <v/>
      </c>
    </row>
    <row r="805" spans="2:2" x14ac:dyDescent="0.2">
      <c r="B805" t="str" cm="1">
        <f t="array" ref="B805">IF(A805="","",_xlfn.CHOOSECOLS('Prematch Backend 2A'!805:805,_xlfn.MAKEARRAY(1,A805-2,_xlfn.LAMBDA(_xlpm.r,_xlpm.c,_xlpm.c))))</f>
        <v/>
      </c>
    </row>
    <row r="806" spans="2:2" x14ac:dyDescent="0.2">
      <c r="B806" t="str" cm="1">
        <f t="array" ref="B806">IF(A806="","",_xlfn.CHOOSECOLS('Prematch Backend 2A'!806:806,_xlfn.MAKEARRAY(1,A806-2,_xlfn.LAMBDA(_xlpm.r,_xlpm.c,_xlpm.c))))</f>
        <v/>
      </c>
    </row>
    <row r="807" spans="2:2" x14ac:dyDescent="0.2">
      <c r="B807" t="str" cm="1">
        <f t="array" ref="B807">IF(A807="","",_xlfn.CHOOSECOLS('Prematch Backend 2A'!807:807,_xlfn.MAKEARRAY(1,A807-2,_xlfn.LAMBDA(_xlpm.r,_xlpm.c,_xlpm.c))))</f>
        <v/>
      </c>
    </row>
    <row r="808" spans="2:2" x14ac:dyDescent="0.2">
      <c r="B808" t="str" cm="1">
        <f t="array" ref="B808">IF(A808="","",_xlfn.CHOOSECOLS('Prematch Backend 2A'!808:808,_xlfn.MAKEARRAY(1,A808-2,_xlfn.LAMBDA(_xlpm.r,_xlpm.c,_xlpm.c))))</f>
        <v/>
      </c>
    </row>
    <row r="809" spans="2:2" x14ac:dyDescent="0.2">
      <c r="B809" t="str" cm="1">
        <f t="array" ref="B809">IF(A809="","",_xlfn.CHOOSECOLS('Prematch Backend 2A'!809:809,_xlfn.MAKEARRAY(1,A809-2,_xlfn.LAMBDA(_xlpm.r,_xlpm.c,_xlpm.c))))</f>
        <v/>
      </c>
    </row>
    <row r="810" spans="2:2" x14ac:dyDescent="0.2">
      <c r="B810" t="str" cm="1">
        <f t="array" ref="B810">IF(A810="","",_xlfn.CHOOSECOLS('Prematch Backend 2A'!810:810,_xlfn.MAKEARRAY(1,A810-2,_xlfn.LAMBDA(_xlpm.r,_xlpm.c,_xlpm.c))))</f>
        <v/>
      </c>
    </row>
    <row r="811" spans="2:2" x14ac:dyDescent="0.2">
      <c r="B811" t="str" cm="1">
        <f t="array" ref="B811">IF(A811="","",_xlfn.CHOOSECOLS('Prematch Backend 2A'!811:811,_xlfn.MAKEARRAY(1,A811-2,_xlfn.LAMBDA(_xlpm.r,_xlpm.c,_xlpm.c))))</f>
        <v/>
      </c>
    </row>
    <row r="812" spans="2:2" x14ac:dyDescent="0.2">
      <c r="B812" t="str" cm="1">
        <f t="array" ref="B812">IF(A812="","",_xlfn.CHOOSECOLS('Prematch Backend 2A'!812:812,_xlfn.MAKEARRAY(1,A812-2,_xlfn.LAMBDA(_xlpm.r,_xlpm.c,_xlpm.c))))</f>
        <v/>
      </c>
    </row>
    <row r="813" spans="2:2" x14ac:dyDescent="0.2">
      <c r="B813" t="str" cm="1">
        <f t="array" ref="B813">IF(A813="","",_xlfn.CHOOSECOLS('Prematch Backend 2A'!813:813,_xlfn.MAKEARRAY(1,A813-2,_xlfn.LAMBDA(_xlpm.r,_xlpm.c,_xlpm.c))))</f>
        <v/>
      </c>
    </row>
    <row r="814" spans="2:2" x14ac:dyDescent="0.2">
      <c r="B814" t="str" cm="1">
        <f t="array" ref="B814">IF(A814="","",_xlfn.CHOOSECOLS('Prematch Backend 2A'!814:814,_xlfn.MAKEARRAY(1,A814-2,_xlfn.LAMBDA(_xlpm.r,_xlpm.c,_xlpm.c))))</f>
        <v/>
      </c>
    </row>
    <row r="815" spans="2:2" x14ac:dyDescent="0.2">
      <c r="B815" t="str" cm="1">
        <f t="array" ref="B815">IF(A815="","",_xlfn.CHOOSECOLS('Prematch Backend 2A'!815:815,_xlfn.MAKEARRAY(1,A815-2,_xlfn.LAMBDA(_xlpm.r,_xlpm.c,_xlpm.c))))</f>
        <v/>
      </c>
    </row>
    <row r="816" spans="2:2" x14ac:dyDescent="0.2">
      <c r="B816" t="str" cm="1">
        <f t="array" ref="B816">IF(A816="","",_xlfn.CHOOSECOLS('Prematch Backend 2A'!816:816,_xlfn.MAKEARRAY(1,A816-2,_xlfn.LAMBDA(_xlpm.r,_xlpm.c,_xlpm.c))))</f>
        <v/>
      </c>
    </row>
    <row r="817" spans="2:2" x14ac:dyDescent="0.2">
      <c r="B817" t="str" cm="1">
        <f t="array" ref="B817">IF(A817="","",_xlfn.CHOOSECOLS('Prematch Backend 2A'!817:817,_xlfn.MAKEARRAY(1,A817-2,_xlfn.LAMBDA(_xlpm.r,_xlpm.c,_xlpm.c))))</f>
        <v/>
      </c>
    </row>
    <row r="818" spans="2:2" x14ac:dyDescent="0.2">
      <c r="B818" t="str" cm="1">
        <f t="array" ref="B818">IF(A818="","",_xlfn.CHOOSECOLS('Prematch Backend 2A'!818:818,_xlfn.MAKEARRAY(1,A818-2,_xlfn.LAMBDA(_xlpm.r,_xlpm.c,_xlpm.c))))</f>
        <v/>
      </c>
    </row>
    <row r="819" spans="2:2" x14ac:dyDescent="0.2">
      <c r="B819" t="str" cm="1">
        <f t="array" ref="B819">IF(A819="","",_xlfn.CHOOSECOLS('Prematch Backend 2A'!819:819,_xlfn.MAKEARRAY(1,A819-2,_xlfn.LAMBDA(_xlpm.r,_xlpm.c,_xlpm.c))))</f>
        <v/>
      </c>
    </row>
    <row r="820" spans="2:2" x14ac:dyDescent="0.2">
      <c r="B820" t="str" cm="1">
        <f t="array" ref="B820">IF(A820="","",_xlfn.CHOOSECOLS('Prematch Backend 2A'!820:820,_xlfn.MAKEARRAY(1,A820-2,_xlfn.LAMBDA(_xlpm.r,_xlpm.c,_xlpm.c))))</f>
        <v/>
      </c>
    </row>
    <row r="821" spans="2:2" x14ac:dyDescent="0.2">
      <c r="B821" t="str" cm="1">
        <f t="array" ref="B821">IF(A821="","",_xlfn.CHOOSECOLS('Prematch Backend 2A'!821:821,_xlfn.MAKEARRAY(1,A821-2,_xlfn.LAMBDA(_xlpm.r,_xlpm.c,_xlpm.c))))</f>
        <v/>
      </c>
    </row>
    <row r="822" spans="2:2" x14ac:dyDescent="0.2">
      <c r="B822" t="str" cm="1">
        <f t="array" ref="B822">IF(A822="","",_xlfn.CHOOSECOLS('Prematch Backend 2A'!822:822,_xlfn.MAKEARRAY(1,A822-2,_xlfn.LAMBDA(_xlpm.r,_xlpm.c,_xlpm.c))))</f>
        <v/>
      </c>
    </row>
    <row r="823" spans="2:2" x14ac:dyDescent="0.2">
      <c r="B823" t="str" cm="1">
        <f t="array" ref="B823">IF(A823="","",_xlfn.CHOOSECOLS('Prematch Backend 2A'!823:823,_xlfn.MAKEARRAY(1,A823-2,_xlfn.LAMBDA(_xlpm.r,_xlpm.c,_xlpm.c))))</f>
        <v/>
      </c>
    </row>
    <row r="824" spans="2:2" x14ac:dyDescent="0.2">
      <c r="B824" t="str" cm="1">
        <f t="array" ref="B824">IF(A824="","",_xlfn.CHOOSECOLS('Prematch Backend 2A'!824:824,_xlfn.MAKEARRAY(1,A824-2,_xlfn.LAMBDA(_xlpm.r,_xlpm.c,_xlpm.c))))</f>
        <v/>
      </c>
    </row>
    <row r="825" spans="2:2" x14ac:dyDescent="0.2">
      <c r="B825" t="str" cm="1">
        <f t="array" ref="B825">IF(A825="","",_xlfn.CHOOSECOLS('Prematch Backend 2A'!825:825,_xlfn.MAKEARRAY(1,A825-2,_xlfn.LAMBDA(_xlpm.r,_xlpm.c,_xlpm.c))))</f>
        <v/>
      </c>
    </row>
    <row r="826" spans="2:2" x14ac:dyDescent="0.2">
      <c r="B826" t="str" cm="1">
        <f t="array" ref="B826">IF(A826="","",_xlfn.CHOOSECOLS('Prematch Backend 2A'!826:826,_xlfn.MAKEARRAY(1,A826-2,_xlfn.LAMBDA(_xlpm.r,_xlpm.c,_xlpm.c))))</f>
        <v/>
      </c>
    </row>
    <row r="827" spans="2:2" x14ac:dyDescent="0.2">
      <c r="B827" t="str" cm="1">
        <f t="array" ref="B827">IF(A827="","",_xlfn.CHOOSECOLS('Prematch Backend 2A'!827:827,_xlfn.MAKEARRAY(1,A827-2,_xlfn.LAMBDA(_xlpm.r,_xlpm.c,_xlpm.c))))</f>
        <v/>
      </c>
    </row>
    <row r="828" spans="2:2" x14ac:dyDescent="0.2">
      <c r="B828" t="str" cm="1">
        <f t="array" ref="B828">IF(A828="","",_xlfn.CHOOSECOLS('Prematch Backend 2A'!828:828,_xlfn.MAKEARRAY(1,A828-2,_xlfn.LAMBDA(_xlpm.r,_xlpm.c,_xlpm.c))))</f>
        <v/>
      </c>
    </row>
    <row r="829" spans="2:2" x14ac:dyDescent="0.2">
      <c r="B829" t="str" cm="1">
        <f t="array" ref="B829">IF(A829="","",_xlfn.CHOOSECOLS('Prematch Backend 2A'!829:829,_xlfn.MAKEARRAY(1,A829-2,_xlfn.LAMBDA(_xlpm.r,_xlpm.c,_xlpm.c))))</f>
        <v/>
      </c>
    </row>
    <row r="830" spans="2:2" x14ac:dyDescent="0.2">
      <c r="B830" t="str" cm="1">
        <f t="array" ref="B830">IF(A830="","",_xlfn.CHOOSECOLS('Prematch Backend 2A'!830:830,_xlfn.MAKEARRAY(1,A830-2,_xlfn.LAMBDA(_xlpm.r,_xlpm.c,_xlpm.c))))</f>
        <v/>
      </c>
    </row>
    <row r="831" spans="2:2" x14ac:dyDescent="0.2">
      <c r="B831" t="str" cm="1">
        <f t="array" ref="B831">IF(A831="","",_xlfn.CHOOSECOLS('Prematch Backend 2A'!831:831,_xlfn.MAKEARRAY(1,A831-2,_xlfn.LAMBDA(_xlpm.r,_xlpm.c,_xlpm.c))))</f>
        <v/>
      </c>
    </row>
    <row r="832" spans="2:2" x14ac:dyDescent="0.2">
      <c r="B832" t="str" cm="1">
        <f t="array" ref="B832">IF(A832="","",_xlfn.CHOOSECOLS('Prematch Backend 2A'!832:832,_xlfn.MAKEARRAY(1,A832-2,_xlfn.LAMBDA(_xlpm.r,_xlpm.c,_xlpm.c))))</f>
        <v/>
      </c>
    </row>
    <row r="833" spans="2:2" x14ac:dyDescent="0.2">
      <c r="B833" t="str" cm="1">
        <f t="array" ref="B833">IF(A833="","",_xlfn.CHOOSECOLS('Prematch Backend 2A'!833:833,_xlfn.MAKEARRAY(1,A833-2,_xlfn.LAMBDA(_xlpm.r,_xlpm.c,_xlpm.c))))</f>
        <v/>
      </c>
    </row>
    <row r="834" spans="2:2" x14ac:dyDescent="0.2">
      <c r="B834" t="str" cm="1">
        <f t="array" ref="B834">IF(A834="","",_xlfn.CHOOSECOLS('Prematch Backend 2A'!834:834,_xlfn.MAKEARRAY(1,A834-2,_xlfn.LAMBDA(_xlpm.r,_xlpm.c,_xlpm.c))))</f>
        <v/>
      </c>
    </row>
    <row r="835" spans="2:2" x14ac:dyDescent="0.2">
      <c r="B835" t="str" cm="1">
        <f t="array" ref="B835">IF(A835="","",_xlfn.CHOOSECOLS('Prematch Backend 2A'!835:835,_xlfn.MAKEARRAY(1,A835-2,_xlfn.LAMBDA(_xlpm.r,_xlpm.c,_xlpm.c))))</f>
        <v/>
      </c>
    </row>
    <row r="836" spans="2:2" x14ac:dyDescent="0.2">
      <c r="B836" t="str" cm="1">
        <f t="array" ref="B836">IF(A836="","",_xlfn.CHOOSECOLS('Prematch Backend 2A'!836:836,_xlfn.MAKEARRAY(1,A836-2,_xlfn.LAMBDA(_xlpm.r,_xlpm.c,_xlpm.c))))</f>
        <v/>
      </c>
    </row>
    <row r="837" spans="2:2" x14ac:dyDescent="0.2">
      <c r="B837" t="str" cm="1">
        <f t="array" ref="B837">IF(A837="","",_xlfn.CHOOSECOLS('Prematch Backend 2A'!837:837,_xlfn.MAKEARRAY(1,A837-2,_xlfn.LAMBDA(_xlpm.r,_xlpm.c,_xlpm.c))))</f>
        <v/>
      </c>
    </row>
    <row r="838" spans="2:2" x14ac:dyDescent="0.2">
      <c r="B838" t="str" cm="1">
        <f t="array" ref="B838">IF(A838="","",_xlfn.CHOOSECOLS('Prematch Backend 2A'!838:838,_xlfn.MAKEARRAY(1,A838-2,_xlfn.LAMBDA(_xlpm.r,_xlpm.c,_xlpm.c))))</f>
        <v/>
      </c>
    </row>
    <row r="839" spans="2:2" x14ac:dyDescent="0.2">
      <c r="B839" t="str" cm="1">
        <f t="array" ref="B839">IF(A839="","",_xlfn.CHOOSECOLS('Prematch Backend 2A'!839:839,_xlfn.MAKEARRAY(1,A839-2,_xlfn.LAMBDA(_xlpm.r,_xlpm.c,_xlpm.c))))</f>
        <v/>
      </c>
    </row>
    <row r="840" spans="2:2" x14ac:dyDescent="0.2">
      <c r="B840" t="str" cm="1">
        <f t="array" ref="B840">IF(A840="","",_xlfn.CHOOSECOLS('Prematch Backend 2A'!840:840,_xlfn.MAKEARRAY(1,A840-2,_xlfn.LAMBDA(_xlpm.r,_xlpm.c,_xlpm.c))))</f>
        <v/>
      </c>
    </row>
    <row r="841" spans="2:2" x14ac:dyDescent="0.2">
      <c r="B841" t="str" cm="1">
        <f t="array" ref="B841">IF(A841="","",_xlfn.CHOOSECOLS('Prematch Backend 2A'!841:841,_xlfn.MAKEARRAY(1,A841-2,_xlfn.LAMBDA(_xlpm.r,_xlpm.c,_xlpm.c))))</f>
        <v/>
      </c>
    </row>
    <row r="842" spans="2:2" x14ac:dyDescent="0.2">
      <c r="B842" t="str" cm="1">
        <f t="array" ref="B842">IF(A842="","",_xlfn.CHOOSECOLS('Prematch Backend 2A'!842:842,_xlfn.MAKEARRAY(1,A842-2,_xlfn.LAMBDA(_xlpm.r,_xlpm.c,_xlpm.c))))</f>
        <v/>
      </c>
    </row>
    <row r="843" spans="2:2" x14ac:dyDescent="0.2">
      <c r="B843" t="str" cm="1">
        <f t="array" ref="B843">IF(A843="","",_xlfn.CHOOSECOLS('Prematch Backend 2A'!843:843,_xlfn.MAKEARRAY(1,A843-2,_xlfn.LAMBDA(_xlpm.r,_xlpm.c,_xlpm.c))))</f>
        <v/>
      </c>
    </row>
    <row r="844" spans="2:2" x14ac:dyDescent="0.2">
      <c r="B844" t="str" cm="1">
        <f t="array" ref="B844">IF(A844="","",_xlfn.CHOOSECOLS('Prematch Backend 2A'!844:844,_xlfn.MAKEARRAY(1,A844-2,_xlfn.LAMBDA(_xlpm.r,_xlpm.c,_xlpm.c))))</f>
        <v/>
      </c>
    </row>
    <row r="845" spans="2:2" x14ac:dyDescent="0.2">
      <c r="B845" t="str" cm="1">
        <f t="array" ref="B845">IF(A845="","",_xlfn.CHOOSECOLS('Prematch Backend 2A'!845:845,_xlfn.MAKEARRAY(1,A845-2,_xlfn.LAMBDA(_xlpm.r,_xlpm.c,_xlpm.c))))</f>
        <v/>
      </c>
    </row>
    <row r="846" spans="2:2" x14ac:dyDescent="0.2">
      <c r="B846" t="str" cm="1">
        <f t="array" ref="B846">IF(A846="","",_xlfn.CHOOSECOLS('Prematch Backend 2A'!846:846,_xlfn.MAKEARRAY(1,A846-2,_xlfn.LAMBDA(_xlpm.r,_xlpm.c,_xlpm.c))))</f>
        <v/>
      </c>
    </row>
    <row r="847" spans="2:2" x14ac:dyDescent="0.2">
      <c r="B847" t="str" cm="1">
        <f t="array" ref="B847">IF(A847="","",_xlfn.CHOOSECOLS('Prematch Backend 2A'!847:847,_xlfn.MAKEARRAY(1,A847-2,_xlfn.LAMBDA(_xlpm.r,_xlpm.c,_xlpm.c))))</f>
        <v/>
      </c>
    </row>
    <row r="848" spans="2:2" x14ac:dyDescent="0.2">
      <c r="B848" t="str" cm="1">
        <f t="array" ref="B848">IF(A848="","",_xlfn.CHOOSECOLS('Prematch Backend 2A'!848:848,_xlfn.MAKEARRAY(1,A848-2,_xlfn.LAMBDA(_xlpm.r,_xlpm.c,_xlpm.c))))</f>
        <v/>
      </c>
    </row>
    <row r="849" spans="2:2" x14ac:dyDescent="0.2">
      <c r="B849" t="str" cm="1">
        <f t="array" ref="B849">IF(A849="","",_xlfn.CHOOSECOLS('Prematch Backend 2A'!849:849,_xlfn.MAKEARRAY(1,A849-2,_xlfn.LAMBDA(_xlpm.r,_xlpm.c,_xlpm.c))))</f>
        <v/>
      </c>
    </row>
    <row r="850" spans="2:2" x14ac:dyDescent="0.2">
      <c r="B850" t="str" cm="1">
        <f t="array" ref="B850">IF(A850="","",_xlfn.CHOOSECOLS('Prematch Backend 2A'!850:850,_xlfn.MAKEARRAY(1,A850-2,_xlfn.LAMBDA(_xlpm.r,_xlpm.c,_xlpm.c))))</f>
        <v/>
      </c>
    </row>
    <row r="851" spans="2:2" x14ac:dyDescent="0.2">
      <c r="B851" t="str" cm="1">
        <f t="array" ref="B851">IF(A851="","",_xlfn.CHOOSECOLS('Prematch Backend 2A'!851:851,_xlfn.MAKEARRAY(1,A851-2,_xlfn.LAMBDA(_xlpm.r,_xlpm.c,_xlpm.c))))</f>
        <v/>
      </c>
    </row>
    <row r="852" spans="2:2" x14ac:dyDescent="0.2">
      <c r="B852" t="str" cm="1">
        <f t="array" ref="B852">IF(A852="","",_xlfn.CHOOSECOLS('Prematch Backend 2A'!852:852,_xlfn.MAKEARRAY(1,A852-2,_xlfn.LAMBDA(_xlpm.r,_xlpm.c,_xlpm.c))))</f>
        <v/>
      </c>
    </row>
    <row r="853" spans="2:2" x14ac:dyDescent="0.2">
      <c r="B853" t="str" cm="1">
        <f t="array" ref="B853">IF(A853="","",_xlfn.CHOOSECOLS('Prematch Backend 2A'!853:853,_xlfn.MAKEARRAY(1,A853-2,_xlfn.LAMBDA(_xlpm.r,_xlpm.c,_xlpm.c))))</f>
        <v/>
      </c>
    </row>
    <row r="854" spans="2:2" x14ac:dyDescent="0.2">
      <c r="B854" t="str" cm="1">
        <f t="array" ref="B854">IF(A854="","",_xlfn.CHOOSECOLS('Prematch Backend 2A'!854:854,_xlfn.MAKEARRAY(1,A854-2,_xlfn.LAMBDA(_xlpm.r,_xlpm.c,_xlpm.c))))</f>
        <v/>
      </c>
    </row>
    <row r="855" spans="2:2" x14ac:dyDescent="0.2">
      <c r="B855" t="str" cm="1">
        <f t="array" ref="B855">IF(A855="","",_xlfn.CHOOSECOLS('Prematch Backend 2A'!855:855,_xlfn.MAKEARRAY(1,A855-2,_xlfn.LAMBDA(_xlpm.r,_xlpm.c,_xlpm.c))))</f>
        <v/>
      </c>
    </row>
    <row r="856" spans="2:2" x14ac:dyDescent="0.2">
      <c r="B856" t="str" cm="1">
        <f t="array" ref="B856">IF(A856="","",_xlfn.CHOOSECOLS('Prematch Backend 2A'!856:856,_xlfn.MAKEARRAY(1,A856-2,_xlfn.LAMBDA(_xlpm.r,_xlpm.c,_xlpm.c))))</f>
        <v/>
      </c>
    </row>
    <row r="857" spans="2:2" x14ac:dyDescent="0.2">
      <c r="B857" t="str" cm="1">
        <f t="array" ref="B857">IF(A857="","",_xlfn.CHOOSECOLS('Prematch Backend 2A'!857:857,_xlfn.MAKEARRAY(1,A857-2,_xlfn.LAMBDA(_xlpm.r,_xlpm.c,_xlpm.c))))</f>
        <v/>
      </c>
    </row>
    <row r="858" spans="2:2" x14ac:dyDescent="0.2">
      <c r="B858" t="str" cm="1">
        <f t="array" ref="B858">IF(A858="","",_xlfn.CHOOSECOLS('Prematch Backend 2A'!858:858,_xlfn.MAKEARRAY(1,A858-2,_xlfn.LAMBDA(_xlpm.r,_xlpm.c,_xlpm.c))))</f>
        <v/>
      </c>
    </row>
    <row r="859" spans="2:2" x14ac:dyDescent="0.2">
      <c r="B859" t="str" cm="1">
        <f t="array" ref="B859">IF(A859="","",_xlfn.CHOOSECOLS('Prematch Backend 2A'!859:859,_xlfn.MAKEARRAY(1,A859-2,_xlfn.LAMBDA(_xlpm.r,_xlpm.c,_xlpm.c))))</f>
        <v/>
      </c>
    </row>
    <row r="860" spans="2:2" x14ac:dyDescent="0.2">
      <c r="B860" t="str" cm="1">
        <f t="array" ref="B860">IF(A860="","",_xlfn.CHOOSECOLS('Prematch Backend 2A'!860:860,_xlfn.MAKEARRAY(1,A860-2,_xlfn.LAMBDA(_xlpm.r,_xlpm.c,_xlpm.c))))</f>
        <v/>
      </c>
    </row>
    <row r="861" spans="2:2" x14ac:dyDescent="0.2">
      <c r="B861" t="str" cm="1">
        <f t="array" ref="B861">IF(A861="","",_xlfn.CHOOSECOLS('Prematch Backend 2A'!861:861,_xlfn.MAKEARRAY(1,A861-2,_xlfn.LAMBDA(_xlpm.r,_xlpm.c,_xlpm.c))))</f>
        <v/>
      </c>
    </row>
    <row r="862" spans="2:2" x14ac:dyDescent="0.2">
      <c r="B862" t="str" cm="1">
        <f t="array" ref="B862">IF(A862="","",_xlfn.CHOOSECOLS('Prematch Backend 2A'!862:862,_xlfn.MAKEARRAY(1,A862-2,_xlfn.LAMBDA(_xlpm.r,_xlpm.c,_xlpm.c))))</f>
        <v/>
      </c>
    </row>
    <row r="863" spans="2:2" x14ac:dyDescent="0.2">
      <c r="B863" t="str" cm="1">
        <f t="array" ref="B863">IF(A863="","",_xlfn.CHOOSECOLS('Prematch Backend 2A'!863:863,_xlfn.MAKEARRAY(1,A863-2,_xlfn.LAMBDA(_xlpm.r,_xlpm.c,_xlpm.c))))</f>
        <v/>
      </c>
    </row>
    <row r="864" spans="2:2" x14ac:dyDescent="0.2">
      <c r="B864" t="str" cm="1">
        <f t="array" ref="B864">IF(A864="","",_xlfn.CHOOSECOLS('Prematch Backend 2A'!864:864,_xlfn.MAKEARRAY(1,A864-2,_xlfn.LAMBDA(_xlpm.r,_xlpm.c,_xlpm.c))))</f>
        <v/>
      </c>
    </row>
    <row r="865" spans="2:2" x14ac:dyDescent="0.2">
      <c r="B865" t="str" cm="1">
        <f t="array" ref="B865">IF(A865="","",_xlfn.CHOOSECOLS('Prematch Backend 2A'!865:865,_xlfn.MAKEARRAY(1,A865-2,_xlfn.LAMBDA(_xlpm.r,_xlpm.c,_xlpm.c))))</f>
        <v/>
      </c>
    </row>
    <row r="866" spans="2:2" x14ac:dyDescent="0.2">
      <c r="B866" t="str" cm="1">
        <f t="array" ref="B866">IF(A866="","",_xlfn.CHOOSECOLS('Prematch Backend 2A'!866:866,_xlfn.MAKEARRAY(1,A866-2,_xlfn.LAMBDA(_xlpm.r,_xlpm.c,_xlpm.c))))</f>
        <v/>
      </c>
    </row>
    <row r="867" spans="2:2" x14ac:dyDescent="0.2">
      <c r="B867" t="str" cm="1">
        <f t="array" ref="B867">IF(A867="","",_xlfn.CHOOSECOLS('Prematch Backend 2A'!867:867,_xlfn.MAKEARRAY(1,A867-2,_xlfn.LAMBDA(_xlpm.r,_xlpm.c,_xlpm.c))))</f>
        <v/>
      </c>
    </row>
    <row r="868" spans="2:2" x14ac:dyDescent="0.2">
      <c r="B868" t="str" cm="1">
        <f t="array" ref="B868">IF(A868="","",_xlfn.CHOOSECOLS('Prematch Backend 2A'!868:868,_xlfn.MAKEARRAY(1,A868-2,_xlfn.LAMBDA(_xlpm.r,_xlpm.c,_xlpm.c))))</f>
        <v/>
      </c>
    </row>
    <row r="869" spans="2:2" x14ac:dyDescent="0.2">
      <c r="B869" t="str" cm="1">
        <f t="array" ref="B869">IF(A869="","",_xlfn.CHOOSECOLS('Prematch Backend 2A'!869:869,_xlfn.MAKEARRAY(1,A869-2,_xlfn.LAMBDA(_xlpm.r,_xlpm.c,_xlpm.c))))</f>
        <v/>
      </c>
    </row>
    <row r="870" spans="2:2" x14ac:dyDescent="0.2">
      <c r="B870" t="str" cm="1">
        <f t="array" ref="B870">IF(A870="","",_xlfn.CHOOSECOLS('Prematch Backend 2A'!870:870,_xlfn.MAKEARRAY(1,A870-2,_xlfn.LAMBDA(_xlpm.r,_xlpm.c,_xlpm.c))))</f>
        <v/>
      </c>
    </row>
    <row r="871" spans="2:2" x14ac:dyDescent="0.2">
      <c r="B871" t="str" cm="1">
        <f t="array" ref="B871">IF(A871="","",_xlfn.CHOOSECOLS('Prematch Backend 2A'!871:871,_xlfn.MAKEARRAY(1,A871-2,_xlfn.LAMBDA(_xlpm.r,_xlpm.c,_xlpm.c))))</f>
        <v/>
      </c>
    </row>
    <row r="872" spans="2:2" x14ac:dyDescent="0.2">
      <c r="B872" t="str" cm="1">
        <f t="array" ref="B872">IF(A872="","",_xlfn.CHOOSECOLS('Prematch Backend 2A'!872:872,_xlfn.MAKEARRAY(1,A872-2,_xlfn.LAMBDA(_xlpm.r,_xlpm.c,_xlpm.c))))</f>
        <v/>
      </c>
    </row>
    <row r="873" spans="2:2" x14ac:dyDescent="0.2">
      <c r="B873" t="str" cm="1">
        <f t="array" ref="B873">IF(A873="","",_xlfn.CHOOSECOLS('Prematch Backend 2A'!873:873,_xlfn.MAKEARRAY(1,A873-2,_xlfn.LAMBDA(_xlpm.r,_xlpm.c,_xlpm.c))))</f>
        <v/>
      </c>
    </row>
    <row r="874" spans="2:2" x14ac:dyDescent="0.2">
      <c r="B874" t="str" cm="1">
        <f t="array" ref="B874">IF(A874="","",_xlfn.CHOOSECOLS('Prematch Backend 2A'!874:874,_xlfn.MAKEARRAY(1,A874-2,_xlfn.LAMBDA(_xlpm.r,_xlpm.c,_xlpm.c))))</f>
        <v/>
      </c>
    </row>
    <row r="875" spans="2:2" x14ac:dyDescent="0.2">
      <c r="B875" t="str" cm="1">
        <f t="array" ref="B875">IF(A875="","",_xlfn.CHOOSECOLS('Prematch Backend 2A'!875:875,_xlfn.MAKEARRAY(1,A875-2,_xlfn.LAMBDA(_xlpm.r,_xlpm.c,_xlpm.c))))</f>
        <v/>
      </c>
    </row>
    <row r="876" spans="2:2" x14ac:dyDescent="0.2">
      <c r="B876" t="str" cm="1">
        <f t="array" ref="B876">IF(A876="","",_xlfn.CHOOSECOLS('Prematch Backend 2A'!876:876,_xlfn.MAKEARRAY(1,A876-2,_xlfn.LAMBDA(_xlpm.r,_xlpm.c,_xlpm.c))))</f>
        <v/>
      </c>
    </row>
    <row r="877" spans="2:2" x14ac:dyDescent="0.2">
      <c r="B877" t="str" cm="1">
        <f t="array" ref="B877">IF(A877="","",_xlfn.CHOOSECOLS('Prematch Backend 2A'!877:877,_xlfn.MAKEARRAY(1,A877-2,_xlfn.LAMBDA(_xlpm.r,_xlpm.c,_xlpm.c))))</f>
        <v/>
      </c>
    </row>
    <row r="878" spans="2:2" x14ac:dyDescent="0.2">
      <c r="B878" t="str" cm="1">
        <f t="array" ref="B878">IF(A878="","",_xlfn.CHOOSECOLS('Prematch Backend 2A'!878:878,_xlfn.MAKEARRAY(1,A878-2,_xlfn.LAMBDA(_xlpm.r,_xlpm.c,_xlpm.c))))</f>
        <v/>
      </c>
    </row>
    <row r="879" spans="2:2" x14ac:dyDescent="0.2">
      <c r="B879" t="str" cm="1">
        <f t="array" ref="B879">IF(A879="","",_xlfn.CHOOSECOLS('Prematch Backend 2A'!879:879,_xlfn.MAKEARRAY(1,A879-2,_xlfn.LAMBDA(_xlpm.r,_xlpm.c,_xlpm.c))))</f>
        <v/>
      </c>
    </row>
    <row r="880" spans="2:2" x14ac:dyDescent="0.2">
      <c r="B880" t="str" cm="1">
        <f t="array" ref="B880">IF(A880="","",_xlfn.CHOOSECOLS('Prematch Backend 2A'!880:880,_xlfn.MAKEARRAY(1,A880-2,_xlfn.LAMBDA(_xlpm.r,_xlpm.c,_xlpm.c))))</f>
        <v/>
      </c>
    </row>
    <row r="881" spans="2:2" x14ac:dyDescent="0.2">
      <c r="B881" t="str" cm="1">
        <f t="array" ref="B881">IF(A881="","",_xlfn.CHOOSECOLS('Prematch Backend 2A'!881:881,_xlfn.MAKEARRAY(1,A881-2,_xlfn.LAMBDA(_xlpm.r,_xlpm.c,_xlpm.c))))</f>
        <v/>
      </c>
    </row>
    <row r="882" spans="2:2" x14ac:dyDescent="0.2">
      <c r="B882" t="str" cm="1">
        <f t="array" ref="B882">IF(A882="","",_xlfn.CHOOSECOLS('Prematch Backend 2A'!882:882,_xlfn.MAKEARRAY(1,A882-2,_xlfn.LAMBDA(_xlpm.r,_xlpm.c,_xlpm.c))))</f>
        <v/>
      </c>
    </row>
    <row r="883" spans="2:2" x14ac:dyDescent="0.2">
      <c r="B883" t="str" cm="1">
        <f t="array" ref="B883">IF(A883="","",_xlfn.CHOOSECOLS('Prematch Backend 2A'!883:883,_xlfn.MAKEARRAY(1,A883-2,_xlfn.LAMBDA(_xlpm.r,_xlpm.c,_xlpm.c))))</f>
        <v/>
      </c>
    </row>
    <row r="884" spans="2:2" x14ac:dyDescent="0.2">
      <c r="B884" t="str" cm="1">
        <f t="array" ref="B884">IF(A884="","",_xlfn.CHOOSECOLS('Prematch Backend 2A'!884:884,_xlfn.MAKEARRAY(1,A884-2,_xlfn.LAMBDA(_xlpm.r,_xlpm.c,_xlpm.c))))</f>
        <v/>
      </c>
    </row>
    <row r="885" spans="2:2" x14ac:dyDescent="0.2">
      <c r="B885" t="str" cm="1">
        <f t="array" ref="B885">IF(A885="","",_xlfn.CHOOSECOLS('Prematch Backend 2A'!885:885,_xlfn.MAKEARRAY(1,A885-2,_xlfn.LAMBDA(_xlpm.r,_xlpm.c,_xlpm.c))))</f>
        <v/>
      </c>
    </row>
    <row r="886" spans="2:2" x14ac:dyDescent="0.2">
      <c r="B886" t="str" cm="1">
        <f t="array" ref="B886">IF(A886="","",_xlfn.CHOOSECOLS('Prematch Backend 2A'!886:886,_xlfn.MAKEARRAY(1,A886-2,_xlfn.LAMBDA(_xlpm.r,_xlpm.c,_xlpm.c))))</f>
        <v/>
      </c>
    </row>
    <row r="887" spans="2:2" x14ac:dyDescent="0.2">
      <c r="B887" t="str" cm="1">
        <f t="array" ref="B887">IF(A887="","",_xlfn.CHOOSECOLS('Prematch Backend 2A'!887:887,_xlfn.MAKEARRAY(1,A887-2,_xlfn.LAMBDA(_xlpm.r,_xlpm.c,_xlpm.c))))</f>
        <v/>
      </c>
    </row>
    <row r="888" spans="2:2" x14ac:dyDescent="0.2">
      <c r="B888" t="str" cm="1">
        <f t="array" ref="B888">IF(A888="","",_xlfn.CHOOSECOLS('Prematch Backend 2A'!888:888,_xlfn.MAKEARRAY(1,A888-2,_xlfn.LAMBDA(_xlpm.r,_xlpm.c,_xlpm.c))))</f>
        <v/>
      </c>
    </row>
    <row r="889" spans="2:2" x14ac:dyDescent="0.2">
      <c r="B889" t="str" cm="1">
        <f t="array" ref="B889">IF(A889="","",_xlfn.CHOOSECOLS('Prematch Backend 2A'!889:889,_xlfn.MAKEARRAY(1,A889-2,_xlfn.LAMBDA(_xlpm.r,_xlpm.c,_xlpm.c))))</f>
        <v/>
      </c>
    </row>
    <row r="890" spans="2:2" x14ac:dyDescent="0.2">
      <c r="B890" t="str" cm="1">
        <f t="array" ref="B890">IF(A890="","",_xlfn.CHOOSECOLS('Prematch Backend 2A'!890:890,_xlfn.MAKEARRAY(1,A890-2,_xlfn.LAMBDA(_xlpm.r,_xlpm.c,_xlpm.c))))</f>
        <v/>
      </c>
    </row>
    <row r="891" spans="2:2" x14ac:dyDescent="0.2">
      <c r="B891" t="str" cm="1">
        <f t="array" ref="B891">IF(A891="","",_xlfn.CHOOSECOLS('Prematch Backend 2A'!891:891,_xlfn.MAKEARRAY(1,A891-2,_xlfn.LAMBDA(_xlpm.r,_xlpm.c,_xlpm.c))))</f>
        <v/>
      </c>
    </row>
    <row r="892" spans="2:2" x14ac:dyDescent="0.2">
      <c r="B892" t="str" cm="1">
        <f t="array" ref="B892">IF(A892="","",_xlfn.CHOOSECOLS('Prematch Backend 2A'!892:892,_xlfn.MAKEARRAY(1,A892-2,_xlfn.LAMBDA(_xlpm.r,_xlpm.c,_xlpm.c))))</f>
        <v/>
      </c>
    </row>
    <row r="893" spans="2:2" x14ac:dyDescent="0.2">
      <c r="B893" t="str" cm="1">
        <f t="array" ref="B893">IF(A893="","",_xlfn.CHOOSECOLS('Prematch Backend 2A'!893:893,_xlfn.MAKEARRAY(1,A893-2,_xlfn.LAMBDA(_xlpm.r,_xlpm.c,_xlpm.c))))</f>
        <v/>
      </c>
    </row>
    <row r="894" spans="2:2" x14ac:dyDescent="0.2">
      <c r="B894" t="str" cm="1">
        <f t="array" ref="B894">IF(A894="","",_xlfn.CHOOSECOLS('Prematch Backend 2A'!894:894,_xlfn.MAKEARRAY(1,A894-2,_xlfn.LAMBDA(_xlpm.r,_xlpm.c,_xlpm.c))))</f>
        <v/>
      </c>
    </row>
    <row r="895" spans="2:2" x14ac:dyDescent="0.2">
      <c r="B895" t="str" cm="1">
        <f t="array" ref="B895">IF(A895="","",_xlfn.CHOOSECOLS('Prematch Backend 2A'!895:895,_xlfn.MAKEARRAY(1,A895-2,_xlfn.LAMBDA(_xlpm.r,_xlpm.c,_xlpm.c))))</f>
        <v/>
      </c>
    </row>
    <row r="896" spans="2:2" x14ac:dyDescent="0.2">
      <c r="B896" t="str" cm="1">
        <f t="array" ref="B896">IF(A896="","",_xlfn.CHOOSECOLS('Prematch Backend 2A'!896:896,_xlfn.MAKEARRAY(1,A896-2,_xlfn.LAMBDA(_xlpm.r,_xlpm.c,_xlpm.c))))</f>
        <v/>
      </c>
    </row>
    <row r="897" spans="2:2" x14ac:dyDescent="0.2">
      <c r="B897" t="str" cm="1">
        <f t="array" ref="B897">IF(A897="","",_xlfn.CHOOSECOLS('Prematch Backend 2A'!897:897,_xlfn.MAKEARRAY(1,A897-2,_xlfn.LAMBDA(_xlpm.r,_xlpm.c,_xlpm.c))))</f>
        <v/>
      </c>
    </row>
    <row r="898" spans="2:2" x14ac:dyDescent="0.2">
      <c r="B898" t="str" cm="1">
        <f t="array" ref="B898">IF(A898="","",_xlfn.CHOOSECOLS('Prematch Backend 2A'!898:898,_xlfn.MAKEARRAY(1,A898-2,_xlfn.LAMBDA(_xlpm.r,_xlpm.c,_xlpm.c))))</f>
        <v/>
      </c>
    </row>
    <row r="899" spans="2:2" x14ac:dyDescent="0.2">
      <c r="B899" t="str" cm="1">
        <f t="array" ref="B899">IF(A899="","",_xlfn.CHOOSECOLS('Prematch Backend 2A'!899:899,_xlfn.MAKEARRAY(1,A899-2,_xlfn.LAMBDA(_xlpm.r,_xlpm.c,_xlpm.c))))</f>
        <v/>
      </c>
    </row>
    <row r="900" spans="2:2" x14ac:dyDescent="0.2">
      <c r="B900" t="str" cm="1">
        <f t="array" ref="B900">IF(A900="","",_xlfn.CHOOSECOLS('Prematch Backend 2A'!900:900,_xlfn.MAKEARRAY(1,A900-2,_xlfn.LAMBDA(_xlpm.r,_xlpm.c,_xlpm.c))))</f>
        <v/>
      </c>
    </row>
    <row r="901" spans="2:2" x14ac:dyDescent="0.2">
      <c r="B901" t="str" cm="1">
        <f t="array" ref="B901">IF(A901="","",_xlfn.CHOOSECOLS('Prematch Backend 2A'!901:901,_xlfn.MAKEARRAY(1,A901-2,_xlfn.LAMBDA(_xlpm.r,_xlpm.c,_xlpm.c))))</f>
        <v/>
      </c>
    </row>
    <row r="902" spans="2:2" x14ac:dyDescent="0.2">
      <c r="B902" t="str" cm="1">
        <f t="array" ref="B902">IF(A902="","",_xlfn.CHOOSECOLS('Prematch Backend 2A'!902:902,_xlfn.MAKEARRAY(1,A902-2,_xlfn.LAMBDA(_xlpm.r,_xlpm.c,_xlpm.c))))</f>
        <v/>
      </c>
    </row>
    <row r="903" spans="2:2" x14ac:dyDescent="0.2">
      <c r="B903" t="str" cm="1">
        <f t="array" ref="B903">IF(A903="","",_xlfn.CHOOSECOLS('Prematch Backend 2A'!903:903,_xlfn.MAKEARRAY(1,A903-2,_xlfn.LAMBDA(_xlpm.r,_xlpm.c,_xlpm.c))))</f>
        <v/>
      </c>
    </row>
    <row r="904" spans="2:2" x14ac:dyDescent="0.2">
      <c r="B904" t="str" cm="1">
        <f t="array" ref="B904">IF(A904="","",_xlfn.CHOOSECOLS('Prematch Backend 2A'!904:904,_xlfn.MAKEARRAY(1,A904-2,_xlfn.LAMBDA(_xlpm.r,_xlpm.c,_xlpm.c))))</f>
        <v/>
      </c>
    </row>
    <row r="905" spans="2:2" x14ac:dyDescent="0.2">
      <c r="B905" t="str" cm="1">
        <f t="array" ref="B905">IF(A905="","",_xlfn.CHOOSECOLS('Prematch Backend 2A'!905:905,_xlfn.MAKEARRAY(1,A905-2,_xlfn.LAMBDA(_xlpm.r,_xlpm.c,_xlpm.c))))</f>
        <v/>
      </c>
    </row>
    <row r="906" spans="2:2" x14ac:dyDescent="0.2">
      <c r="B906" t="str" cm="1">
        <f t="array" ref="B906">IF(A906="","",_xlfn.CHOOSECOLS('Prematch Backend 2A'!906:906,_xlfn.MAKEARRAY(1,A906-2,_xlfn.LAMBDA(_xlpm.r,_xlpm.c,_xlpm.c))))</f>
        <v/>
      </c>
    </row>
    <row r="907" spans="2:2" x14ac:dyDescent="0.2">
      <c r="B907" t="str" cm="1">
        <f t="array" ref="B907">IF(A907="","",_xlfn.CHOOSECOLS('Prematch Backend 2A'!907:907,_xlfn.MAKEARRAY(1,A907-2,_xlfn.LAMBDA(_xlpm.r,_xlpm.c,_xlpm.c))))</f>
        <v/>
      </c>
    </row>
    <row r="908" spans="2:2" x14ac:dyDescent="0.2">
      <c r="B908" t="str" cm="1">
        <f t="array" ref="B908">IF(A908="","",_xlfn.CHOOSECOLS('Prematch Backend 2A'!908:908,_xlfn.MAKEARRAY(1,A908-2,_xlfn.LAMBDA(_xlpm.r,_xlpm.c,_xlpm.c))))</f>
        <v/>
      </c>
    </row>
    <row r="909" spans="2:2" x14ac:dyDescent="0.2">
      <c r="B909" t="str" cm="1">
        <f t="array" ref="B909">IF(A909="","",_xlfn.CHOOSECOLS('Prematch Backend 2A'!909:909,_xlfn.MAKEARRAY(1,A909-2,_xlfn.LAMBDA(_xlpm.r,_xlpm.c,_xlpm.c))))</f>
        <v/>
      </c>
    </row>
    <row r="910" spans="2:2" x14ac:dyDescent="0.2">
      <c r="B910" t="str" cm="1">
        <f t="array" ref="B910">IF(A910="","",_xlfn.CHOOSECOLS('Prematch Backend 2A'!910:910,_xlfn.MAKEARRAY(1,A910-2,_xlfn.LAMBDA(_xlpm.r,_xlpm.c,_xlpm.c))))</f>
        <v/>
      </c>
    </row>
    <row r="911" spans="2:2" x14ac:dyDescent="0.2">
      <c r="B911" t="str" cm="1">
        <f t="array" ref="B911">IF(A911="","",_xlfn.CHOOSECOLS('Prematch Backend 2A'!911:911,_xlfn.MAKEARRAY(1,A911-2,_xlfn.LAMBDA(_xlpm.r,_xlpm.c,_xlpm.c))))</f>
        <v/>
      </c>
    </row>
    <row r="912" spans="2:2" x14ac:dyDescent="0.2">
      <c r="B912" t="str" cm="1">
        <f t="array" ref="B912">IF(A912="","",_xlfn.CHOOSECOLS('Prematch Backend 2A'!912:912,_xlfn.MAKEARRAY(1,A912-2,_xlfn.LAMBDA(_xlpm.r,_xlpm.c,_xlpm.c))))</f>
        <v/>
      </c>
    </row>
    <row r="913" spans="2:2" x14ac:dyDescent="0.2">
      <c r="B913" t="str" cm="1">
        <f t="array" ref="B913">IF(A913="","",_xlfn.CHOOSECOLS('Prematch Backend 2A'!913:913,_xlfn.MAKEARRAY(1,A913-2,_xlfn.LAMBDA(_xlpm.r,_xlpm.c,_xlpm.c))))</f>
        <v/>
      </c>
    </row>
    <row r="914" spans="2:2" x14ac:dyDescent="0.2">
      <c r="B914" t="str" cm="1">
        <f t="array" ref="B914">IF(A914="","",_xlfn.CHOOSECOLS('Prematch Backend 2A'!914:914,_xlfn.MAKEARRAY(1,A914-2,_xlfn.LAMBDA(_xlpm.r,_xlpm.c,_xlpm.c))))</f>
        <v/>
      </c>
    </row>
    <row r="915" spans="2:2" x14ac:dyDescent="0.2">
      <c r="B915" t="str" cm="1">
        <f t="array" ref="B915">IF(A915="","",_xlfn.CHOOSECOLS('Prematch Backend 2A'!915:915,_xlfn.MAKEARRAY(1,A915-2,_xlfn.LAMBDA(_xlpm.r,_xlpm.c,_xlpm.c))))</f>
        <v/>
      </c>
    </row>
    <row r="916" spans="2:2" x14ac:dyDescent="0.2">
      <c r="B916" t="str" cm="1">
        <f t="array" ref="B916">IF(A916="","",_xlfn.CHOOSECOLS('Prematch Backend 2A'!916:916,_xlfn.MAKEARRAY(1,A916-2,_xlfn.LAMBDA(_xlpm.r,_xlpm.c,_xlpm.c))))</f>
        <v/>
      </c>
    </row>
    <row r="917" spans="2:2" x14ac:dyDescent="0.2">
      <c r="B917" t="str" cm="1">
        <f t="array" ref="B917">IF(A917="","",_xlfn.CHOOSECOLS('Prematch Backend 2A'!917:917,_xlfn.MAKEARRAY(1,A917-2,_xlfn.LAMBDA(_xlpm.r,_xlpm.c,_xlpm.c))))</f>
        <v/>
      </c>
    </row>
    <row r="918" spans="2:2" x14ac:dyDescent="0.2">
      <c r="B918" t="str" cm="1">
        <f t="array" ref="B918">IF(A918="","",_xlfn.CHOOSECOLS('Prematch Backend 2A'!918:918,_xlfn.MAKEARRAY(1,A918-2,_xlfn.LAMBDA(_xlpm.r,_xlpm.c,_xlpm.c))))</f>
        <v/>
      </c>
    </row>
    <row r="919" spans="2:2" x14ac:dyDescent="0.2">
      <c r="B919" t="str" cm="1">
        <f t="array" ref="B919">IF(A919="","",_xlfn.CHOOSECOLS('Prematch Backend 2A'!919:919,_xlfn.MAKEARRAY(1,A919-2,_xlfn.LAMBDA(_xlpm.r,_xlpm.c,_xlpm.c))))</f>
        <v/>
      </c>
    </row>
    <row r="920" spans="2:2" x14ac:dyDescent="0.2">
      <c r="B920" t="str" cm="1">
        <f t="array" ref="B920">IF(A920="","",_xlfn.CHOOSECOLS('Prematch Backend 2A'!920:920,_xlfn.MAKEARRAY(1,A920-2,_xlfn.LAMBDA(_xlpm.r,_xlpm.c,_xlpm.c))))</f>
        <v/>
      </c>
    </row>
    <row r="921" spans="2:2" x14ac:dyDescent="0.2">
      <c r="B921" t="str" cm="1">
        <f t="array" ref="B921">IF(A921="","",_xlfn.CHOOSECOLS('Prematch Backend 2A'!921:921,_xlfn.MAKEARRAY(1,A921-2,_xlfn.LAMBDA(_xlpm.r,_xlpm.c,_xlpm.c))))</f>
        <v/>
      </c>
    </row>
    <row r="922" spans="2:2" x14ac:dyDescent="0.2">
      <c r="B922" t="str" cm="1">
        <f t="array" ref="B922">IF(A922="","",_xlfn.CHOOSECOLS('Prematch Backend 2A'!922:922,_xlfn.MAKEARRAY(1,A922-2,_xlfn.LAMBDA(_xlpm.r,_xlpm.c,_xlpm.c))))</f>
        <v/>
      </c>
    </row>
    <row r="923" spans="2:2" x14ac:dyDescent="0.2">
      <c r="B923" t="str" cm="1">
        <f t="array" ref="B923">IF(A923="","",_xlfn.CHOOSECOLS('Prematch Backend 2A'!923:923,_xlfn.MAKEARRAY(1,A923-2,_xlfn.LAMBDA(_xlpm.r,_xlpm.c,_xlpm.c))))</f>
        <v/>
      </c>
    </row>
    <row r="924" spans="2:2" x14ac:dyDescent="0.2">
      <c r="B924" t="str" cm="1">
        <f t="array" ref="B924">IF(A924="","",_xlfn.CHOOSECOLS('Prematch Backend 2A'!924:924,_xlfn.MAKEARRAY(1,A924-2,_xlfn.LAMBDA(_xlpm.r,_xlpm.c,_xlpm.c))))</f>
        <v/>
      </c>
    </row>
    <row r="925" spans="2:2" x14ac:dyDescent="0.2">
      <c r="B925" t="str" cm="1">
        <f t="array" ref="B925">IF(A925="","",_xlfn.CHOOSECOLS('Prematch Backend 2A'!925:925,_xlfn.MAKEARRAY(1,A925-2,_xlfn.LAMBDA(_xlpm.r,_xlpm.c,_xlpm.c))))</f>
        <v/>
      </c>
    </row>
    <row r="926" spans="2:2" x14ac:dyDescent="0.2">
      <c r="B926" t="str" cm="1">
        <f t="array" ref="B926">IF(A926="","",_xlfn.CHOOSECOLS('Prematch Backend 2A'!926:926,_xlfn.MAKEARRAY(1,A926-2,_xlfn.LAMBDA(_xlpm.r,_xlpm.c,_xlpm.c))))</f>
        <v/>
      </c>
    </row>
    <row r="927" spans="2:2" x14ac:dyDescent="0.2">
      <c r="B927" t="str" cm="1">
        <f t="array" ref="B927">IF(A927="","",_xlfn.CHOOSECOLS('Prematch Backend 2A'!927:927,_xlfn.MAKEARRAY(1,A927-2,_xlfn.LAMBDA(_xlpm.r,_xlpm.c,_xlpm.c))))</f>
        <v/>
      </c>
    </row>
    <row r="928" spans="2:2" x14ac:dyDescent="0.2">
      <c r="B928" t="str" cm="1">
        <f t="array" ref="B928">IF(A928="","",_xlfn.CHOOSECOLS('Prematch Backend 2A'!928:928,_xlfn.MAKEARRAY(1,A928-2,_xlfn.LAMBDA(_xlpm.r,_xlpm.c,_xlpm.c))))</f>
        <v/>
      </c>
    </row>
    <row r="929" spans="2:2" x14ac:dyDescent="0.2">
      <c r="B929" t="str" cm="1">
        <f t="array" ref="B929">IF(A929="","",_xlfn.CHOOSECOLS('Prematch Backend 2A'!929:929,_xlfn.MAKEARRAY(1,A929-2,_xlfn.LAMBDA(_xlpm.r,_xlpm.c,_xlpm.c))))</f>
        <v/>
      </c>
    </row>
    <row r="930" spans="2:2" x14ac:dyDescent="0.2">
      <c r="B930" t="str" cm="1">
        <f t="array" ref="B930">IF(A930="","",_xlfn.CHOOSECOLS('Prematch Backend 2A'!930:930,_xlfn.MAKEARRAY(1,A930-2,_xlfn.LAMBDA(_xlpm.r,_xlpm.c,_xlpm.c))))</f>
        <v/>
      </c>
    </row>
    <row r="931" spans="2:2" x14ac:dyDescent="0.2">
      <c r="B931" t="str" cm="1">
        <f t="array" ref="B931">IF(A931="","",_xlfn.CHOOSECOLS('Prematch Backend 2A'!931:931,_xlfn.MAKEARRAY(1,A931-2,_xlfn.LAMBDA(_xlpm.r,_xlpm.c,_xlpm.c))))</f>
        <v/>
      </c>
    </row>
    <row r="932" spans="2:2" x14ac:dyDescent="0.2">
      <c r="B932" t="str" cm="1">
        <f t="array" ref="B932">IF(A932="","",_xlfn.CHOOSECOLS('Prematch Backend 2A'!932:932,_xlfn.MAKEARRAY(1,A932-2,_xlfn.LAMBDA(_xlpm.r,_xlpm.c,_xlpm.c))))</f>
        <v/>
      </c>
    </row>
    <row r="933" spans="2:2" x14ac:dyDescent="0.2">
      <c r="B933" t="str" cm="1">
        <f t="array" ref="B933">IF(A933="","",_xlfn.CHOOSECOLS('Prematch Backend 2A'!933:933,_xlfn.MAKEARRAY(1,A933-2,_xlfn.LAMBDA(_xlpm.r,_xlpm.c,_xlpm.c))))</f>
        <v/>
      </c>
    </row>
    <row r="934" spans="2:2" x14ac:dyDescent="0.2">
      <c r="B934" t="str" cm="1">
        <f t="array" ref="B934">IF(A934="","",_xlfn.CHOOSECOLS('Prematch Backend 2A'!934:934,_xlfn.MAKEARRAY(1,A934-2,_xlfn.LAMBDA(_xlpm.r,_xlpm.c,_xlpm.c))))</f>
        <v/>
      </c>
    </row>
    <row r="935" spans="2:2" x14ac:dyDescent="0.2">
      <c r="B935" t="str" cm="1">
        <f t="array" ref="B935">IF(A935="","",_xlfn.CHOOSECOLS('Prematch Backend 2A'!935:935,_xlfn.MAKEARRAY(1,A935-2,_xlfn.LAMBDA(_xlpm.r,_xlpm.c,_xlpm.c))))</f>
        <v/>
      </c>
    </row>
    <row r="936" spans="2:2" x14ac:dyDescent="0.2">
      <c r="B936" t="str" cm="1">
        <f t="array" ref="B936">IF(A936="","",_xlfn.CHOOSECOLS('Prematch Backend 2A'!936:936,_xlfn.MAKEARRAY(1,A936-2,_xlfn.LAMBDA(_xlpm.r,_xlpm.c,_xlpm.c))))</f>
        <v/>
      </c>
    </row>
    <row r="937" spans="2:2" x14ac:dyDescent="0.2">
      <c r="B937" t="str" cm="1">
        <f t="array" ref="B937">IF(A937="","",_xlfn.CHOOSECOLS('Prematch Backend 2A'!937:937,_xlfn.MAKEARRAY(1,A937-2,_xlfn.LAMBDA(_xlpm.r,_xlpm.c,_xlpm.c))))</f>
        <v/>
      </c>
    </row>
    <row r="938" spans="2:2" x14ac:dyDescent="0.2">
      <c r="B938" t="str" cm="1">
        <f t="array" ref="B938">IF(A938="","",_xlfn.CHOOSECOLS('Prematch Backend 2A'!938:938,_xlfn.MAKEARRAY(1,A938-2,_xlfn.LAMBDA(_xlpm.r,_xlpm.c,_xlpm.c))))</f>
        <v/>
      </c>
    </row>
    <row r="939" spans="2:2" x14ac:dyDescent="0.2">
      <c r="B939" t="str" cm="1">
        <f t="array" ref="B939">IF(A939="","",_xlfn.CHOOSECOLS('Prematch Backend 2A'!939:939,_xlfn.MAKEARRAY(1,A939-2,_xlfn.LAMBDA(_xlpm.r,_xlpm.c,_xlpm.c))))</f>
        <v/>
      </c>
    </row>
    <row r="940" spans="2:2" x14ac:dyDescent="0.2">
      <c r="B940" t="str" cm="1">
        <f t="array" ref="B940">IF(A940="","",_xlfn.CHOOSECOLS('Prematch Backend 2A'!940:940,_xlfn.MAKEARRAY(1,A940-2,_xlfn.LAMBDA(_xlpm.r,_xlpm.c,_xlpm.c))))</f>
        <v/>
      </c>
    </row>
    <row r="941" spans="2:2" x14ac:dyDescent="0.2">
      <c r="B941" t="str" cm="1">
        <f t="array" ref="B941">IF(A941="","",_xlfn.CHOOSECOLS('Prematch Backend 2A'!941:941,_xlfn.MAKEARRAY(1,A941-2,_xlfn.LAMBDA(_xlpm.r,_xlpm.c,_xlpm.c))))</f>
        <v/>
      </c>
    </row>
    <row r="942" spans="2:2" x14ac:dyDescent="0.2">
      <c r="B942" t="str" cm="1">
        <f t="array" ref="B942">IF(A942="","",_xlfn.CHOOSECOLS('Prematch Backend 2A'!942:942,_xlfn.MAKEARRAY(1,A942-2,_xlfn.LAMBDA(_xlpm.r,_xlpm.c,_xlpm.c))))</f>
        <v/>
      </c>
    </row>
    <row r="943" spans="2:2" x14ac:dyDescent="0.2">
      <c r="B943" t="str" cm="1">
        <f t="array" ref="B943">IF(A943="","",_xlfn.CHOOSECOLS('Prematch Backend 2A'!943:943,_xlfn.MAKEARRAY(1,A943-2,_xlfn.LAMBDA(_xlpm.r,_xlpm.c,_xlpm.c))))</f>
        <v/>
      </c>
    </row>
    <row r="944" spans="2:2" x14ac:dyDescent="0.2">
      <c r="B944" t="str" cm="1">
        <f t="array" ref="B944">IF(A944="","",_xlfn.CHOOSECOLS('Prematch Backend 2A'!944:944,_xlfn.MAKEARRAY(1,A944-2,_xlfn.LAMBDA(_xlpm.r,_xlpm.c,_xlpm.c))))</f>
        <v/>
      </c>
    </row>
    <row r="945" spans="2:2" x14ac:dyDescent="0.2">
      <c r="B945" t="str" cm="1">
        <f t="array" ref="B945">IF(A945="","",_xlfn.CHOOSECOLS('Prematch Backend 2A'!945:945,_xlfn.MAKEARRAY(1,A945-2,_xlfn.LAMBDA(_xlpm.r,_xlpm.c,_xlpm.c))))</f>
        <v/>
      </c>
    </row>
    <row r="946" spans="2:2" x14ac:dyDescent="0.2">
      <c r="B946" t="str" cm="1">
        <f t="array" ref="B946">IF(A946="","",_xlfn.CHOOSECOLS('Prematch Backend 2A'!946:946,_xlfn.MAKEARRAY(1,A946-2,_xlfn.LAMBDA(_xlpm.r,_xlpm.c,_xlpm.c))))</f>
        <v/>
      </c>
    </row>
    <row r="947" spans="2:2" x14ac:dyDescent="0.2">
      <c r="B947" t="str" cm="1">
        <f t="array" ref="B947">IF(A947="","",_xlfn.CHOOSECOLS('Prematch Backend 2A'!947:947,_xlfn.MAKEARRAY(1,A947-2,_xlfn.LAMBDA(_xlpm.r,_xlpm.c,_xlpm.c))))</f>
        <v/>
      </c>
    </row>
    <row r="948" spans="2:2" x14ac:dyDescent="0.2">
      <c r="B948" t="str" cm="1">
        <f t="array" ref="B948">IF(A948="","",_xlfn.CHOOSECOLS('Prematch Backend 2A'!948:948,_xlfn.MAKEARRAY(1,A948-2,_xlfn.LAMBDA(_xlpm.r,_xlpm.c,_xlpm.c))))</f>
        <v/>
      </c>
    </row>
    <row r="949" spans="2:2" x14ac:dyDescent="0.2">
      <c r="B949" t="str" cm="1">
        <f t="array" ref="B949">IF(A949="","",_xlfn.CHOOSECOLS('Prematch Backend 2A'!949:949,_xlfn.MAKEARRAY(1,A949-2,_xlfn.LAMBDA(_xlpm.r,_xlpm.c,_xlpm.c))))</f>
        <v/>
      </c>
    </row>
    <row r="950" spans="2:2" x14ac:dyDescent="0.2">
      <c r="B950" t="str" cm="1">
        <f t="array" ref="B950">IF(A950="","",_xlfn.CHOOSECOLS('Prematch Backend 2A'!950:950,_xlfn.MAKEARRAY(1,A950-2,_xlfn.LAMBDA(_xlpm.r,_xlpm.c,_xlpm.c))))</f>
        <v/>
      </c>
    </row>
    <row r="951" spans="2:2" x14ac:dyDescent="0.2">
      <c r="B951" t="str" cm="1">
        <f t="array" ref="B951">IF(A951="","",_xlfn.CHOOSECOLS('Prematch Backend 2A'!951:951,_xlfn.MAKEARRAY(1,A951-2,_xlfn.LAMBDA(_xlpm.r,_xlpm.c,_xlpm.c))))</f>
        <v/>
      </c>
    </row>
    <row r="952" spans="2:2" x14ac:dyDescent="0.2">
      <c r="B952" t="str" cm="1">
        <f t="array" ref="B952">IF(A952="","",_xlfn.CHOOSECOLS('Prematch Backend 2A'!952:952,_xlfn.MAKEARRAY(1,A952-2,_xlfn.LAMBDA(_xlpm.r,_xlpm.c,_xlpm.c))))</f>
        <v/>
      </c>
    </row>
    <row r="953" spans="2:2" x14ac:dyDescent="0.2">
      <c r="B953" t="str" cm="1">
        <f t="array" ref="B953">IF(A953="","",_xlfn.CHOOSECOLS('Prematch Backend 2A'!953:953,_xlfn.MAKEARRAY(1,A953-2,_xlfn.LAMBDA(_xlpm.r,_xlpm.c,_xlpm.c))))</f>
        <v/>
      </c>
    </row>
    <row r="954" spans="2:2" x14ac:dyDescent="0.2">
      <c r="B954" t="str" cm="1">
        <f t="array" ref="B954">IF(A954="","",_xlfn.CHOOSECOLS('Prematch Backend 2A'!954:954,_xlfn.MAKEARRAY(1,A954-2,_xlfn.LAMBDA(_xlpm.r,_xlpm.c,_xlpm.c))))</f>
        <v/>
      </c>
    </row>
    <row r="955" spans="2:2" x14ac:dyDescent="0.2">
      <c r="B955" t="str" cm="1">
        <f t="array" ref="B955">IF(A955="","",_xlfn.CHOOSECOLS('Prematch Backend 2A'!955:955,_xlfn.MAKEARRAY(1,A955-2,_xlfn.LAMBDA(_xlpm.r,_xlpm.c,_xlpm.c))))</f>
        <v/>
      </c>
    </row>
    <row r="956" spans="2:2" x14ac:dyDescent="0.2">
      <c r="B956" t="str" cm="1">
        <f t="array" ref="B956">IF(A956="","",_xlfn.CHOOSECOLS('Prematch Backend 2A'!956:956,_xlfn.MAKEARRAY(1,A956-2,_xlfn.LAMBDA(_xlpm.r,_xlpm.c,_xlpm.c))))</f>
        <v/>
      </c>
    </row>
    <row r="957" spans="2:2" x14ac:dyDescent="0.2">
      <c r="B957" t="str" cm="1">
        <f t="array" ref="B957">IF(A957="","",_xlfn.CHOOSECOLS('Prematch Backend 2A'!957:957,_xlfn.MAKEARRAY(1,A957-2,_xlfn.LAMBDA(_xlpm.r,_xlpm.c,_xlpm.c))))</f>
        <v/>
      </c>
    </row>
    <row r="958" spans="2:2" x14ac:dyDescent="0.2">
      <c r="B958" t="str" cm="1">
        <f t="array" ref="B958">IF(A958="","",_xlfn.CHOOSECOLS('Prematch Backend 2A'!958:958,_xlfn.MAKEARRAY(1,A958-2,_xlfn.LAMBDA(_xlpm.r,_xlpm.c,_xlpm.c))))</f>
        <v/>
      </c>
    </row>
    <row r="959" spans="2:2" x14ac:dyDescent="0.2">
      <c r="B959" t="str" cm="1">
        <f t="array" ref="B959">IF(A959="","",_xlfn.CHOOSECOLS('Prematch Backend 2A'!959:959,_xlfn.MAKEARRAY(1,A959-2,_xlfn.LAMBDA(_xlpm.r,_xlpm.c,_xlpm.c))))</f>
        <v/>
      </c>
    </row>
    <row r="960" spans="2:2" x14ac:dyDescent="0.2">
      <c r="B960" t="str" cm="1">
        <f t="array" ref="B960">IF(A960="","",_xlfn.CHOOSECOLS('Prematch Backend 2A'!960:960,_xlfn.MAKEARRAY(1,A960-2,_xlfn.LAMBDA(_xlpm.r,_xlpm.c,_xlpm.c))))</f>
        <v/>
      </c>
    </row>
    <row r="961" spans="2:2" x14ac:dyDescent="0.2">
      <c r="B961" t="str" cm="1">
        <f t="array" ref="B961">IF(A961="","",_xlfn.CHOOSECOLS('Prematch Backend 2A'!961:961,_xlfn.MAKEARRAY(1,A961-2,_xlfn.LAMBDA(_xlpm.r,_xlpm.c,_xlpm.c))))</f>
        <v/>
      </c>
    </row>
    <row r="962" spans="2:2" x14ac:dyDescent="0.2">
      <c r="B962" t="str" cm="1">
        <f t="array" ref="B962">IF(A962="","",_xlfn.CHOOSECOLS('Prematch Backend 2A'!962:962,_xlfn.MAKEARRAY(1,A962-2,_xlfn.LAMBDA(_xlpm.r,_xlpm.c,_xlpm.c))))</f>
        <v/>
      </c>
    </row>
    <row r="963" spans="2:2" x14ac:dyDescent="0.2">
      <c r="B963" t="str" cm="1">
        <f t="array" ref="B963">IF(A963="","",_xlfn.CHOOSECOLS('Prematch Backend 2A'!963:963,_xlfn.MAKEARRAY(1,A963-2,_xlfn.LAMBDA(_xlpm.r,_xlpm.c,_xlpm.c))))</f>
        <v/>
      </c>
    </row>
    <row r="964" spans="2:2" x14ac:dyDescent="0.2">
      <c r="B964" t="str" cm="1">
        <f t="array" ref="B964">IF(A964="","",_xlfn.CHOOSECOLS('Prematch Backend 2A'!964:964,_xlfn.MAKEARRAY(1,A964-2,_xlfn.LAMBDA(_xlpm.r,_xlpm.c,_xlpm.c))))</f>
        <v/>
      </c>
    </row>
    <row r="965" spans="2:2" x14ac:dyDescent="0.2">
      <c r="B965" t="str" cm="1">
        <f t="array" ref="B965">IF(A965="","",_xlfn.CHOOSECOLS('Prematch Backend 2A'!965:965,_xlfn.MAKEARRAY(1,A965-2,_xlfn.LAMBDA(_xlpm.r,_xlpm.c,_xlpm.c))))</f>
        <v/>
      </c>
    </row>
    <row r="966" spans="2:2" x14ac:dyDescent="0.2">
      <c r="B966" t="str" cm="1">
        <f t="array" ref="B966">IF(A966="","",_xlfn.CHOOSECOLS('Prematch Backend 2A'!966:966,_xlfn.MAKEARRAY(1,A966-2,_xlfn.LAMBDA(_xlpm.r,_xlpm.c,_xlpm.c))))</f>
        <v/>
      </c>
    </row>
    <row r="967" spans="2:2" x14ac:dyDescent="0.2">
      <c r="B967" t="str" cm="1">
        <f t="array" ref="B967">IF(A967="","",_xlfn.CHOOSECOLS('Prematch Backend 2A'!967:967,_xlfn.MAKEARRAY(1,A967-2,_xlfn.LAMBDA(_xlpm.r,_xlpm.c,_xlpm.c))))</f>
        <v/>
      </c>
    </row>
    <row r="968" spans="2:2" x14ac:dyDescent="0.2">
      <c r="B968" t="str" cm="1">
        <f t="array" ref="B968">IF(A968="","",_xlfn.CHOOSECOLS('Prematch Backend 2A'!968:968,_xlfn.MAKEARRAY(1,A968-2,_xlfn.LAMBDA(_xlpm.r,_xlpm.c,_xlpm.c))))</f>
        <v/>
      </c>
    </row>
    <row r="969" spans="2:2" x14ac:dyDescent="0.2">
      <c r="B969" t="str" cm="1">
        <f t="array" ref="B969">IF(A969="","",_xlfn.CHOOSECOLS('Prematch Backend 2A'!969:969,_xlfn.MAKEARRAY(1,A969-2,_xlfn.LAMBDA(_xlpm.r,_xlpm.c,_xlpm.c))))</f>
        <v/>
      </c>
    </row>
    <row r="970" spans="2:2" x14ac:dyDescent="0.2">
      <c r="B970" t="str" cm="1">
        <f t="array" ref="B970">IF(A970="","",_xlfn.CHOOSECOLS('Prematch Backend 2A'!970:970,_xlfn.MAKEARRAY(1,A970-2,_xlfn.LAMBDA(_xlpm.r,_xlpm.c,_xlpm.c))))</f>
        <v/>
      </c>
    </row>
    <row r="971" spans="2:2" x14ac:dyDescent="0.2">
      <c r="B971" t="str" cm="1">
        <f t="array" ref="B971">IF(A971="","",_xlfn.CHOOSECOLS('Prematch Backend 2A'!971:971,_xlfn.MAKEARRAY(1,A971-2,_xlfn.LAMBDA(_xlpm.r,_xlpm.c,_xlpm.c))))</f>
        <v/>
      </c>
    </row>
    <row r="972" spans="2:2" x14ac:dyDescent="0.2">
      <c r="B972" t="str" cm="1">
        <f t="array" ref="B972">IF(A972="","",_xlfn.CHOOSECOLS('Prematch Backend 2A'!972:972,_xlfn.MAKEARRAY(1,A972-2,_xlfn.LAMBDA(_xlpm.r,_xlpm.c,_xlpm.c))))</f>
        <v/>
      </c>
    </row>
    <row r="973" spans="2:2" x14ac:dyDescent="0.2">
      <c r="B973" t="str" cm="1">
        <f t="array" ref="B973">IF(A973="","",_xlfn.CHOOSECOLS('Prematch Backend 2A'!973:973,_xlfn.MAKEARRAY(1,A973-2,_xlfn.LAMBDA(_xlpm.r,_xlpm.c,_xlpm.c))))</f>
        <v/>
      </c>
    </row>
    <row r="974" spans="2:2" x14ac:dyDescent="0.2">
      <c r="B974" t="str" cm="1">
        <f t="array" ref="B974">IF(A974="","",_xlfn.CHOOSECOLS('Prematch Backend 2A'!974:974,_xlfn.MAKEARRAY(1,A974-2,_xlfn.LAMBDA(_xlpm.r,_xlpm.c,_xlpm.c))))</f>
        <v/>
      </c>
    </row>
    <row r="975" spans="2:2" x14ac:dyDescent="0.2">
      <c r="B975" t="str" cm="1">
        <f t="array" ref="B975">IF(A975="","",_xlfn.CHOOSECOLS('Prematch Backend 2A'!975:975,_xlfn.MAKEARRAY(1,A975-2,_xlfn.LAMBDA(_xlpm.r,_xlpm.c,_xlpm.c))))</f>
        <v/>
      </c>
    </row>
    <row r="976" spans="2:2" x14ac:dyDescent="0.2">
      <c r="B976" t="str" cm="1">
        <f t="array" ref="B976">IF(A976="","",_xlfn.CHOOSECOLS('Prematch Backend 2A'!976:976,_xlfn.MAKEARRAY(1,A976-2,_xlfn.LAMBDA(_xlpm.r,_xlpm.c,_xlpm.c))))</f>
        <v/>
      </c>
    </row>
    <row r="977" spans="2:2" x14ac:dyDescent="0.2">
      <c r="B977" t="str" cm="1">
        <f t="array" ref="B977">IF(A977="","",_xlfn.CHOOSECOLS('Prematch Backend 2A'!977:977,_xlfn.MAKEARRAY(1,A977-2,_xlfn.LAMBDA(_xlpm.r,_xlpm.c,_xlpm.c))))</f>
        <v/>
      </c>
    </row>
    <row r="978" spans="2:2" x14ac:dyDescent="0.2">
      <c r="B978" t="str" cm="1">
        <f t="array" ref="B978">IF(A978="","",_xlfn.CHOOSECOLS('Prematch Backend 2A'!978:978,_xlfn.MAKEARRAY(1,A978-2,_xlfn.LAMBDA(_xlpm.r,_xlpm.c,_xlpm.c))))</f>
        <v/>
      </c>
    </row>
    <row r="979" spans="2:2" x14ac:dyDescent="0.2">
      <c r="B979" t="str" cm="1">
        <f t="array" ref="B979">IF(A979="","",_xlfn.CHOOSECOLS('Prematch Backend 2A'!979:979,_xlfn.MAKEARRAY(1,A979-2,_xlfn.LAMBDA(_xlpm.r,_xlpm.c,_xlpm.c))))</f>
        <v/>
      </c>
    </row>
    <row r="980" spans="2:2" x14ac:dyDescent="0.2">
      <c r="B980" t="str" cm="1">
        <f t="array" ref="B980">IF(A980="","",_xlfn.CHOOSECOLS('Prematch Backend 2A'!980:980,_xlfn.MAKEARRAY(1,A980-2,_xlfn.LAMBDA(_xlpm.r,_xlpm.c,_xlpm.c))))</f>
        <v/>
      </c>
    </row>
    <row r="981" spans="2:2" x14ac:dyDescent="0.2">
      <c r="B981" t="str" cm="1">
        <f t="array" ref="B981">IF(A981="","",_xlfn.CHOOSECOLS('Prematch Backend 2A'!981:981,_xlfn.MAKEARRAY(1,A981-2,_xlfn.LAMBDA(_xlpm.r,_xlpm.c,_xlpm.c))))</f>
        <v/>
      </c>
    </row>
    <row r="982" spans="2:2" x14ac:dyDescent="0.2">
      <c r="B982" t="str" cm="1">
        <f t="array" ref="B982">IF(A982="","",_xlfn.CHOOSECOLS('Prematch Backend 2A'!982:982,_xlfn.MAKEARRAY(1,A982-2,_xlfn.LAMBDA(_xlpm.r,_xlpm.c,_xlpm.c))))</f>
        <v/>
      </c>
    </row>
    <row r="983" spans="2:2" x14ac:dyDescent="0.2">
      <c r="B983" t="str" cm="1">
        <f t="array" ref="B983">IF(A983="","",_xlfn.CHOOSECOLS('Prematch Backend 2A'!983:983,_xlfn.MAKEARRAY(1,A983-2,_xlfn.LAMBDA(_xlpm.r,_xlpm.c,_xlpm.c))))</f>
        <v/>
      </c>
    </row>
    <row r="984" spans="2:2" x14ac:dyDescent="0.2">
      <c r="B984" t="str" cm="1">
        <f t="array" ref="B984">IF(A984="","",_xlfn.CHOOSECOLS('Prematch Backend 2A'!984:984,_xlfn.MAKEARRAY(1,A984-2,_xlfn.LAMBDA(_xlpm.r,_xlpm.c,_xlpm.c))))</f>
        <v/>
      </c>
    </row>
    <row r="985" spans="2:2" x14ac:dyDescent="0.2">
      <c r="B985" t="str" cm="1">
        <f t="array" ref="B985">IF(A985="","",_xlfn.CHOOSECOLS('Prematch Backend 2A'!985:985,_xlfn.MAKEARRAY(1,A985-2,_xlfn.LAMBDA(_xlpm.r,_xlpm.c,_xlpm.c))))</f>
        <v/>
      </c>
    </row>
    <row r="986" spans="2:2" x14ac:dyDescent="0.2">
      <c r="B986" t="str" cm="1">
        <f t="array" ref="B986">IF(A986="","",_xlfn.CHOOSECOLS('Prematch Backend 2A'!986:986,_xlfn.MAKEARRAY(1,A986-2,_xlfn.LAMBDA(_xlpm.r,_xlpm.c,_xlpm.c))))</f>
        <v/>
      </c>
    </row>
    <row r="987" spans="2:2" x14ac:dyDescent="0.2">
      <c r="B987" t="str" cm="1">
        <f t="array" ref="B987">IF(A987="","",_xlfn.CHOOSECOLS('Prematch Backend 2A'!987:987,_xlfn.MAKEARRAY(1,A987-2,_xlfn.LAMBDA(_xlpm.r,_xlpm.c,_xlpm.c))))</f>
        <v/>
      </c>
    </row>
    <row r="988" spans="2:2" x14ac:dyDescent="0.2">
      <c r="B988" t="str" cm="1">
        <f t="array" ref="B988">IF(A988="","",_xlfn.CHOOSECOLS('Prematch Backend 2A'!988:988,_xlfn.MAKEARRAY(1,A988-2,_xlfn.LAMBDA(_xlpm.r,_xlpm.c,_xlpm.c))))</f>
        <v/>
      </c>
    </row>
    <row r="989" spans="2:2" x14ac:dyDescent="0.2">
      <c r="B989" t="str" cm="1">
        <f t="array" ref="B989">IF(A989="","",_xlfn.CHOOSECOLS('Prematch Backend 2A'!989:989,_xlfn.MAKEARRAY(1,A989-2,_xlfn.LAMBDA(_xlpm.r,_xlpm.c,_xlpm.c))))</f>
        <v/>
      </c>
    </row>
    <row r="990" spans="2:2" x14ac:dyDescent="0.2">
      <c r="B990" t="str" cm="1">
        <f t="array" ref="B990">IF(A990="","",_xlfn.CHOOSECOLS('Prematch Backend 2A'!990:990,_xlfn.MAKEARRAY(1,A990-2,_xlfn.LAMBDA(_xlpm.r,_xlpm.c,_xlpm.c))))</f>
        <v/>
      </c>
    </row>
    <row r="991" spans="2:2" x14ac:dyDescent="0.2">
      <c r="B991" t="str" cm="1">
        <f t="array" ref="B991">IF(A991="","",_xlfn.CHOOSECOLS('Prematch Backend 2A'!991:991,_xlfn.MAKEARRAY(1,A991-2,_xlfn.LAMBDA(_xlpm.r,_xlpm.c,_xlpm.c))))</f>
        <v/>
      </c>
    </row>
    <row r="992" spans="2:2" x14ac:dyDescent="0.2">
      <c r="B992" t="str" cm="1">
        <f t="array" ref="B992">IF(A992="","",_xlfn.CHOOSECOLS('Prematch Backend 2A'!992:992,_xlfn.MAKEARRAY(1,A992-2,_xlfn.LAMBDA(_xlpm.r,_xlpm.c,_xlpm.c))))</f>
        <v/>
      </c>
    </row>
    <row r="993" spans="2:2" x14ac:dyDescent="0.2">
      <c r="B993" t="str" cm="1">
        <f t="array" ref="B993">IF(A993="","",_xlfn.CHOOSECOLS('Prematch Backend 2A'!993:993,_xlfn.MAKEARRAY(1,A993-2,_xlfn.LAMBDA(_xlpm.r,_xlpm.c,_xlpm.c))))</f>
        <v/>
      </c>
    </row>
    <row r="994" spans="2:2" x14ac:dyDescent="0.2">
      <c r="B994" t="str" cm="1">
        <f t="array" ref="B994">IF(A994="","",_xlfn.CHOOSECOLS('Prematch Backend 2A'!994:994,_xlfn.MAKEARRAY(1,A994-2,_xlfn.LAMBDA(_xlpm.r,_xlpm.c,_xlpm.c))))</f>
        <v/>
      </c>
    </row>
    <row r="995" spans="2:2" x14ac:dyDescent="0.2">
      <c r="B995" t="str" cm="1">
        <f t="array" ref="B995">IF(A995="","",_xlfn.CHOOSECOLS('Prematch Backend 2A'!995:995,_xlfn.MAKEARRAY(1,A995-2,_xlfn.LAMBDA(_xlpm.r,_xlpm.c,_xlpm.c))))</f>
        <v/>
      </c>
    </row>
    <row r="996" spans="2:2" x14ac:dyDescent="0.2">
      <c r="B996" t="str" cm="1">
        <f t="array" ref="B996">IF(A996="","",_xlfn.CHOOSECOLS('Prematch Backend 2A'!996:996,_xlfn.MAKEARRAY(1,A996-2,_xlfn.LAMBDA(_xlpm.r,_xlpm.c,_xlpm.c))))</f>
        <v/>
      </c>
    </row>
    <row r="997" spans="2:2" x14ac:dyDescent="0.2">
      <c r="B997" t="str" cm="1">
        <f t="array" ref="B997">IF(A997="","",_xlfn.CHOOSECOLS('Prematch Backend 2A'!997:997,_xlfn.MAKEARRAY(1,A997-2,_xlfn.LAMBDA(_xlpm.r,_xlpm.c,_xlpm.c))))</f>
        <v/>
      </c>
    </row>
    <row r="998" spans="2:2" x14ac:dyDescent="0.2">
      <c r="B998" t="str" cm="1">
        <f t="array" ref="B998">IF(A998="","",_xlfn.CHOOSECOLS('Prematch Backend 2A'!998:998,_xlfn.MAKEARRAY(1,A998-2,_xlfn.LAMBDA(_xlpm.r,_xlpm.c,_xlpm.c))))</f>
        <v/>
      </c>
    </row>
    <row r="999" spans="2:2" x14ac:dyDescent="0.2">
      <c r="B999" t="str" cm="1">
        <f t="array" ref="B999">IF(A999="","",_xlfn.CHOOSECOLS('Prematch Backend 2A'!999:999,_xlfn.MAKEARRAY(1,A999-2,_xlfn.LAMBDA(_xlpm.r,_xlpm.c,_xlpm.c))))</f>
        <v/>
      </c>
    </row>
    <row r="1000" spans="2:2" x14ac:dyDescent="0.2">
      <c r="B1000" t="str" cm="1">
        <f t="array" ref="B1000">IF(A1000="","",_xlfn.CHOOSECOLS('Prematch Backend 2A'!1000:1000,_xlfn.MAKEARRAY(1,A1000-2,_xlfn.LAMBDA(_xlpm.r,_xlpm.c,_xlpm.c))))</f>
        <v/>
      </c>
    </row>
    <row r="1001" spans="2:2" x14ac:dyDescent="0.2">
      <c r="B1001" t="str" cm="1">
        <f t="array" ref="B1001">IF(A1001="","",_xlfn.CHOOSECOLS('Prematch Backend 2A'!1001:1001,_xlfn.MAKEARRAY(1,A1001-2,_xlfn.LAMBDA(_xlpm.r,_xlpm.c,_xlpm.c))))</f>
        <v/>
      </c>
    </row>
    <row r="1002" spans="2:2" x14ac:dyDescent="0.2">
      <c r="B1002" t="str" cm="1">
        <f t="array" ref="B1002">IF(A1002="","",_xlfn.CHOOSECOLS('Prematch Backend 2A'!1002:1002,_xlfn.MAKEARRAY(1,A1002-2,_xlfn.LAMBDA(_xlpm.r,_xlpm.c,_xlpm.c))))</f>
        <v/>
      </c>
    </row>
    <row r="1003" spans="2:2" x14ac:dyDescent="0.2">
      <c r="B1003" t="str" cm="1">
        <f t="array" ref="B1003">IF(A1003="","",_xlfn.CHOOSECOLS('Prematch Backend 2A'!1003:1003,_xlfn.MAKEARRAY(1,A1003-2,_xlfn.LAMBDA(_xlpm.r,_xlpm.c,_xlpm.c))))</f>
        <v/>
      </c>
    </row>
    <row r="1004" spans="2:2" x14ac:dyDescent="0.2">
      <c r="B1004" t="str" cm="1">
        <f t="array" ref="B1004">IF(A1004="","",_xlfn.CHOOSECOLS('Prematch Backend 2A'!1004:1004,_xlfn.MAKEARRAY(1,A1004-2,_xlfn.LAMBDA(_xlpm.r,_xlpm.c,_xlpm.c))))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F5E88-CBC3-4707-867F-2D6FE82A58CC}">
  <sheetPr codeName="Sheet19"/>
  <dimension ref="B1:H336"/>
  <sheetViews>
    <sheetView topLeftCell="B1" zoomScale="99" workbookViewId="0">
      <selection activeCell="F2" sqref="F2"/>
    </sheetView>
  </sheetViews>
  <sheetFormatPr baseColWidth="10" defaultColWidth="8.83203125" defaultRowHeight="15" x14ac:dyDescent="0.2"/>
  <cols>
    <col min="1" max="1" width="0" hidden="1" customWidth="1"/>
    <col min="7" max="8" width="11" customWidth="1"/>
  </cols>
  <sheetData>
    <row r="1" spans="2:7" x14ac:dyDescent="0.2">
      <c r="B1" t="s">
        <v>167</v>
      </c>
      <c r="D1" t="s">
        <v>168</v>
      </c>
    </row>
    <row r="2" spans="2:7" x14ac:dyDescent="0.2">
      <c r="B2">
        <f>'Prematch Backend 5A'!A2</f>
        <v>6443</v>
      </c>
      <c r="D2">
        <v>1</v>
      </c>
    </row>
    <row r="3" spans="2:7" x14ac:dyDescent="0.2">
      <c r="C3" t="s">
        <v>173</v>
      </c>
      <c r="D3" t="s">
        <v>174</v>
      </c>
      <c r="F3" t="s">
        <v>173</v>
      </c>
      <c r="G3" t="s">
        <v>174</v>
      </c>
    </row>
    <row r="5" spans="2:7" x14ac:dyDescent="0.2">
      <c r="C5" t="e" cm="1">
        <f t="array" ref="C5">_xlfn.TOCOL(_xlfn.CHOOSECOLS('Prematch Backend 5B'!5:5, _xlfn.MAKEARRAY(('Prematch Backend 5B'!E2)/4,1,_xlfn.LAMBDA(_xlpm.r,_xlpm.c,_xlpm.r*4-1))))</f>
        <v>#VALUE!</v>
      </c>
      <c r="D5" t="e" cm="1">
        <f t="array" ref="D5">ABS(_xlfn.TOCOL(_xlfn.CHOOSECOLS('Prematch Backend 5B'!5:5, _xlfn.MAKEARRAY(('Prematch Backend 5B'!E2)/4,1,_xlfn.LAMBDA(_xlpm.r,_xlpm.c,_xlpm.r*4-3)))))</f>
        <v>#VALUE!</v>
      </c>
      <c r="F5" t="e" cm="1" vm="2">
        <f t="array" ref="F5">_xlfn.TOCOL(IF(_xlfn.BYROW(G5:G1000,_xlfn.LAMBDA(_xlpm.r,MAX(getData(C5:C1000,D5:D1000,D5:D1000,_xlpm.r))))=0,"",_xlfn.BYROW(G5:G1000,_xlfn.LAMBDA(_xlpm.r,MAX(getData(C5:C1000,D5:D1000,D5:D1000,_xlpm.r))))),3)</f>
        <v>#VALUE!</v>
      </c>
      <c r="G5" t="e" cm="1">
        <f t="array" ref="G5">_xlfn.TOCOL(_xlfn._xlws.SORT(_xlfn.UNIQUE(D5:D1000)),1)</f>
        <v>#VALUE!</v>
      </c>
    </row>
    <row r="17" spans="8:8" x14ac:dyDescent="0.2">
      <c r="H17" t="str">
        <f t="shared" ref="H17:H74" si="0">IF(C16=0,"",C16)</f>
        <v/>
      </c>
    </row>
    <row r="18" spans="8:8" x14ac:dyDescent="0.2">
      <c r="H18" t="str">
        <f t="shared" si="0"/>
        <v/>
      </c>
    </row>
    <row r="19" spans="8:8" x14ac:dyDescent="0.2">
      <c r="H19" t="str">
        <f t="shared" si="0"/>
        <v/>
      </c>
    </row>
    <row r="20" spans="8:8" x14ac:dyDescent="0.2">
      <c r="H20" t="str">
        <f t="shared" si="0"/>
        <v/>
      </c>
    </row>
    <row r="21" spans="8:8" x14ac:dyDescent="0.2">
      <c r="H21" t="str">
        <f t="shared" si="0"/>
        <v/>
      </c>
    </row>
    <row r="22" spans="8:8" x14ac:dyDescent="0.2">
      <c r="H22" t="str">
        <f t="shared" si="0"/>
        <v/>
      </c>
    </row>
    <row r="23" spans="8:8" x14ac:dyDescent="0.2">
      <c r="H23" t="str">
        <f t="shared" si="0"/>
        <v/>
      </c>
    </row>
    <row r="24" spans="8:8" x14ac:dyDescent="0.2">
      <c r="H24" t="str">
        <f t="shared" si="0"/>
        <v/>
      </c>
    </row>
    <row r="25" spans="8:8" x14ac:dyDescent="0.2">
      <c r="H25" t="str">
        <f t="shared" si="0"/>
        <v/>
      </c>
    </row>
    <row r="26" spans="8:8" x14ac:dyDescent="0.2">
      <c r="H26" t="str">
        <f t="shared" si="0"/>
        <v/>
      </c>
    </row>
    <row r="27" spans="8:8" x14ac:dyDescent="0.2">
      <c r="H27" t="str">
        <f t="shared" si="0"/>
        <v/>
      </c>
    </row>
    <row r="28" spans="8:8" x14ac:dyDescent="0.2">
      <c r="H28" t="str">
        <f t="shared" si="0"/>
        <v/>
      </c>
    </row>
    <row r="29" spans="8:8" x14ac:dyDescent="0.2">
      <c r="H29" t="str">
        <f t="shared" si="0"/>
        <v/>
      </c>
    </row>
    <row r="30" spans="8:8" x14ac:dyDescent="0.2">
      <c r="H30" t="str">
        <f t="shared" si="0"/>
        <v/>
      </c>
    </row>
    <row r="31" spans="8:8" x14ac:dyDescent="0.2">
      <c r="H31" t="str">
        <f t="shared" si="0"/>
        <v/>
      </c>
    </row>
    <row r="32" spans="8:8" x14ac:dyDescent="0.2">
      <c r="H32" t="str">
        <f t="shared" si="0"/>
        <v/>
      </c>
    </row>
    <row r="33" spans="8:8" x14ac:dyDescent="0.2">
      <c r="H33" t="str">
        <f t="shared" si="0"/>
        <v/>
      </c>
    </row>
    <row r="34" spans="8:8" x14ac:dyDescent="0.2">
      <c r="H34" t="str">
        <f t="shared" si="0"/>
        <v/>
      </c>
    </row>
    <row r="35" spans="8:8" x14ac:dyDescent="0.2">
      <c r="H35" t="str">
        <f t="shared" si="0"/>
        <v/>
      </c>
    </row>
    <row r="36" spans="8:8" x14ac:dyDescent="0.2">
      <c r="H36" t="str">
        <f t="shared" si="0"/>
        <v/>
      </c>
    </row>
    <row r="37" spans="8:8" x14ac:dyDescent="0.2">
      <c r="H37" t="str">
        <f t="shared" si="0"/>
        <v/>
      </c>
    </row>
    <row r="38" spans="8:8" x14ac:dyDescent="0.2">
      <c r="H38" t="str">
        <f t="shared" si="0"/>
        <v/>
      </c>
    </row>
    <row r="39" spans="8:8" x14ac:dyDescent="0.2">
      <c r="H39" t="str">
        <f t="shared" si="0"/>
        <v/>
      </c>
    </row>
    <row r="40" spans="8:8" x14ac:dyDescent="0.2">
      <c r="H40" t="str">
        <f t="shared" si="0"/>
        <v/>
      </c>
    </row>
    <row r="41" spans="8:8" x14ac:dyDescent="0.2">
      <c r="H41" t="str">
        <f t="shared" si="0"/>
        <v/>
      </c>
    </row>
    <row r="42" spans="8:8" x14ac:dyDescent="0.2">
      <c r="H42" t="str">
        <f t="shared" si="0"/>
        <v/>
      </c>
    </row>
    <row r="43" spans="8:8" x14ac:dyDescent="0.2">
      <c r="H43" t="str">
        <f t="shared" si="0"/>
        <v/>
      </c>
    </row>
    <row r="44" spans="8:8" x14ac:dyDescent="0.2">
      <c r="H44" t="str">
        <f t="shared" si="0"/>
        <v/>
      </c>
    </row>
    <row r="45" spans="8:8" x14ac:dyDescent="0.2">
      <c r="H45" t="str">
        <f t="shared" si="0"/>
        <v/>
      </c>
    </row>
    <row r="46" spans="8:8" x14ac:dyDescent="0.2">
      <c r="H46" t="str">
        <f t="shared" si="0"/>
        <v/>
      </c>
    </row>
    <row r="47" spans="8:8" x14ac:dyDescent="0.2">
      <c r="H47" t="str">
        <f t="shared" si="0"/>
        <v/>
      </c>
    </row>
    <row r="48" spans="8:8" x14ac:dyDescent="0.2">
      <c r="H48" t="str">
        <f t="shared" si="0"/>
        <v/>
      </c>
    </row>
    <row r="49" spans="8:8" x14ac:dyDescent="0.2">
      <c r="H49" t="str">
        <f t="shared" si="0"/>
        <v/>
      </c>
    </row>
    <row r="50" spans="8:8" x14ac:dyDescent="0.2">
      <c r="H50" t="str">
        <f t="shared" si="0"/>
        <v/>
      </c>
    </row>
    <row r="51" spans="8:8" x14ac:dyDescent="0.2">
      <c r="H51" t="str">
        <f t="shared" si="0"/>
        <v/>
      </c>
    </row>
    <row r="52" spans="8:8" x14ac:dyDescent="0.2">
      <c r="H52" t="str">
        <f t="shared" si="0"/>
        <v/>
      </c>
    </row>
    <row r="53" spans="8:8" x14ac:dyDescent="0.2">
      <c r="H53" t="str">
        <f t="shared" si="0"/>
        <v/>
      </c>
    </row>
    <row r="54" spans="8:8" x14ac:dyDescent="0.2">
      <c r="H54" t="str">
        <f t="shared" si="0"/>
        <v/>
      </c>
    </row>
    <row r="55" spans="8:8" x14ac:dyDescent="0.2">
      <c r="H55" t="str">
        <f t="shared" si="0"/>
        <v/>
      </c>
    </row>
    <row r="56" spans="8:8" x14ac:dyDescent="0.2">
      <c r="H56" t="str">
        <f t="shared" si="0"/>
        <v/>
      </c>
    </row>
    <row r="57" spans="8:8" x14ac:dyDescent="0.2">
      <c r="H57" t="str">
        <f t="shared" si="0"/>
        <v/>
      </c>
    </row>
    <row r="58" spans="8:8" x14ac:dyDescent="0.2">
      <c r="H58" t="str">
        <f t="shared" si="0"/>
        <v/>
      </c>
    </row>
    <row r="59" spans="8:8" x14ac:dyDescent="0.2">
      <c r="H59" t="str">
        <f t="shared" si="0"/>
        <v/>
      </c>
    </row>
    <row r="60" spans="8:8" x14ac:dyDescent="0.2">
      <c r="H60" t="str">
        <f t="shared" si="0"/>
        <v/>
      </c>
    </row>
    <row r="61" spans="8:8" x14ac:dyDescent="0.2">
      <c r="H61" t="str">
        <f t="shared" si="0"/>
        <v/>
      </c>
    </row>
    <row r="62" spans="8:8" x14ac:dyDescent="0.2">
      <c r="H62" t="str">
        <f t="shared" si="0"/>
        <v/>
      </c>
    </row>
    <row r="63" spans="8:8" x14ac:dyDescent="0.2">
      <c r="H63" t="str">
        <f t="shared" si="0"/>
        <v/>
      </c>
    </row>
    <row r="64" spans="8:8" x14ac:dyDescent="0.2">
      <c r="H64" t="str">
        <f t="shared" si="0"/>
        <v/>
      </c>
    </row>
    <row r="65" spans="8:8" x14ac:dyDescent="0.2">
      <c r="H65" t="str">
        <f t="shared" si="0"/>
        <v/>
      </c>
    </row>
    <row r="66" spans="8:8" x14ac:dyDescent="0.2">
      <c r="H66" t="str">
        <f t="shared" si="0"/>
        <v/>
      </c>
    </row>
    <row r="67" spans="8:8" x14ac:dyDescent="0.2">
      <c r="H67" t="str">
        <f t="shared" si="0"/>
        <v/>
      </c>
    </row>
    <row r="68" spans="8:8" x14ac:dyDescent="0.2">
      <c r="H68" t="str">
        <f t="shared" si="0"/>
        <v/>
      </c>
    </row>
    <row r="69" spans="8:8" x14ac:dyDescent="0.2">
      <c r="H69" t="str">
        <f t="shared" si="0"/>
        <v/>
      </c>
    </row>
    <row r="70" spans="8:8" x14ac:dyDescent="0.2">
      <c r="H70" t="str">
        <f t="shared" si="0"/>
        <v/>
      </c>
    </row>
    <row r="71" spans="8:8" x14ac:dyDescent="0.2">
      <c r="H71" t="str">
        <f t="shared" si="0"/>
        <v/>
      </c>
    </row>
    <row r="72" spans="8:8" x14ac:dyDescent="0.2">
      <c r="H72" t="str">
        <f t="shared" si="0"/>
        <v/>
      </c>
    </row>
    <row r="73" spans="8:8" x14ac:dyDescent="0.2">
      <c r="H73" t="str">
        <f t="shared" si="0"/>
        <v/>
      </c>
    </row>
    <row r="74" spans="8:8" x14ac:dyDescent="0.2">
      <c r="H74" t="str">
        <f t="shared" si="0"/>
        <v/>
      </c>
    </row>
    <row r="75" spans="8:8" x14ac:dyDescent="0.2">
      <c r="H75" t="str">
        <f t="shared" ref="H75:H138" si="1">IF(C74=0,"",C74)</f>
        <v/>
      </c>
    </row>
    <row r="76" spans="8:8" x14ac:dyDescent="0.2">
      <c r="H76" t="str">
        <f t="shared" si="1"/>
        <v/>
      </c>
    </row>
    <row r="77" spans="8:8" x14ac:dyDescent="0.2">
      <c r="H77" t="str">
        <f t="shared" si="1"/>
        <v/>
      </c>
    </row>
    <row r="78" spans="8:8" x14ac:dyDescent="0.2">
      <c r="H78" t="str">
        <f t="shared" si="1"/>
        <v/>
      </c>
    </row>
    <row r="79" spans="8:8" x14ac:dyDescent="0.2">
      <c r="H79" t="str">
        <f t="shared" si="1"/>
        <v/>
      </c>
    </row>
    <row r="80" spans="8:8" x14ac:dyDescent="0.2">
      <c r="H80" t="str">
        <f t="shared" si="1"/>
        <v/>
      </c>
    </row>
    <row r="81" spans="8:8" x14ac:dyDescent="0.2">
      <c r="H81" t="str">
        <f t="shared" si="1"/>
        <v/>
      </c>
    </row>
    <row r="82" spans="8:8" x14ac:dyDescent="0.2">
      <c r="H82" t="str">
        <f t="shared" si="1"/>
        <v/>
      </c>
    </row>
    <row r="83" spans="8:8" x14ac:dyDescent="0.2">
      <c r="H83" t="str">
        <f t="shared" si="1"/>
        <v/>
      </c>
    </row>
    <row r="84" spans="8:8" x14ac:dyDescent="0.2">
      <c r="H84" t="str">
        <f t="shared" si="1"/>
        <v/>
      </c>
    </row>
    <row r="85" spans="8:8" x14ac:dyDescent="0.2">
      <c r="H85" t="str">
        <f t="shared" si="1"/>
        <v/>
      </c>
    </row>
    <row r="86" spans="8:8" x14ac:dyDescent="0.2">
      <c r="H86" t="str">
        <f t="shared" si="1"/>
        <v/>
      </c>
    </row>
    <row r="87" spans="8:8" x14ac:dyDescent="0.2">
      <c r="H87" t="str">
        <f t="shared" si="1"/>
        <v/>
      </c>
    </row>
    <row r="88" spans="8:8" x14ac:dyDescent="0.2">
      <c r="H88" t="str">
        <f t="shared" si="1"/>
        <v/>
      </c>
    </row>
    <row r="89" spans="8:8" x14ac:dyDescent="0.2">
      <c r="H89" t="str">
        <f t="shared" si="1"/>
        <v/>
      </c>
    </row>
    <row r="90" spans="8:8" x14ac:dyDescent="0.2">
      <c r="H90" t="str">
        <f t="shared" si="1"/>
        <v/>
      </c>
    </row>
    <row r="91" spans="8:8" x14ac:dyDescent="0.2">
      <c r="H91" t="str">
        <f t="shared" si="1"/>
        <v/>
      </c>
    </row>
    <row r="92" spans="8:8" x14ac:dyDescent="0.2">
      <c r="H92" t="str">
        <f t="shared" si="1"/>
        <v/>
      </c>
    </row>
    <row r="93" spans="8:8" x14ac:dyDescent="0.2">
      <c r="H93" t="str">
        <f t="shared" si="1"/>
        <v/>
      </c>
    </row>
    <row r="94" spans="8:8" x14ac:dyDescent="0.2">
      <c r="H94" t="str">
        <f t="shared" si="1"/>
        <v/>
      </c>
    </row>
    <row r="95" spans="8:8" x14ac:dyDescent="0.2">
      <c r="H95" t="str">
        <f t="shared" si="1"/>
        <v/>
      </c>
    </row>
    <row r="96" spans="8:8" x14ac:dyDescent="0.2">
      <c r="H96" t="str">
        <f t="shared" si="1"/>
        <v/>
      </c>
    </row>
    <row r="97" spans="8:8" x14ac:dyDescent="0.2">
      <c r="H97" t="str">
        <f t="shared" si="1"/>
        <v/>
      </c>
    </row>
    <row r="98" spans="8:8" x14ac:dyDescent="0.2">
      <c r="H98" t="str">
        <f t="shared" si="1"/>
        <v/>
      </c>
    </row>
    <row r="99" spans="8:8" x14ac:dyDescent="0.2">
      <c r="H99" t="str">
        <f t="shared" si="1"/>
        <v/>
      </c>
    </row>
    <row r="100" spans="8:8" x14ac:dyDescent="0.2">
      <c r="H100" t="str">
        <f t="shared" si="1"/>
        <v/>
      </c>
    </row>
    <row r="101" spans="8:8" x14ac:dyDescent="0.2">
      <c r="H101" t="str">
        <f t="shared" si="1"/>
        <v/>
      </c>
    </row>
    <row r="102" spans="8:8" x14ac:dyDescent="0.2">
      <c r="H102" t="str">
        <f t="shared" si="1"/>
        <v/>
      </c>
    </row>
    <row r="103" spans="8:8" x14ac:dyDescent="0.2">
      <c r="H103" t="str">
        <f t="shared" si="1"/>
        <v/>
      </c>
    </row>
    <row r="104" spans="8:8" x14ac:dyDescent="0.2">
      <c r="H104" t="str">
        <f t="shared" si="1"/>
        <v/>
      </c>
    </row>
    <row r="105" spans="8:8" x14ac:dyDescent="0.2">
      <c r="H105" t="str">
        <f t="shared" si="1"/>
        <v/>
      </c>
    </row>
    <row r="106" spans="8:8" x14ac:dyDescent="0.2">
      <c r="H106" t="str">
        <f t="shared" si="1"/>
        <v/>
      </c>
    </row>
    <row r="107" spans="8:8" x14ac:dyDescent="0.2">
      <c r="H107" t="str">
        <f t="shared" si="1"/>
        <v/>
      </c>
    </row>
    <row r="108" spans="8:8" x14ac:dyDescent="0.2">
      <c r="H108" t="str">
        <f t="shared" si="1"/>
        <v/>
      </c>
    </row>
    <row r="109" spans="8:8" x14ac:dyDescent="0.2">
      <c r="H109" t="str">
        <f t="shared" si="1"/>
        <v/>
      </c>
    </row>
    <row r="110" spans="8:8" x14ac:dyDescent="0.2">
      <c r="H110" t="str">
        <f t="shared" si="1"/>
        <v/>
      </c>
    </row>
    <row r="111" spans="8:8" x14ac:dyDescent="0.2">
      <c r="H111" t="str">
        <f t="shared" si="1"/>
        <v/>
      </c>
    </row>
    <row r="112" spans="8:8" x14ac:dyDescent="0.2">
      <c r="H112" t="str">
        <f t="shared" si="1"/>
        <v/>
      </c>
    </row>
    <row r="113" spans="8:8" x14ac:dyDescent="0.2">
      <c r="H113" t="str">
        <f t="shared" si="1"/>
        <v/>
      </c>
    </row>
    <row r="114" spans="8:8" x14ac:dyDescent="0.2">
      <c r="H114" t="str">
        <f t="shared" si="1"/>
        <v/>
      </c>
    </row>
    <row r="115" spans="8:8" x14ac:dyDescent="0.2">
      <c r="H115" t="str">
        <f t="shared" si="1"/>
        <v/>
      </c>
    </row>
    <row r="116" spans="8:8" x14ac:dyDescent="0.2">
      <c r="H116" t="str">
        <f t="shared" si="1"/>
        <v/>
      </c>
    </row>
    <row r="117" spans="8:8" x14ac:dyDescent="0.2">
      <c r="H117" t="str">
        <f t="shared" si="1"/>
        <v/>
      </c>
    </row>
    <row r="118" spans="8:8" x14ac:dyDescent="0.2">
      <c r="H118" t="str">
        <f t="shared" si="1"/>
        <v/>
      </c>
    </row>
    <row r="119" spans="8:8" x14ac:dyDescent="0.2">
      <c r="H119" t="str">
        <f t="shared" si="1"/>
        <v/>
      </c>
    </row>
    <row r="120" spans="8:8" x14ac:dyDescent="0.2">
      <c r="H120" t="str">
        <f t="shared" si="1"/>
        <v/>
      </c>
    </row>
    <row r="121" spans="8:8" x14ac:dyDescent="0.2">
      <c r="H121" t="str">
        <f t="shared" si="1"/>
        <v/>
      </c>
    </row>
    <row r="122" spans="8:8" x14ac:dyDescent="0.2">
      <c r="H122" t="str">
        <f t="shared" si="1"/>
        <v/>
      </c>
    </row>
    <row r="123" spans="8:8" x14ac:dyDescent="0.2">
      <c r="H123" t="str">
        <f t="shared" si="1"/>
        <v/>
      </c>
    </row>
    <row r="124" spans="8:8" x14ac:dyDescent="0.2">
      <c r="H124" t="str">
        <f t="shared" si="1"/>
        <v/>
      </c>
    </row>
    <row r="125" spans="8:8" x14ac:dyDescent="0.2">
      <c r="H125" t="str">
        <f t="shared" si="1"/>
        <v/>
      </c>
    </row>
    <row r="126" spans="8:8" x14ac:dyDescent="0.2">
      <c r="H126" t="str">
        <f t="shared" si="1"/>
        <v/>
      </c>
    </row>
    <row r="127" spans="8:8" x14ac:dyDescent="0.2">
      <c r="H127" t="str">
        <f t="shared" si="1"/>
        <v/>
      </c>
    </row>
    <row r="128" spans="8:8" x14ac:dyDescent="0.2">
      <c r="H128" t="str">
        <f t="shared" si="1"/>
        <v/>
      </c>
    </row>
    <row r="129" spans="8:8" x14ac:dyDescent="0.2">
      <c r="H129" t="str">
        <f t="shared" si="1"/>
        <v/>
      </c>
    </row>
    <row r="130" spans="8:8" x14ac:dyDescent="0.2">
      <c r="H130" t="str">
        <f t="shared" si="1"/>
        <v/>
      </c>
    </row>
    <row r="131" spans="8:8" x14ac:dyDescent="0.2">
      <c r="H131" t="str">
        <f t="shared" si="1"/>
        <v/>
      </c>
    </row>
    <row r="132" spans="8:8" x14ac:dyDescent="0.2">
      <c r="H132" t="str">
        <f t="shared" si="1"/>
        <v/>
      </c>
    </row>
    <row r="133" spans="8:8" x14ac:dyDescent="0.2">
      <c r="H133" t="str">
        <f t="shared" si="1"/>
        <v/>
      </c>
    </row>
    <row r="134" spans="8:8" x14ac:dyDescent="0.2">
      <c r="H134" t="str">
        <f t="shared" si="1"/>
        <v/>
      </c>
    </row>
    <row r="135" spans="8:8" x14ac:dyDescent="0.2">
      <c r="H135" t="str">
        <f t="shared" si="1"/>
        <v/>
      </c>
    </row>
    <row r="136" spans="8:8" x14ac:dyDescent="0.2">
      <c r="H136" t="str">
        <f t="shared" si="1"/>
        <v/>
      </c>
    </row>
    <row r="137" spans="8:8" x14ac:dyDescent="0.2">
      <c r="H137" t="str">
        <f t="shared" si="1"/>
        <v/>
      </c>
    </row>
    <row r="138" spans="8:8" x14ac:dyDescent="0.2">
      <c r="H138" t="str">
        <f t="shared" si="1"/>
        <v/>
      </c>
    </row>
    <row r="139" spans="8:8" x14ac:dyDescent="0.2">
      <c r="H139" t="str">
        <f t="shared" ref="H139:H202" si="2">IF(C138=0,"",C138)</f>
        <v/>
      </c>
    </row>
    <row r="140" spans="8:8" x14ac:dyDescent="0.2">
      <c r="H140" t="str">
        <f t="shared" si="2"/>
        <v/>
      </c>
    </row>
    <row r="141" spans="8:8" x14ac:dyDescent="0.2">
      <c r="H141" t="str">
        <f t="shared" si="2"/>
        <v/>
      </c>
    </row>
    <row r="142" spans="8:8" x14ac:dyDescent="0.2">
      <c r="H142" t="str">
        <f t="shared" si="2"/>
        <v/>
      </c>
    </row>
    <row r="143" spans="8:8" x14ac:dyDescent="0.2">
      <c r="H143" t="str">
        <f t="shared" si="2"/>
        <v/>
      </c>
    </row>
    <row r="144" spans="8:8" x14ac:dyDescent="0.2">
      <c r="H144" t="str">
        <f t="shared" si="2"/>
        <v/>
      </c>
    </row>
    <row r="145" spans="8:8" x14ac:dyDescent="0.2">
      <c r="H145" t="str">
        <f t="shared" si="2"/>
        <v/>
      </c>
    </row>
    <row r="146" spans="8:8" x14ac:dyDescent="0.2">
      <c r="H146" t="str">
        <f t="shared" si="2"/>
        <v/>
      </c>
    </row>
    <row r="147" spans="8:8" x14ac:dyDescent="0.2">
      <c r="H147" t="str">
        <f t="shared" si="2"/>
        <v/>
      </c>
    </row>
    <row r="148" spans="8:8" x14ac:dyDescent="0.2">
      <c r="H148" t="str">
        <f t="shared" si="2"/>
        <v/>
      </c>
    </row>
    <row r="149" spans="8:8" x14ac:dyDescent="0.2">
      <c r="H149" t="str">
        <f t="shared" si="2"/>
        <v/>
      </c>
    </row>
    <row r="150" spans="8:8" x14ac:dyDescent="0.2">
      <c r="H150" t="str">
        <f t="shared" si="2"/>
        <v/>
      </c>
    </row>
    <row r="151" spans="8:8" x14ac:dyDescent="0.2">
      <c r="H151" t="str">
        <f t="shared" si="2"/>
        <v/>
      </c>
    </row>
    <row r="152" spans="8:8" x14ac:dyDescent="0.2">
      <c r="H152" t="str">
        <f t="shared" si="2"/>
        <v/>
      </c>
    </row>
    <row r="153" spans="8:8" x14ac:dyDescent="0.2">
      <c r="H153" t="str">
        <f t="shared" si="2"/>
        <v/>
      </c>
    </row>
    <row r="154" spans="8:8" x14ac:dyDescent="0.2">
      <c r="H154" t="str">
        <f t="shared" si="2"/>
        <v/>
      </c>
    </row>
    <row r="155" spans="8:8" x14ac:dyDescent="0.2">
      <c r="H155" t="str">
        <f t="shared" si="2"/>
        <v/>
      </c>
    </row>
    <row r="156" spans="8:8" x14ac:dyDescent="0.2">
      <c r="H156" t="str">
        <f t="shared" si="2"/>
        <v/>
      </c>
    </row>
    <row r="157" spans="8:8" x14ac:dyDescent="0.2">
      <c r="H157" t="str">
        <f t="shared" si="2"/>
        <v/>
      </c>
    </row>
    <row r="158" spans="8:8" x14ac:dyDescent="0.2">
      <c r="H158" t="str">
        <f t="shared" si="2"/>
        <v/>
      </c>
    </row>
    <row r="159" spans="8:8" x14ac:dyDescent="0.2">
      <c r="H159" t="str">
        <f t="shared" si="2"/>
        <v/>
      </c>
    </row>
    <row r="160" spans="8:8" x14ac:dyDescent="0.2">
      <c r="H160" t="str">
        <f t="shared" si="2"/>
        <v/>
      </c>
    </row>
    <row r="161" spans="8:8" x14ac:dyDescent="0.2">
      <c r="H161" t="str">
        <f t="shared" si="2"/>
        <v/>
      </c>
    </row>
    <row r="162" spans="8:8" x14ac:dyDescent="0.2">
      <c r="H162" t="str">
        <f t="shared" si="2"/>
        <v/>
      </c>
    </row>
    <row r="163" spans="8:8" x14ac:dyDescent="0.2">
      <c r="H163" t="str">
        <f t="shared" si="2"/>
        <v/>
      </c>
    </row>
    <row r="164" spans="8:8" x14ac:dyDescent="0.2">
      <c r="H164" t="str">
        <f t="shared" si="2"/>
        <v/>
      </c>
    </row>
    <row r="165" spans="8:8" x14ac:dyDescent="0.2">
      <c r="H165" t="str">
        <f t="shared" si="2"/>
        <v/>
      </c>
    </row>
    <row r="166" spans="8:8" x14ac:dyDescent="0.2">
      <c r="H166" t="str">
        <f t="shared" si="2"/>
        <v/>
      </c>
    </row>
    <row r="167" spans="8:8" x14ac:dyDescent="0.2">
      <c r="H167" t="str">
        <f t="shared" si="2"/>
        <v/>
      </c>
    </row>
    <row r="168" spans="8:8" x14ac:dyDescent="0.2">
      <c r="H168" t="str">
        <f t="shared" si="2"/>
        <v/>
      </c>
    </row>
    <row r="169" spans="8:8" x14ac:dyDescent="0.2">
      <c r="H169" t="str">
        <f t="shared" si="2"/>
        <v/>
      </c>
    </row>
    <row r="170" spans="8:8" x14ac:dyDescent="0.2">
      <c r="H170" t="str">
        <f t="shared" si="2"/>
        <v/>
      </c>
    </row>
    <row r="171" spans="8:8" x14ac:dyDescent="0.2">
      <c r="H171" t="str">
        <f t="shared" si="2"/>
        <v/>
      </c>
    </row>
    <row r="172" spans="8:8" x14ac:dyDescent="0.2">
      <c r="H172" t="str">
        <f t="shared" si="2"/>
        <v/>
      </c>
    </row>
    <row r="173" spans="8:8" x14ac:dyDescent="0.2">
      <c r="H173" t="str">
        <f t="shared" si="2"/>
        <v/>
      </c>
    </row>
    <row r="174" spans="8:8" x14ac:dyDescent="0.2">
      <c r="H174" t="str">
        <f t="shared" si="2"/>
        <v/>
      </c>
    </row>
    <row r="175" spans="8:8" x14ac:dyDescent="0.2">
      <c r="H175" t="str">
        <f t="shared" si="2"/>
        <v/>
      </c>
    </row>
    <row r="176" spans="8:8" x14ac:dyDescent="0.2">
      <c r="H176" t="str">
        <f t="shared" si="2"/>
        <v/>
      </c>
    </row>
    <row r="177" spans="8:8" x14ac:dyDescent="0.2">
      <c r="H177" t="str">
        <f t="shared" si="2"/>
        <v/>
      </c>
    </row>
    <row r="178" spans="8:8" x14ac:dyDescent="0.2">
      <c r="H178" t="str">
        <f t="shared" si="2"/>
        <v/>
      </c>
    </row>
    <row r="179" spans="8:8" x14ac:dyDescent="0.2">
      <c r="H179" t="str">
        <f t="shared" si="2"/>
        <v/>
      </c>
    </row>
    <row r="180" spans="8:8" x14ac:dyDescent="0.2">
      <c r="H180" t="str">
        <f t="shared" si="2"/>
        <v/>
      </c>
    </row>
    <row r="181" spans="8:8" x14ac:dyDescent="0.2">
      <c r="H181" t="str">
        <f t="shared" si="2"/>
        <v/>
      </c>
    </row>
    <row r="182" spans="8:8" x14ac:dyDescent="0.2">
      <c r="H182" t="str">
        <f t="shared" si="2"/>
        <v/>
      </c>
    </row>
    <row r="183" spans="8:8" x14ac:dyDescent="0.2">
      <c r="H183" t="str">
        <f t="shared" si="2"/>
        <v/>
      </c>
    </row>
    <row r="184" spans="8:8" x14ac:dyDescent="0.2">
      <c r="H184" t="str">
        <f t="shared" si="2"/>
        <v/>
      </c>
    </row>
    <row r="185" spans="8:8" x14ac:dyDescent="0.2">
      <c r="H185" t="str">
        <f t="shared" si="2"/>
        <v/>
      </c>
    </row>
    <row r="186" spans="8:8" x14ac:dyDescent="0.2">
      <c r="H186" t="str">
        <f t="shared" si="2"/>
        <v/>
      </c>
    </row>
    <row r="187" spans="8:8" x14ac:dyDescent="0.2">
      <c r="H187" t="str">
        <f t="shared" si="2"/>
        <v/>
      </c>
    </row>
    <row r="188" spans="8:8" x14ac:dyDescent="0.2">
      <c r="H188" t="str">
        <f t="shared" si="2"/>
        <v/>
      </c>
    </row>
    <row r="189" spans="8:8" x14ac:dyDescent="0.2">
      <c r="H189" t="str">
        <f t="shared" si="2"/>
        <v/>
      </c>
    </row>
    <row r="190" spans="8:8" x14ac:dyDescent="0.2">
      <c r="H190" t="str">
        <f t="shared" si="2"/>
        <v/>
      </c>
    </row>
    <row r="191" spans="8:8" x14ac:dyDescent="0.2">
      <c r="H191" t="str">
        <f t="shared" si="2"/>
        <v/>
      </c>
    </row>
    <row r="192" spans="8:8" x14ac:dyDescent="0.2">
      <c r="H192" t="str">
        <f t="shared" si="2"/>
        <v/>
      </c>
    </row>
    <row r="193" spans="8:8" x14ac:dyDescent="0.2">
      <c r="H193" t="str">
        <f t="shared" si="2"/>
        <v/>
      </c>
    </row>
    <row r="194" spans="8:8" x14ac:dyDescent="0.2">
      <c r="H194" t="str">
        <f t="shared" si="2"/>
        <v/>
      </c>
    </row>
    <row r="195" spans="8:8" x14ac:dyDescent="0.2">
      <c r="H195" t="str">
        <f t="shared" si="2"/>
        <v/>
      </c>
    </row>
    <row r="196" spans="8:8" x14ac:dyDescent="0.2">
      <c r="H196" t="str">
        <f t="shared" si="2"/>
        <v/>
      </c>
    </row>
    <row r="197" spans="8:8" x14ac:dyDescent="0.2">
      <c r="H197" t="str">
        <f t="shared" si="2"/>
        <v/>
      </c>
    </row>
    <row r="198" spans="8:8" x14ac:dyDescent="0.2">
      <c r="H198" t="str">
        <f t="shared" si="2"/>
        <v/>
      </c>
    </row>
    <row r="199" spans="8:8" x14ac:dyDescent="0.2">
      <c r="H199" t="str">
        <f t="shared" si="2"/>
        <v/>
      </c>
    </row>
    <row r="200" spans="8:8" x14ac:dyDescent="0.2">
      <c r="H200" t="str">
        <f t="shared" si="2"/>
        <v/>
      </c>
    </row>
    <row r="201" spans="8:8" x14ac:dyDescent="0.2">
      <c r="H201" t="str">
        <f t="shared" si="2"/>
        <v/>
      </c>
    </row>
    <row r="202" spans="8:8" x14ac:dyDescent="0.2">
      <c r="H202" t="str">
        <f t="shared" si="2"/>
        <v/>
      </c>
    </row>
    <row r="203" spans="8:8" x14ac:dyDescent="0.2">
      <c r="H203" t="str">
        <f t="shared" ref="H203:H266" si="3">IF(C202=0,"",C202)</f>
        <v/>
      </c>
    </row>
    <row r="204" spans="8:8" x14ac:dyDescent="0.2">
      <c r="H204" t="str">
        <f t="shared" si="3"/>
        <v/>
      </c>
    </row>
    <row r="205" spans="8:8" x14ac:dyDescent="0.2">
      <c r="H205" t="str">
        <f t="shared" si="3"/>
        <v/>
      </c>
    </row>
    <row r="206" spans="8:8" x14ac:dyDescent="0.2">
      <c r="H206" t="str">
        <f t="shared" si="3"/>
        <v/>
      </c>
    </row>
    <row r="207" spans="8:8" x14ac:dyDescent="0.2">
      <c r="H207" t="str">
        <f t="shared" si="3"/>
        <v/>
      </c>
    </row>
    <row r="208" spans="8:8" x14ac:dyDescent="0.2">
      <c r="H208" t="str">
        <f t="shared" si="3"/>
        <v/>
      </c>
    </row>
    <row r="209" spans="8:8" x14ac:dyDescent="0.2">
      <c r="H209" t="str">
        <f t="shared" si="3"/>
        <v/>
      </c>
    </row>
    <row r="210" spans="8:8" x14ac:dyDescent="0.2">
      <c r="H210" t="str">
        <f t="shared" si="3"/>
        <v/>
      </c>
    </row>
    <row r="211" spans="8:8" x14ac:dyDescent="0.2">
      <c r="H211" t="str">
        <f t="shared" si="3"/>
        <v/>
      </c>
    </row>
    <row r="212" spans="8:8" x14ac:dyDescent="0.2">
      <c r="H212" t="str">
        <f t="shared" si="3"/>
        <v/>
      </c>
    </row>
    <row r="213" spans="8:8" x14ac:dyDescent="0.2">
      <c r="H213" t="str">
        <f t="shared" si="3"/>
        <v/>
      </c>
    </row>
    <row r="214" spans="8:8" x14ac:dyDescent="0.2">
      <c r="H214" t="str">
        <f t="shared" si="3"/>
        <v/>
      </c>
    </row>
    <row r="215" spans="8:8" x14ac:dyDescent="0.2">
      <c r="H215" t="str">
        <f t="shared" si="3"/>
        <v/>
      </c>
    </row>
    <row r="216" spans="8:8" x14ac:dyDescent="0.2">
      <c r="H216" t="str">
        <f t="shared" si="3"/>
        <v/>
      </c>
    </row>
    <row r="217" spans="8:8" x14ac:dyDescent="0.2">
      <c r="H217" t="str">
        <f t="shared" si="3"/>
        <v/>
      </c>
    </row>
    <row r="218" spans="8:8" x14ac:dyDescent="0.2">
      <c r="H218" t="str">
        <f t="shared" si="3"/>
        <v/>
      </c>
    </row>
    <row r="219" spans="8:8" x14ac:dyDescent="0.2">
      <c r="H219" t="str">
        <f t="shared" si="3"/>
        <v/>
      </c>
    </row>
    <row r="220" spans="8:8" x14ac:dyDescent="0.2">
      <c r="H220" t="str">
        <f t="shared" si="3"/>
        <v/>
      </c>
    </row>
    <row r="221" spans="8:8" x14ac:dyDescent="0.2">
      <c r="H221" t="str">
        <f t="shared" si="3"/>
        <v/>
      </c>
    </row>
    <row r="222" spans="8:8" x14ac:dyDescent="0.2">
      <c r="H222" t="str">
        <f t="shared" si="3"/>
        <v/>
      </c>
    </row>
    <row r="223" spans="8:8" x14ac:dyDescent="0.2">
      <c r="H223" t="str">
        <f t="shared" si="3"/>
        <v/>
      </c>
    </row>
    <row r="224" spans="8:8" x14ac:dyDescent="0.2">
      <c r="H224" t="str">
        <f t="shared" si="3"/>
        <v/>
      </c>
    </row>
    <row r="225" spans="8:8" x14ac:dyDescent="0.2">
      <c r="H225" t="str">
        <f t="shared" si="3"/>
        <v/>
      </c>
    </row>
    <row r="226" spans="8:8" x14ac:dyDescent="0.2">
      <c r="H226" t="str">
        <f t="shared" si="3"/>
        <v/>
      </c>
    </row>
    <row r="227" spans="8:8" x14ac:dyDescent="0.2">
      <c r="H227" t="str">
        <f t="shared" si="3"/>
        <v/>
      </c>
    </row>
    <row r="228" spans="8:8" x14ac:dyDescent="0.2">
      <c r="H228" t="str">
        <f t="shared" si="3"/>
        <v/>
      </c>
    </row>
    <row r="229" spans="8:8" x14ac:dyDescent="0.2">
      <c r="H229" t="str">
        <f t="shared" si="3"/>
        <v/>
      </c>
    </row>
    <row r="230" spans="8:8" x14ac:dyDescent="0.2">
      <c r="H230" t="str">
        <f t="shared" si="3"/>
        <v/>
      </c>
    </row>
    <row r="231" spans="8:8" x14ac:dyDescent="0.2">
      <c r="H231" t="str">
        <f t="shared" si="3"/>
        <v/>
      </c>
    </row>
    <row r="232" spans="8:8" x14ac:dyDescent="0.2">
      <c r="H232" t="str">
        <f t="shared" si="3"/>
        <v/>
      </c>
    </row>
    <row r="233" spans="8:8" x14ac:dyDescent="0.2">
      <c r="H233" t="str">
        <f t="shared" si="3"/>
        <v/>
      </c>
    </row>
    <row r="234" spans="8:8" x14ac:dyDescent="0.2">
      <c r="H234" t="str">
        <f t="shared" si="3"/>
        <v/>
      </c>
    </row>
    <row r="235" spans="8:8" x14ac:dyDescent="0.2">
      <c r="H235" t="str">
        <f t="shared" si="3"/>
        <v/>
      </c>
    </row>
    <row r="236" spans="8:8" x14ac:dyDescent="0.2">
      <c r="H236" t="str">
        <f t="shared" si="3"/>
        <v/>
      </c>
    </row>
    <row r="237" spans="8:8" x14ac:dyDescent="0.2">
      <c r="H237" t="str">
        <f t="shared" si="3"/>
        <v/>
      </c>
    </row>
    <row r="238" spans="8:8" x14ac:dyDescent="0.2">
      <c r="H238" t="str">
        <f t="shared" si="3"/>
        <v/>
      </c>
    </row>
    <row r="239" spans="8:8" x14ac:dyDescent="0.2">
      <c r="H239" t="str">
        <f t="shared" si="3"/>
        <v/>
      </c>
    </row>
    <row r="240" spans="8:8" x14ac:dyDescent="0.2">
      <c r="H240" t="str">
        <f t="shared" si="3"/>
        <v/>
      </c>
    </row>
    <row r="241" spans="8:8" x14ac:dyDescent="0.2">
      <c r="H241" t="str">
        <f t="shared" si="3"/>
        <v/>
      </c>
    </row>
    <row r="242" spans="8:8" x14ac:dyDescent="0.2">
      <c r="H242" t="str">
        <f t="shared" si="3"/>
        <v/>
      </c>
    </row>
    <row r="243" spans="8:8" x14ac:dyDescent="0.2">
      <c r="H243" t="str">
        <f t="shared" si="3"/>
        <v/>
      </c>
    </row>
    <row r="244" spans="8:8" x14ac:dyDescent="0.2">
      <c r="H244" t="str">
        <f t="shared" si="3"/>
        <v/>
      </c>
    </row>
    <row r="245" spans="8:8" x14ac:dyDescent="0.2">
      <c r="H245" t="str">
        <f t="shared" si="3"/>
        <v/>
      </c>
    </row>
    <row r="246" spans="8:8" x14ac:dyDescent="0.2">
      <c r="H246" t="str">
        <f t="shared" si="3"/>
        <v/>
      </c>
    </row>
    <row r="247" spans="8:8" x14ac:dyDescent="0.2">
      <c r="H247" t="str">
        <f t="shared" si="3"/>
        <v/>
      </c>
    </row>
    <row r="248" spans="8:8" x14ac:dyDescent="0.2">
      <c r="H248" t="str">
        <f t="shared" si="3"/>
        <v/>
      </c>
    </row>
    <row r="249" spans="8:8" x14ac:dyDescent="0.2">
      <c r="H249" t="str">
        <f t="shared" si="3"/>
        <v/>
      </c>
    </row>
    <row r="250" spans="8:8" x14ac:dyDescent="0.2">
      <c r="H250" t="str">
        <f t="shared" si="3"/>
        <v/>
      </c>
    </row>
    <row r="251" spans="8:8" x14ac:dyDescent="0.2">
      <c r="H251" t="str">
        <f t="shared" si="3"/>
        <v/>
      </c>
    </row>
    <row r="252" spans="8:8" x14ac:dyDescent="0.2">
      <c r="H252" t="str">
        <f t="shared" si="3"/>
        <v/>
      </c>
    </row>
    <row r="253" spans="8:8" x14ac:dyDescent="0.2">
      <c r="H253" t="str">
        <f t="shared" si="3"/>
        <v/>
      </c>
    </row>
    <row r="254" spans="8:8" x14ac:dyDescent="0.2">
      <c r="H254" t="str">
        <f t="shared" si="3"/>
        <v/>
      </c>
    </row>
    <row r="255" spans="8:8" x14ac:dyDescent="0.2">
      <c r="H255" t="str">
        <f t="shared" si="3"/>
        <v/>
      </c>
    </row>
    <row r="256" spans="8:8" x14ac:dyDescent="0.2">
      <c r="H256" t="str">
        <f t="shared" si="3"/>
        <v/>
      </c>
    </row>
    <row r="257" spans="8:8" x14ac:dyDescent="0.2">
      <c r="H257" t="str">
        <f t="shared" si="3"/>
        <v/>
      </c>
    </row>
    <row r="258" spans="8:8" x14ac:dyDescent="0.2">
      <c r="H258" t="str">
        <f t="shared" si="3"/>
        <v/>
      </c>
    </row>
    <row r="259" spans="8:8" x14ac:dyDescent="0.2">
      <c r="H259" t="str">
        <f t="shared" si="3"/>
        <v/>
      </c>
    </row>
    <row r="260" spans="8:8" x14ac:dyDescent="0.2">
      <c r="H260" t="str">
        <f t="shared" si="3"/>
        <v/>
      </c>
    </row>
    <row r="261" spans="8:8" x14ac:dyDescent="0.2">
      <c r="H261" t="str">
        <f t="shared" si="3"/>
        <v/>
      </c>
    </row>
    <row r="262" spans="8:8" x14ac:dyDescent="0.2">
      <c r="H262" t="str">
        <f t="shared" si="3"/>
        <v/>
      </c>
    </row>
    <row r="263" spans="8:8" x14ac:dyDescent="0.2">
      <c r="H263" t="str">
        <f t="shared" si="3"/>
        <v/>
      </c>
    </row>
    <row r="264" spans="8:8" x14ac:dyDescent="0.2">
      <c r="H264" t="str">
        <f t="shared" si="3"/>
        <v/>
      </c>
    </row>
    <row r="265" spans="8:8" x14ac:dyDescent="0.2">
      <c r="H265" t="str">
        <f t="shared" si="3"/>
        <v/>
      </c>
    </row>
    <row r="266" spans="8:8" x14ac:dyDescent="0.2">
      <c r="H266" t="str">
        <f t="shared" si="3"/>
        <v/>
      </c>
    </row>
    <row r="267" spans="8:8" x14ac:dyDescent="0.2">
      <c r="H267" t="str">
        <f t="shared" ref="H267:H330" si="4">IF(C266=0,"",C266)</f>
        <v/>
      </c>
    </row>
    <row r="268" spans="8:8" x14ac:dyDescent="0.2">
      <c r="H268" t="str">
        <f t="shared" si="4"/>
        <v/>
      </c>
    </row>
    <row r="269" spans="8:8" x14ac:dyDescent="0.2">
      <c r="H269" t="str">
        <f t="shared" si="4"/>
        <v/>
      </c>
    </row>
    <row r="270" spans="8:8" x14ac:dyDescent="0.2">
      <c r="H270" t="str">
        <f t="shared" si="4"/>
        <v/>
      </c>
    </row>
    <row r="271" spans="8:8" x14ac:dyDescent="0.2">
      <c r="H271" t="str">
        <f t="shared" si="4"/>
        <v/>
      </c>
    </row>
    <row r="272" spans="8:8" x14ac:dyDescent="0.2">
      <c r="H272" t="str">
        <f t="shared" si="4"/>
        <v/>
      </c>
    </row>
    <row r="273" spans="8:8" x14ac:dyDescent="0.2">
      <c r="H273" t="str">
        <f t="shared" si="4"/>
        <v/>
      </c>
    </row>
    <row r="274" spans="8:8" x14ac:dyDescent="0.2">
      <c r="H274" t="str">
        <f t="shared" si="4"/>
        <v/>
      </c>
    </row>
    <row r="275" spans="8:8" x14ac:dyDescent="0.2">
      <c r="H275" t="str">
        <f t="shared" si="4"/>
        <v/>
      </c>
    </row>
    <row r="276" spans="8:8" x14ac:dyDescent="0.2">
      <c r="H276" t="str">
        <f t="shared" si="4"/>
        <v/>
      </c>
    </row>
    <row r="277" spans="8:8" x14ac:dyDescent="0.2">
      <c r="H277" t="str">
        <f t="shared" si="4"/>
        <v/>
      </c>
    </row>
    <row r="278" spans="8:8" x14ac:dyDescent="0.2">
      <c r="H278" t="str">
        <f t="shared" si="4"/>
        <v/>
      </c>
    </row>
    <row r="279" spans="8:8" x14ac:dyDescent="0.2">
      <c r="H279" t="str">
        <f t="shared" si="4"/>
        <v/>
      </c>
    </row>
    <row r="280" spans="8:8" x14ac:dyDescent="0.2">
      <c r="H280" t="str">
        <f t="shared" si="4"/>
        <v/>
      </c>
    </row>
    <row r="281" spans="8:8" x14ac:dyDescent="0.2">
      <c r="H281" t="str">
        <f t="shared" si="4"/>
        <v/>
      </c>
    </row>
    <row r="282" spans="8:8" x14ac:dyDescent="0.2">
      <c r="H282" t="str">
        <f t="shared" si="4"/>
        <v/>
      </c>
    </row>
    <row r="283" spans="8:8" x14ac:dyDescent="0.2">
      <c r="H283" t="str">
        <f t="shared" si="4"/>
        <v/>
      </c>
    </row>
    <row r="284" spans="8:8" x14ac:dyDescent="0.2">
      <c r="H284" t="str">
        <f t="shared" si="4"/>
        <v/>
      </c>
    </row>
    <row r="285" spans="8:8" x14ac:dyDescent="0.2">
      <c r="H285" t="str">
        <f t="shared" si="4"/>
        <v/>
      </c>
    </row>
    <row r="286" spans="8:8" x14ac:dyDescent="0.2">
      <c r="H286" t="str">
        <f t="shared" si="4"/>
        <v/>
      </c>
    </row>
    <row r="287" spans="8:8" x14ac:dyDescent="0.2">
      <c r="H287" t="str">
        <f t="shared" si="4"/>
        <v/>
      </c>
    </row>
    <row r="288" spans="8:8" x14ac:dyDescent="0.2">
      <c r="H288" t="str">
        <f t="shared" si="4"/>
        <v/>
      </c>
    </row>
    <row r="289" spans="8:8" x14ac:dyDescent="0.2">
      <c r="H289" t="str">
        <f t="shared" si="4"/>
        <v/>
      </c>
    </row>
    <row r="290" spans="8:8" x14ac:dyDescent="0.2">
      <c r="H290" t="str">
        <f t="shared" si="4"/>
        <v/>
      </c>
    </row>
    <row r="291" spans="8:8" x14ac:dyDescent="0.2">
      <c r="H291" t="str">
        <f t="shared" si="4"/>
        <v/>
      </c>
    </row>
    <row r="292" spans="8:8" x14ac:dyDescent="0.2">
      <c r="H292" t="str">
        <f t="shared" si="4"/>
        <v/>
      </c>
    </row>
    <row r="293" spans="8:8" x14ac:dyDescent="0.2">
      <c r="H293" t="str">
        <f t="shared" si="4"/>
        <v/>
      </c>
    </row>
    <row r="294" spans="8:8" x14ac:dyDescent="0.2">
      <c r="H294" t="str">
        <f t="shared" si="4"/>
        <v/>
      </c>
    </row>
    <row r="295" spans="8:8" x14ac:dyDescent="0.2">
      <c r="H295" t="str">
        <f t="shared" si="4"/>
        <v/>
      </c>
    </row>
    <row r="296" spans="8:8" x14ac:dyDescent="0.2">
      <c r="H296" t="str">
        <f t="shared" si="4"/>
        <v/>
      </c>
    </row>
    <row r="297" spans="8:8" x14ac:dyDescent="0.2">
      <c r="H297" t="str">
        <f t="shared" si="4"/>
        <v/>
      </c>
    </row>
    <row r="298" spans="8:8" x14ac:dyDescent="0.2">
      <c r="H298" t="str">
        <f t="shared" si="4"/>
        <v/>
      </c>
    </row>
    <row r="299" spans="8:8" x14ac:dyDescent="0.2">
      <c r="H299" t="str">
        <f t="shared" si="4"/>
        <v/>
      </c>
    </row>
    <row r="300" spans="8:8" x14ac:dyDescent="0.2">
      <c r="H300" t="str">
        <f t="shared" si="4"/>
        <v/>
      </c>
    </row>
    <row r="301" spans="8:8" x14ac:dyDescent="0.2">
      <c r="H301" t="str">
        <f t="shared" si="4"/>
        <v/>
      </c>
    </row>
    <row r="302" spans="8:8" x14ac:dyDescent="0.2">
      <c r="H302" t="str">
        <f t="shared" si="4"/>
        <v/>
      </c>
    </row>
    <row r="303" spans="8:8" x14ac:dyDescent="0.2">
      <c r="H303" t="str">
        <f t="shared" si="4"/>
        <v/>
      </c>
    </row>
    <row r="304" spans="8:8" x14ac:dyDescent="0.2">
      <c r="H304" t="str">
        <f t="shared" si="4"/>
        <v/>
      </c>
    </row>
    <row r="305" spans="8:8" x14ac:dyDescent="0.2">
      <c r="H305" t="str">
        <f t="shared" si="4"/>
        <v/>
      </c>
    </row>
    <row r="306" spans="8:8" x14ac:dyDescent="0.2">
      <c r="H306" t="str">
        <f t="shared" si="4"/>
        <v/>
      </c>
    </row>
    <row r="307" spans="8:8" x14ac:dyDescent="0.2">
      <c r="H307" t="str">
        <f t="shared" si="4"/>
        <v/>
      </c>
    </row>
    <row r="308" spans="8:8" x14ac:dyDescent="0.2">
      <c r="H308" t="str">
        <f t="shared" si="4"/>
        <v/>
      </c>
    </row>
    <row r="309" spans="8:8" x14ac:dyDescent="0.2">
      <c r="H309" t="str">
        <f t="shared" si="4"/>
        <v/>
      </c>
    </row>
    <row r="310" spans="8:8" x14ac:dyDescent="0.2">
      <c r="H310" t="str">
        <f t="shared" si="4"/>
        <v/>
      </c>
    </row>
    <row r="311" spans="8:8" x14ac:dyDescent="0.2">
      <c r="H311" t="str">
        <f t="shared" si="4"/>
        <v/>
      </c>
    </row>
    <row r="312" spans="8:8" x14ac:dyDescent="0.2">
      <c r="H312" t="str">
        <f t="shared" si="4"/>
        <v/>
      </c>
    </row>
    <row r="313" spans="8:8" x14ac:dyDescent="0.2">
      <c r="H313" t="str">
        <f t="shared" si="4"/>
        <v/>
      </c>
    </row>
    <row r="314" spans="8:8" x14ac:dyDescent="0.2">
      <c r="H314" t="str">
        <f t="shared" si="4"/>
        <v/>
      </c>
    </row>
    <row r="315" spans="8:8" x14ac:dyDescent="0.2">
      <c r="H315" t="str">
        <f t="shared" si="4"/>
        <v/>
      </c>
    </row>
    <row r="316" spans="8:8" x14ac:dyDescent="0.2">
      <c r="H316" t="str">
        <f t="shared" si="4"/>
        <v/>
      </c>
    </row>
    <row r="317" spans="8:8" x14ac:dyDescent="0.2">
      <c r="H317" t="str">
        <f t="shared" si="4"/>
        <v/>
      </c>
    </row>
    <row r="318" spans="8:8" x14ac:dyDescent="0.2">
      <c r="H318" t="str">
        <f t="shared" si="4"/>
        <v/>
      </c>
    </row>
    <row r="319" spans="8:8" x14ac:dyDescent="0.2">
      <c r="H319" t="str">
        <f t="shared" si="4"/>
        <v/>
      </c>
    </row>
    <row r="320" spans="8:8" x14ac:dyDescent="0.2">
      <c r="H320" t="str">
        <f t="shared" si="4"/>
        <v/>
      </c>
    </row>
    <row r="321" spans="8:8" x14ac:dyDescent="0.2">
      <c r="H321" t="str">
        <f t="shared" si="4"/>
        <v/>
      </c>
    </row>
    <row r="322" spans="8:8" x14ac:dyDescent="0.2">
      <c r="H322" t="str">
        <f t="shared" si="4"/>
        <v/>
      </c>
    </row>
    <row r="323" spans="8:8" x14ac:dyDescent="0.2">
      <c r="H323" t="str">
        <f t="shared" si="4"/>
        <v/>
      </c>
    </row>
    <row r="324" spans="8:8" x14ac:dyDescent="0.2">
      <c r="H324" t="str">
        <f t="shared" si="4"/>
        <v/>
      </c>
    </row>
    <row r="325" spans="8:8" x14ac:dyDescent="0.2">
      <c r="H325" t="str">
        <f t="shared" si="4"/>
        <v/>
      </c>
    </row>
    <row r="326" spans="8:8" x14ac:dyDescent="0.2">
      <c r="H326" t="str">
        <f t="shared" si="4"/>
        <v/>
      </c>
    </row>
    <row r="327" spans="8:8" x14ac:dyDescent="0.2">
      <c r="H327" t="str">
        <f t="shared" si="4"/>
        <v/>
      </c>
    </row>
    <row r="328" spans="8:8" x14ac:dyDescent="0.2">
      <c r="H328" t="str">
        <f t="shared" si="4"/>
        <v/>
      </c>
    </row>
    <row r="329" spans="8:8" x14ac:dyDescent="0.2">
      <c r="H329" t="str">
        <f t="shared" si="4"/>
        <v/>
      </c>
    </row>
    <row r="330" spans="8:8" x14ac:dyDescent="0.2">
      <c r="H330" t="str">
        <f t="shared" si="4"/>
        <v/>
      </c>
    </row>
    <row r="331" spans="8:8" x14ac:dyDescent="0.2">
      <c r="H331" t="str">
        <f t="shared" ref="H331:H336" si="5">IF(C330=0,"",C330)</f>
        <v/>
      </c>
    </row>
    <row r="332" spans="8:8" x14ac:dyDescent="0.2">
      <c r="H332" t="str">
        <f t="shared" si="5"/>
        <v/>
      </c>
    </row>
    <row r="333" spans="8:8" x14ac:dyDescent="0.2">
      <c r="H333" t="str">
        <f t="shared" si="5"/>
        <v/>
      </c>
    </row>
    <row r="334" spans="8:8" x14ac:dyDescent="0.2">
      <c r="H334" t="str">
        <f t="shared" si="5"/>
        <v/>
      </c>
    </row>
    <row r="335" spans="8:8" x14ac:dyDescent="0.2">
      <c r="H335" t="str">
        <f t="shared" si="5"/>
        <v/>
      </c>
    </row>
    <row r="336" spans="8:8" x14ac:dyDescent="0.2">
      <c r="H336" t="str">
        <f t="shared" si="5"/>
        <v/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4C9E7-54D5-4CCF-AE59-B9E0FAB76D94}">
  <sheetPr codeName="Sheet20"/>
  <dimension ref="A1:E7"/>
  <sheetViews>
    <sheetView workbookViewId="0">
      <selection activeCell="F2" sqref="F2"/>
    </sheetView>
  </sheetViews>
  <sheetFormatPr baseColWidth="10" defaultColWidth="8.83203125" defaultRowHeight="15" x14ac:dyDescent="0.2"/>
  <sheetData>
    <row r="1" spans="1:5" x14ac:dyDescent="0.2">
      <c r="A1" t="s">
        <v>167</v>
      </c>
      <c r="C1" t="s">
        <v>168</v>
      </c>
      <c r="E1" t="s">
        <v>169</v>
      </c>
    </row>
    <row r="2" spans="1:5" x14ac:dyDescent="0.2">
      <c r="A2">
        <f>Prematch!I15</f>
        <v>1000</v>
      </c>
      <c r="C2">
        <f>'Auto Path Backend 3'!E2</f>
        <v>0</v>
      </c>
      <c r="E2" t="e" cm="1">
        <f t="array" ref="E2">MAX(_xlfn.BYCOL(5:5, _xlfn.LAMBDA(_xlpm.ARRAY,IF(_xlpm.ARRAY="teleOp", COLUMN(_xlpm.ARRAY), 0))))</f>
        <v>#VALUE!</v>
      </c>
    </row>
    <row r="3" spans="1:5" x14ac:dyDescent="0.2">
      <c r="B3">
        <f>COLUMN(B3)</f>
        <v>2</v>
      </c>
    </row>
    <row r="4" spans="1:5" x14ac:dyDescent="0.2">
      <c r="A4" t="s">
        <v>170</v>
      </c>
    </row>
    <row r="5" spans="1:5" x14ac:dyDescent="0.2">
      <c r="A5" t="e" cm="1">
        <f t="array" ref="A5">_xlfn.CHOOSEROWS(7:100,C2)</f>
        <v>#VALUE!</v>
      </c>
    </row>
    <row r="6" spans="1:5" x14ac:dyDescent="0.2">
      <c r="A6" t="s">
        <v>171</v>
      </c>
    </row>
    <row r="7" spans="1:5" x14ac:dyDescent="0.2">
      <c r="A7" t="e" cm="1">
        <f t="array" ref="A7">IF(_xlfn.CHOOSEROWS(Sheet1!AD:FN,getDataRows(Sheet1!D:D,Sheet1!E:E,'Prematch Backend 6A'!A2))=0,"",_xlfn.CHOOSEROWS(Sheet1!AD:FN,getDataRows(Sheet1!D:D,Sheet1!E:E,'Prematch Backend 6A'!A2)))</f>
        <v>#VALUE!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1A70B-72DC-4F2A-9253-63D97A85A47A}">
  <sheetPr codeName="Sheet21"/>
  <dimension ref="A1:E1004"/>
  <sheetViews>
    <sheetView zoomScaleNormal="86" workbookViewId="0">
      <selection activeCell="F2" sqref="F2"/>
    </sheetView>
  </sheetViews>
  <sheetFormatPr baseColWidth="10" defaultColWidth="8.83203125" defaultRowHeight="15" x14ac:dyDescent="0.2"/>
  <sheetData>
    <row r="1" spans="1:5" x14ac:dyDescent="0.2">
      <c r="A1" t="s">
        <v>167</v>
      </c>
      <c r="C1" t="s">
        <v>168</v>
      </c>
      <c r="E1" t="s">
        <v>169</v>
      </c>
    </row>
    <row r="2" spans="1:5" x14ac:dyDescent="0.2">
      <c r="A2">
        <f>'Prematch Backend 6A'!A2</f>
        <v>1000</v>
      </c>
      <c r="C2">
        <f>'Auto Path Backend 3'!E2</f>
        <v>0</v>
      </c>
      <c r="E2">
        <f>COUNTA(5:5)</f>
        <v>1</v>
      </c>
    </row>
    <row r="3" spans="1:5" x14ac:dyDescent="0.2">
      <c r="B3">
        <f>COLUMN(B3)</f>
        <v>2</v>
      </c>
    </row>
    <row r="4" spans="1:5" x14ac:dyDescent="0.2">
      <c r="A4" t="s">
        <v>170</v>
      </c>
    </row>
    <row r="5" spans="1:5" x14ac:dyDescent="0.2">
      <c r="A5" t="e" cm="1">
        <f t="array" ref="A5">_xlfn.TOROW(_xlfn.CHOOSEROWS(B7:AAA100,_xlfn.MAKEARRAY(1,COUNTA(C7:C100),_xlfn.LAMBDA(_xlpm.r,_xlpm.c,_xlpm.c))),1)</f>
        <v>#VALUE!</v>
      </c>
    </row>
    <row r="6" spans="1:5" x14ac:dyDescent="0.2">
      <c r="A6" t="s">
        <v>171</v>
      </c>
    </row>
    <row r="7" spans="1:5" x14ac:dyDescent="0.2">
      <c r="A7" t="e" cm="1">
        <f t="array" ref="A7">IF(MAX(_xlfn.BYCOL('Prematch Backend 6A'!7:7, _xlfn.LAMBDA(_xlpm.ARRAY,IF(_xlpm.ARRAY="teleOp", COLUMN(_xlpm.ARRAY), 0))))=0,"",MAX(_xlfn.BYCOL('Prematch Backend 6A'!7:7, _xlfn.LAMBDA(_xlpm.ARRAY,IF(_xlpm.ARRAY="teleOp", COLUMN(_xlpm.ARRAY), 0)))))</f>
        <v>#VALUE!</v>
      </c>
      <c r="B7" t="e" cm="1">
        <f t="array" ref="B7">IF(A7="","",_xlfn.CHOOSECOLS('Prematch Backend 2A'!7:7,_xlfn.MAKEARRAY(1,A7-2,_xlfn.LAMBDA(_xlpm.r,_xlpm.c,_xlpm.c))))</f>
        <v>#VALUE!</v>
      </c>
    </row>
    <row r="8" spans="1:5" x14ac:dyDescent="0.2">
      <c r="A8" t="str" cm="1">
        <f t="array" ref="A8">IF(MAX(_xlfn.BYCOL('Prematch Backend 6A'!8:8, _xlfn.LAMBDA(_xlpm.ARRAY,IF(_xlpm.ARRAY="teleOp", COLUMN(_xlpm.ARRAY), 0))))=0,"",MAX(_xlfn.BYCOL('Prematch Backend 6A'!8:8, _xlfn.LAMBDA(_xlpm.ARRAY,IF(_xlpm.ARRAY="teleOp", COLUMN(_xlpm.ARRAY), 0)))))</f>
        <v/>
      </c>
      <c r="B8" t="str" cm="1">
        <f t="array" ref="B8">IF(A8="","",_xlfn.CHOOSECOLS('Prematch Backend 2A'!8:8,_xlfn.MAKEARRAY(1,A8-2,_xlfn.LAMBDA(_xlpm.r,_xlpm.c,_xlpm.c))))</f>
        <v/>
      </c>
    </row>
    <row r="9" spans="1:5" x14ac:dyDescent="0.2">
      <c r="A9" t="str" cm="1">
        <f t="array" ref="A9">IF(MAX(_xlfn.BYCOL('Prematch Backend 6A'!9:9, _xlfn.LAMBDA(_xlpm.ARRAY,IF(_xlpm.ARRAY="teleOp", COLUMN(_xlpm.ARRAY), 0))))=0,"",MAX(_xlfn.BYCOL('Prematch Backend 6A'!9:9, _xlfn.LAMBDA(_xlpm.ARRAY,IF(_xlpm.ARRAY="teleOp", COLUMN(_xlpm.ARRAY), 0)))))</f>
        <v/>
      </c>
      <c r="B9" t="str" cm="1">
        <f t="array" ref="B9">IF(A9="","",_xlfn.CHOOSECOLS('Prematch Backend 2A'!9:9,_xlfn.MAKEARRAY(1,A9-2,_xlfn.LAMBDA(_xlpm.r,_xlpm.c,_xlpm.c))))</f>
        <v/>
      </c>
    </row>
    <row r="10" spans="1:5" x14ac:dyDescent="0.2">
      <c r="A10" t="str" cm="1">
        <f t="array" ref="A10">IF(MAX(_xlfn.BYCOL('Prematch Backend 6A'!10:10, _xlfn.LAMBDA(_xlpm.ARRAY,IF(_xlpm.ARRAY="teleOp", COLUMN(_xlpm.ARRAY), 0))))=0,"",MAX(_xlfn.BYCOL('Prematch Backend 6A'!10:10, _xlfn.LAMBDA(_xlpm.ARRAY,IF(_xlpm.ARRAY="teleOp", COLUMN(_xlpm.ARRAY), 0)))))</f>
        <v/>
      </c>
      <c r="B10" t="str" cm="1">
        <f t="array" ref="B10">IF(A10="","",_xlfn.CHOOSECOLS('Prematch Backend 2A'!10:10,_xlfn.MAKEARRAY(1,A10-2,_xlfn.LAMBDA(_xlpm.r,_xlpm.c,_xlpm.c))))</f>
        <v/>
      </c>
    </row>
    <row r="11" spans="1:5" x14ac:dyDescent="0.2">
      <c r="A11" t="str" cm="1">
        <f t="array" ref="A11">IF(MAX(_xlfn.BYCOL('Prematch Backend 6A'!11:11, _xlfn.LAMBDA(_xlpm.ARRAY,IF(_xlpm.ARRAY="teleOp", COLUMN(_xlpm.ARRAY), 0))))=0,"",MAX(_xlfn.BYCOL('Prematch Backend 6A'!11:11, _xlfn.LAMBDA(_xlpm.ARRAY,IF(_xlpm.ARRAY="teleOp", COLUMN(_xlpm.ARRAY), 0)))))</f>
        <v/>
      </c>
      <c r="B11" t="str" cm="1">
        <f t="array" ref="B11">IF(A11="","",_xlfn.CHOOSECOLS('Prematch Backend 2A'!11:11,_xlfn.MAKEARRAY(1,A11-2,_xlfn.LAMBDA(_xlpm.r,_xlpm.c,_xlpm.c))))</f>
        <v/>
      </c>
    </row>
    <row r="12" spans="1:5" x14ac:dyDescent="0.2">
      <c r="A12" t="str" cm="1">
        <f t="array" ref="A12">IF(MAX(_xlfn.BYCOL('Prematch Backend 6A'!12:12, _xlfn.LAMBDA(_xlpm.ARRAY,IF(_xlpm.ARRAY="teleOp", COLUMN(_xlpm.ARRAY), 0))))=0,"",MAX(_xlfn.BYCOL('Prematch Backend 6A'!12:12, _xlfn.LAMBDA(_xlpm.ARRAY,IF(_xlpm.ARRAY="teleOp", COLUMN(_xlpm.ARRAY), 0)))))</f>
        <v/>
      </c>
      <c r="B12" t="str" cm="1">
        <f t="array" ref="B12">IF(A12="","",_xlfn.CHOOSECOLS('Prematch Backend 2A'!12:12,_xlfn.MAKEARRAY(1,A12-2,_xlfn.LAMBDA(_xlpm.r,_xlpm.c,_xlpm.c))))</f>
        <v/>
      </c>
    </row>
    <row r="13" spans="1:5" x14ac:dyDescent="0.2">
      <c r="B13" t="str" cm="1">
        <f t="array" ref="B13">IF(A13="","",_xlfn.CHOOSECOLS('Prematch Backend 2A'!13:13,_xlfn.MAKEARRAY(1,A13-2,_xlfn.LAMBDA(_xlpm.r,_xlpm.c,_xlpm.c))))</f>
        <v/>
      </c>
    </row>
    <row r="14" spans="1:5" x14ac:dyDescent="0.2">
      <c r="A14" t="str" cm="1">
        <f t="array" ref="A14">IF(MAX(_xlfn.BYCOL('Prematch Backend 6A'!14:14, _xlfn.LAMBDA(_xlpm.ARRAY,IF(_xlpm.ARRAY="teleOp", COLUMN(_xlpm.ARRAY), 0))))=0,"",MAX(_xlfn.BYCOL('Prematch Backend 6A'!14:14, _xlfn.LAMBDA(_xlpm.ARRAY,IF(_xlpm.ARRAY="teleOp", COLUMN(_xlpm.ARRAY), 0)))))</f>
        <v/>
      </c>
      <c r="B14" t="str" cm="1">
        <f t="array" ref="B14">IF(A14="","",_xlfn.CHOOSECOLS('Prematch Backend 2A'!14:14,_xlfn.MAKEARRAY(1,A14-2,_xlfn.LAMBDA(_xlpm.r,_xlpm.c,_xlpm.c))))</f>
        <v/>
      </c>
    </row>
    <row r="15" spans="1:5" x14ac:dyDescent="0.2">
      <c r="A15" t="str" cm="1">
        <f t="array" ref="A15">IF(MAX(_xlfn.BYCOL('Prematch Backend 6A'!15:15, _xlfn.LAMBDA(_xlpm.ARRAY,IF(_xlpm.ARRAY="teleOp", COLUMN(_xlpm.ARRAY), 0))))=0,"",MAX(_xlfn.BYCOL('Prematch Backend 6A'!15:15, _xlfn.LAMBDA(_xlpm.ARRAY,IF(_xlpm.ARRAY="teleOp", COLUMN(_xlpm.ARRAY), 0)))))</f>
        <v/>
      </c>
      <c r="B15" t="str" cm="1">
        <f t="array" ref="B15">IF(A15="","",_xlfn.CHOOSECOLS('Prematch Backend 2A'!15:15,_xlfn.MAKEARRAY(1,A15-2,_xlfn.LAMBDA(_xlpm.r,_xlpm.c,_xlpm.c))))</f>
        <v/>
      </c>
    </row>
    <row r="16" spans="1:5" x14ac:dyDescent="0.2">
      <c r="A16" t="str" cm="1">
        <f t="array" ref="A16">IF(MAX(_xlfn.BYCOL('Prematch Backend 6A'!16:16, _xlfn.LAMBDA(_xlpm.ARRAY,IF(_xlpm.ARRAY="teleOp", COLUMN(_xlpm.ARRAY), 0))))=0,"",MAX(_xlfn.BYCOL('Prematch Backend 6A'!16:16, _xlfn.LAMBDA(_xlpm.ARRAY,IF(_xlpm.ARRAY="teleOp", COLUMN(_xlpm.ARRAY), 0)))))</f>
        <v/>
      </c>
      <c r="B16" t="str" cm="1">
        <f t="array" ref="B16">IF(A16="","",_xlfn.CHOOSECOLS('Prematch Backend 2A'!16:16,_xlfn.MAKEARRAY(1,A16-2,_xlfn.LAMBDA(_xlpm.r,_xlpm.c,_xlpm.c))))</f>
        <v/>
      </c>
    </row>
    <row r="17" spans="1:2" x14ac:dyDescent="0.2">
      <c r="A17" t="str" cm="1">
        <f t="array" ref="A17">IF(MAX(_xlfn.BYCOL('Prematch Backend 6A'!17:17, _xlfn.LAMBDA(_xlpm.ARRAY,IF(_xlpm.ARRAY="teleOp", COLUMN(_xlpm.ARRAY), 0))))=0,"",MAX(_xlfn.BYCOL('Prematch Backend 6A'!17:17, _xlfn.LAMBDA(_xlpm.ARRAY,IF(_xlpm.ARRAY="teleOp", COLUMN(_xlpm.ARRAY), 0)))))</f>
        <v/>
      </c>
      <c r="B17" t="str" cm="1">
        <f t="array" ref="B17">IF(A17="","",_xlfn.CHOOSECOLS('Prematch Backend 2A'!17:17,_xlfn.MAKEARRAY(1,A17-2,_xlfn.LAMBDA(_xlpm.r,_xlpm.c,_xlpm.c))))</f>
        <v/>
      </c>
    </row>
    <row r="18" spans="1:2" x14ac:dyDescent="0.2">
      <c r="A18" t="str" cm="1">
        <f t="array" ref="A18">IF(MAX(_xlfn.BYCOL('Prematch Backend 6A'!18:18, _xlfn.LAMBDA(_xlpm.ARRAY,IF(_xlpm.ARRAY="teleOp", COLUMN(_xlpm.ARRAY), 0))))=0,"",MAX(_xlfn.BYCOL('Prematch Backend 6A'!18:18, _xlfn.LAMBDA(_xlpm.ARRAY,IF(_xlpm.ARRAY="teleOp", COLUMN(_xlpm.ARRAY), 0)))))</f>
        <v/>
      </c>
      <c r="B18" t="str" cm="1">
        <f t="array" ref="B18">IF(A18="","",_xlfn.CHOOSECOLS('Prematch Backend 2A'!18:18,_xlfn.MAKEARRAY(1,A18-2,_xlfn.LAMBDA(_xlpm.r,_xlpm.c,_xlpm.c))))</f>
        <v/>
      </c>
    </row>
    <row r="19" spans="1:2" x14ac:dyDescent="0.2">
      <c r="A19" t="str" cm="1">
        <f t="array" ref="A19">IF(MAX(_xlfn.BYCOL('Prematch Backend 6A'!19:19, _xlfn.LAMBDA(_xlpm.ARRAY,IF(_xlpm.ARRAY="teleOp", COLUMN(_xlpm.ARRAY), 0))))=0,"",MAX(_xlfn.BYCOL('Prematch Backend 6A'!19:19, _xlfn.LAMBDA(_xlpm.ARRAY,IF(_xlpm.ARRAY="teleOp", COLUMN(_xlpm.ARRAY), 0)))))</f>
        <v/>
      </c>
      <c r="B19" t="str" cm="1">
        <f t="array" ref="B19">IF(A19="","",_xlfn.CHOOSECOLS('Prematch Backend 2A'!19:19,_xlfn.MAKEARRAY(1,A19-2,_xlfn.LAMBDA(_xlpm.r,_xlpm.c,_xlpm.c))))</f>
        <v/>
      </c>
    </row>
    <row r="20" spans="1:2" x14ac:dyDescent="0.2">
      <c r="A20" t="str" cm="1">
        <f t="array" ref="A20">IF(MAX(_xlfn.BYCOL('Prematch Backend 6A'!20:20, _xlfn.LAMBDA(_xlpm.ARRAY,IF(_xlpm.ARRAY="teleOp", COLUMN(_xlpm.ARRAY), 0))))=0,"",MAX(_xlfn.BYCOL('Prematch Backend 6A'!20:20, _xlfn.LAMBDA(_xlpm.ARRAY,IF(_xlpm.ARRAY="teleOp", COLUMN(_xlpm.ARRAY), 0)))))</f>
        <v/>
      </c>
      <c r="B20" t="str" cm="1">
        <f t="array" ref="B20">IF(A20="","",_xlfn.CHOOSECOLS('Prematch Backend 2A'!20:20,_xlfn.MAKEARRAY(1,A20-2,_xlfn.LAMBDA(_xlpm.r,_xlpm.c,_xlpm.c))))</f>
        <v/>
      </c>
    </row>
    <row r="21" spans="1:2" x14ac:dyDescent="0.2">
      <c r="A21" t="str" cm="1">
        <f t="array" ref="A21">IF(MAX(_xlfn.BYCOL('Prematch Backend 6A'!21:21, _xlfn.LAMBDA(_xlpm.ARRAY,IF(_xlpm.ARRAY="teleOp", COLUMN(_xlpm.ARRAY), 0))))=0,"",MAX(_xlfn.BYCOL('Prematch Backend 6A'!21:21, _xlfn.LAMBDA(_xlpm.ARRAY,IF(_xlpm.ARRAY="teleOp", COLUMN(_xlpm.ARRAY), 0)))))</f>
        <v/>
      </c>
      <c r="B21" t="str" cm="1">
        <f t="array" ref="B21">IF(A21="","",_xlfn.CHOOSECOLS('Prematch Backend 2A'!21:21,_xlfn.MAKEARRAY(1,A21-2,_xlfn.LAMBDA(_xlpm.r,_xlpm.c,_xlpm.c))))</f>
        <v/>
      </c>
    </row>
    <row r="22" spans="1:2" x14ac:dyDescent="0.2">
      <c r="A22" t="str" cm="1">
        <f t="array" ref="A22">IF(MAX(_xlfn.BYCOL('Prematch Backend 6A'!22:22, _xlfn.LAMBDA(_xlpm.ARRAY,IF(_xlpm.ARRAY="teleOp", COLUMN(_xlpm.ARRAY), 0))))=0,"",MAX(_xlfn.BYCOL('Prematch Backend 6A'!22:22, _xlfn.LAMBDA(_xlpm.ARRAY,IF(_xlpm.ARRAY="teleOp", COLUMN(_xlpm.ARRAY), 0)))))</f>
        <v/>
      </c>
      <c r="B22" t="str" cm="1">
        <f t="array" ref="B22">IF(A22="","",_xlfn.CHOOSECOLS('Prematch Backend 2A'!22:22,_xlfn.MAKEARRAY(1,A22-2,_xlfn.LAMBDA(_xlpm.r,_xlpm.c,_xlpm.c))))</f>
        <v/>
      </c>
    </row>
    <row r="23" spans="1:2" x14ac:dyDescent="0.2">
      <c r="A23" t="str" cm="1">
        <f t="array" ref="A23">IF(MAX(_xlfn.BYCOL('Prematch Backend 6A'!23:23, _xlfn.LAMBDA(_xlpm.ARRAY,IF(_xlpm.ARRAY="teleOp", COLUMN(_xlpm.ARRAY), 0))))=0,"",MAX(_xlfn.BYCOL('Prematch Backend 6A'!23:23, _xlfn.LAMBDA(_xlpm.ARRAY,IF(_xlpm.ARRAY="teleOp", COLUMN(_xlpm.ARRAY), 0)))))</f>
        <v/>
      </c>
      <c r="B23" t="str" cm="1">
        <f t="array" ref="B23">IF(A23="","",_xlfn.CHOOSECOLS('Prematch Backend 2A'!23:23,_xlfn.MAKEARRAY(1,A23-2,_xlfn.LAMBDA(_xlpm.r,_xlpm.c,_xlpm.c))))</f>
        <v/>
      </c>
    </row>
    <row r="24" spans="1:2" x14ac:dyDescent="0.2">
      <c r="A24" t="str" cm="1">
        <f t="array" ref="A24">IF(MAX(_xlfn.BYCOL('Prematch Backend 6A'!24:24, _xlfn.LAMBDA(_xlpm.ARRAY,IF(_xlpm.ARRAY="teleOp", COLUMN(_xlpm.ARRAY), 0))))=0,"",MAX(_xlfn.BYCOL('Prematch Backend 6A'!24:24, _xlfn.LAMBDA(_xlpm.ARRAY,IF(_xlpm.ARRAY="teleOp", COLUMN(_xlpm.ARRAY), 0)))))</f>
        <v/>
      </c>
      <c r="B24" t="str" cm="1">
        <f t="array" ref="B24">IF(A24="","",_xlfn.CHOOSECOLS('Prematch Backend 2A'!24:24,_xlfn.MAKEARRAY(1,A24-2,_xlfn.LAMBDA(_xlpm.r,_xlpm.c,_xlpm.c))))</f>
        <v/>
      </c>
    </row>
    <row r="25" spans="1:2" x14ac:dyDescent="0.2">
      <c r="A25" t="str" cm="1">
        <f t="array" ref="A25">IF(MAX(_xlfn.BYCOL('Prematch Backend 6A'!25:25, _xlfn.LAMBDA(_xlpm.ARRAY,IF(_xlpm.ARRAY="teleOp", COLUMN(_xlpm.ARRAY), 0))))=0,"",MAX(_xlfn.BYCOL('Prematch Backend 6A'!25:25, _xlfn.LAMBDA(_xlpm.ARRAY,IF(_xlpm.ARRAY="teleOp", COLUMN(_xlpm.ARRAY), 0)))))</f>
        <v/>
      </c>
      <c r="B25" t="str" cm="1">
        <f t="array" ref="B25">IF(A25="","",_xlfn.CHOOSECOLS('Prematch Backend 2A'!25:25,_xlfn.MAKEARRAY(1,A25-2,_xlfn.LAMBDA(_xlpm.r,_xlpm.c,_xlpm.c))))</f>
        <v/>
      </c>
    </row>
    <row r="26" spans="1:2" x14ac:dyDescent="0.2">
      <c r="A26" t="str" cm="1">
        <f t="array" ref="A26">IF(MAX(_xlfn.BYCOL('Prematch Backend 6A'!26:26, _xlfn.LAMBDA(_xlpm.ARRAY,IF(_xlpm.ARRAY="teleOp", COLUMN(_xlpm.ARRAY), 0))))=0,"",MAX(_xlfn.BYCOL('Prematch Backend 6A'!26:26, _xlfn.LAMBDA(_xlpm.ARRAY,IF(_xlpm.ARRAY="teleOp", COLUMN(_xlpm.ARRAY), 0)))))</f>
        <v/>
      </c>
      <c r="B26" t="str" cm="1">
        <f t="array" ref="B26">IF(A26="","",_xlfn.CHOOSECOLS('Prematch Backend 2A'!26:26,_xlfn.MAKEARRAY(1,A26-2,_xlfn.LAMBDA(_xlpm.r,_xlpm.c,_xlpm.c))))</f>
        <v/>
      </c>
    </row>
    <row r="27" spans="1:2" x14ac:dyDescent="0.2">
      <c r="A27" t="str" cm="1">
        <f t="array" ref="A27">IF(MAX(_xlfn.BYCOL('Prematch Backend 6A'!27:27, _xlfn.LAMBDA(_xlpm.ARRAY,IF(_xlpm.ARRAY="teleOp", COLUMN(_xlpm.ARRAY), 0))))=0,"",MAX(_xlfn.BYCOL('Prematch Backend 6A'!27:27, _xlfn.LAMBDA(_xlpm.ARRAY,IF(_xlpm.ARRAY="teleOp", COLUMN(_xlpm.ARRAY), 0)))))</f>
        <v/>
      </c>
      <c r="B27" t="str" cm="1">
        <f t="array" ref="B27">IF(A27="","",_xlfn.CHOOSECOLS('Prematch Backend 2A'!27:27,_xlfn.MAKEARRAY(1,A27-2,_xlfn.LAMBDA(_xlpm.r,_xlpm.c,_xlpm.c))))</f>
        <v/>
      </c>
    </row>
    <row r="28" spans="1:2" x14ac:dyDescent="0.2">
      <c r="A28" t="str" cm="1">
        <f t="array" ref="A28">IF(MAX(_xlfn.BYCOL('Prematch Backend 6A'!28:28, _xlfn.LAMBDA(_xlpm.ARRAY,IF(_xlpm.ARRAY="teleOp", COLUMN(_xlpm.ARRAY), 0))))=0,"",MAX(_xlfn.BYCOL('Prematch Backend 6A'!28:28, _xlfn.LAMBDA(_xlpm.ARRAY,IF(_xlpm.ARRAY="teleOp", COLUMN(_xlpm.ARRAY), 0)))))</f>
        <v/>
      </c>
      <c r="B28" t="str" cm="1">
        <f t="array" ref="B28">IF(A28="","",_xlfn.CHOOSECOLS('Prematch Backend 2A'!28:28,_xlfn.MAKEARRAY(1,A28-2,_xlfn.LAMBDA(_xlpm.r,_xlpm.c,_xlpm.c))))</f>
        <v/>
      </c>
    </row>
    <row r="29" spans="1:2" x14ac:dyDescent="0.2">
      <c r="A29" t="str" cm="1">
        <f t="array" ref="A29">IF(MAX(_xlfn.BYCOL('Prematch Backend 6A'!29:29, _xlfn.LAMBDA(_xlpm.ARRAY,IF(_xlpm.ARRAY="teleOp", COLUMN(_xlpm.ARRAY), 0))))=0,"",MAX(_xlfn.BYCOL('Prematch Backend 6A'!29:29, _xlfn.LAMBDA(_xlpm.ARRAY,IF(_xlpm.ARRAY="teleOp", COLUMN(_xlpm.ARRAY), 0)))))</f>
        <v/>
      </c>
      <c r="B29" t="str" cm="1">
        <f t="array" ref="B29">IF(A29="","",_xlfn.CHOOSECOLS('Prematch Backend 2A'!29:29,_xlfn.MAKEARRAY(1,A29-2,_xlfn.LAMBDA(_xlpm.r,_xlpm.c,_xlpm.c))))</f>
        <v/>
      </c>
    </row>
    <row r="30" spans="1:2" x14ac:dyDescent="0.2">
      <c r="A30" t="str" cm="1">
        <f t="array" ref="A30">IF(MAX(_xlfn.BYCOL('Prematch Backend 6A'!30:30, _xlfn.LAMBDA(_xlpm.ARRAY,IF(_xlpm.ARRAY="teleOp", COLUMN(_xlpm.ARRAY), 0))))=0,"",MAX(_xlfn.BYCOL('Prematch Backend 6A'!30:30, _xlfn.LAMBDA(_xlpm.ARRAY,IF(_xlpm.ARRAY="teleOp", COLUMN(_xlpm.ARRAY), 0)))))</f>
        <v/>
      </c>
      <c r="B30" t="str" cm="1">
        <f t="array" ref="B30">IF(A30="","",_xlfn.CHOOSECOLS('Prematch Backend 2A'!30:30,_xlfn.MAKEARRAY(1,A30-2,_xlfn.LAMBDA(_xlpm.r,_xlpm.c,_xlpm.c))))</f>
        <v/>
      </c>
    </row>
    <row r="31" spans="1:2" x14ac:dyDescent="0.2">
      <c r="A31" t="str" cm="1">
        <f t="array" ref="A31">IF(MAX(_xlfn.BYCOL('Prematch Backend 6A'!31:31, _xlfn.LAMBDA(_xlpm.ARRAY,IF(_xlpm.ARRAY="teleOp", COLUMN(_xlpm.ARRAY), 0))))=0,"",MAX(_xlfn.BYCOL('Prematch Backend 6A'!31:31, _xlfn.LAMBDA(_xlpm.ARRAY,IF(_xlpm.ARRAY="teleOp", COLUMN(_xlpm.ARRAY), 0)))))</f>
        <v/>
      </c>
      <c r="B31" t="str" cm="1">
        <f t="array" ref="B31">IF(A31="","",_xlfn.CHOOSECOLS('Prematch Backend 2A'!31:31,_xlfn.MAKEARRAY(1,A31-2,_xlfn.LAMBDA(_xlpm.r,_xlpm.c,_xlpm.c))))</f>
        <v/>
      </c>
    </row>
    <row r="32" spans="1:2" x14ac:dyDescent="0.2">
      <c r="A32" t="str" cm="1">
        <f t="array" ref="A32">IF(MAX(_xlfn.BYCOL('Prematch Backend 6A'!32:32, _xlfn.LAMBDA(_xlpm.ARRAY,IF(_xlpm.ARRAY="teleOp", COLUMN(_xlpm.ARRAY), 0))))=0,"",MAX(_xlfn.BYCOL('Prematch Backend 6A'!32:32, _xlfn.LAMBDA(_xlpm.ARRAY,IF(_xlpm.ARRAY="teleOp", COLUMN(_xlpm.ARRAY), 0)))))</f>
        <v/>
      </c>
      <c r="B32" t="str" cm="1">
        <f t="array" ref="B32">IF(A32="","",_xlfn.CHOOSECOLS('Prematch Backend 2A'!32:32,_xlfn.MAKEARRAY(1,A32-2,_xlfn.LAMBDA(_xlpm.r,_xlpm.c,_xlpm.c))))</f>
        <v/>
      </c>
    </row>
    <row r="33" spans="1:2" x14ac:dyDescent="0.2">
      <c r="A33" t="str" cm="1">
        <f t="array" ref="A33">IF(MAX(_xlfn.BYCOL('Prematch Backend 6A'!33:33, _xlfn.LAMBDA(_xlpm.ARRAY,IF(_xlpm.ARRAY="teleOp", COLUMN(_xlpm.ARRAY), 0))))=0,"",MAX(_xlfn.BYCOL('Prematch Backend 6A'!33:33, _xlfn.LAMBDA(_xlpm.ARRAY,IF(_xlpm.ARRAY="teleOp", COLUMN(_xlpm.ARRAY), 0)))))</f>
        <v/>
      </c>
      <c r="B33" t="str" cm="1">
        <f t="array" ref="B33">IF(A33="","",_xlfn.CHOOSECOLS('Prematch Backend 2A'!33:33,_xlfn.MAKEARRAY(1,A33-2,_xlfn.LAMBDA(_xlpm.r,_xlpm.c,_xlpm.c))))</f>
        <v/>
      </c>
    </row>
    <row r="34" spans="1:2" x14ac:dyDescent="0.2">
      <c r="A34" t="str" cm="1">
        <f t="array" ref="A34">IF(MAX(_xlfn.BYCOL('Prematch Backend 6A'!34:34, _xlfn.LAMBDA(_xlpm.ARRAY,IF(_xlpm.ARRAY="teleOp", COLUMN(_xlpm.ARRAY), 0))))=0,"",MAX(_xlfn.BYCOL('Prematch Backend 6A'!34:34, _xlfn.LAMBDA(_xlpm.ARRAY,IF(_xlpm.ARRAY="teleOp", COLUMN(_xlpm.ARRAY), 0)))))</f>
        <v/>
      </c>
      <c r="B34" t="str" cm="1">
        <f t="array" ref="B34">IF(A34="","",_xlfn.CHOOSECOLS('Prematch Backend 2A'!34:34,_xlfn.MAKEARRAY(1,A34-2,_xlfn.LAMBDA(_xlpm.r,_xlpm.c,_xlpm.c))))</f>
        <v/>
      </c>
    </row>
    <row r="35" spans="1:2" x14ac:dyDescent="0.2">
      <c r="A35" t="str" cm="1">
        <f t="array" ref="A35">IF(MAX(_xlfn.BYCOL('Prematch Backend 6A'!35:35, _xlfn.LAMBDA(_xlpm.ARRAY,IF(_xlpm.ARRAY="teleOp", COLUMN(_xlpm.ARRAY), 0))))=0,"",MAX(_xlfn.BYCOL('Prematch Backend 6A'!35:35, _xlfn.LAMBDA(_xlpm.ARRAY,IF(_xlpm.ARRAY="teleOp", COLUMN(_xlpm.ARRAY), 0)))))</f>
        <v/>
      </c>
      <c r="B35" t="str" cm="1">
        <f t="array" ref="B35">IF(A35="","",_xlfn.CHOOSECOLS('Prematch Backend 2A'!35:35,_xlfn.MAKEARRAY(1,A35-2,_xlfn.LAMBDA(_xlpm.r,_xlpm.c,_xlpm.c))))</f>
        <v/>
      </c>
    </row>
    <row r="36" spans="1:2" x14ac:dyDescent="0.2">
      <c r="A36" t="str" cm="1">
        <f t="array" ref="A36">IF(MAX(_xlfn.BYCOL('Prematch Backend 6A'!36:36, _xlfn.LAMBDA(_xlpm.ARRAY,IF(_xlpm.ARRAY="teleOp", COLUMN(_xlpm.ARRAY), 0))))=0,"",MAX(_xlfn.BYCOL('Prematch Backend 6A'!36:36, _xlfn.LAMBDA(_xlpm.ARRAY,IF(_xlpm.ARRAY="teleOp", COLUMN(_xlpm.ARRAY), 0)))))</f>
        <v/>
      </c>
      <c r="B36" t="str" cm="1">
        <f t="array" ref="B36">IF(A36="","",_xlfn.CHOOSECOLS('Prematch Backend 2A'!36:36,_xlfn.MAKEARRAY(1,A36-2,_xlfn.LAMBDA(_xlpm.r,_xlpm.c,_xlpm.c))))</f>
        <v/>
      </c>
    </row>
    <row r="37" spans="1:2" x14ac:dyDescent="0.2">
      <c r="A37" t="str" cm="1">
        <f t="array" ref="A37">IF(MAX(_xlfn.BYCOL('Prematch Backend 6A'!37:37, _xlfn.LAMBDA(_xlpm.ARRAY,IF(_xlpm.ARRAY="teleOp", COLUMN(_xlpm.ARRAY), 0))))=0,"",MAX(_xlfn.BYCOL('Prematch Backend 6A'!37:37, _xlfn.LAMBDA(_xlpm.ARRAY,IF(_xlpm.ARRAY="teleOp", COLUMN(_xlpm.ARRAY), 0)))))</f>
        <v/>
      </c>
      <c r="B37" t="str" cm="1">
        <f t="array" ref="B37">IF(A37="","",_xlfn.CHOOSECOLS('Prematch Backend 2A'!37:37,_xlfn.MAKEARRAY(1,A37-2,_xlfn.LAMBDA(_xlpm.r,_xlpm.c,_xlpm.c))))</f>
        <v/>
      </c>
    </row>
    <row r="38" spans="1:2" x14ac:dyDescent="0.2">
      <c r="A38" t="str" cm="1">
        <f t="array" ref="A38">IF(MAX(_xlfn.BYCOL('Prematch Backend 6A'!38:38, _xlfn.LAMBDA(_xlpm.ARRAY,IF(_xlpm.ARRAY="teleOp", COLUMN(_xlpm.ARRAY), 0))))=0,"",MAX(_xlfn.BYCOL('Prematch Backend 6A'!38:38, _xlfn.LAMBDA(_xlpm.ARRAY,IF(_xlpm.ARRAY="teleOp", COLUMN(_xlpm.ARRAY), 0)))))</f>
        <v/>
      </c>
      <c r="B38" t="str" cm="1">
        <f t="array" ref="B38">IF(A38="","",_xlfn.CHOOSECOLS('Prematch Backend 2A'!38:38,_xlfn.MAKEARRAY(1,A38-2,_xlfn.LAMBDA(_xlpm.r,_xlpm.c,_xlpm.c))))</f>
        <v/>
      </c>
    </row>
    <row r="39" spans="1:2" x14ac:dyDescent="0.2">
      <c r="A39" t="str" cm="1">
        <f t="array" ref="A39">IF(MAX(_xlfn.BYCOL('Prematch Backend 6A'!39:39, _xlfn.LAMBDA(_xlpm.ARRAY,IF(_xlpm.ARRAY="teleOp", COLUMN(_xlpm.ARRAY), 0))))=0,"",MAX(_xlfn.BYCOL('Prematch Backend 6A'!39:39, _xlfn.LAMBDA(_xlpm.ARRAY,IF(_xlpm.ARRAY="teleOp", COLUMN(_xlpm.ARRAY), 0)))))</f>
        <v/>
      </c>
      <c r="B39" t="str" cm="1">
        <f t="array" ref="B39">IF(A39="","",_xlfn.CHOOSECOLS('Prematch Backend 2A'!39:39,_xlfn.MAKEARRAY(1,A39-2,_xlfn.LAMBDA(_xlpm.r,_xlpm.c,_xlpm.c))))</f>
        <v/>
      </c>
    </row>
    <row r="40" spans="1:2" x14ac:dyDescent="0.2">
      <c r="A40" t="str" cm="1">
        <f t="array" ref="A40">IF(MAX(_xlfn.BYCOL('Prematch Backend 6A'!40:40, _xlfn.LAMBDA(_xlpm.ARRAY,IF(_xlpm.ARRAY="teleOp", COLUMN(_xlpm.ARRAY), 0))))=0,"",MAX(_xlfn.BYCOL('Prematch Backend 6A'!40:40, _xlfn.LAMBDA(_xlpm.ARRAY,IF(_xlpm.ARRAY="teleOp", COLUMN(_xlpm.ARRAY), 0)))))</f>
        <v/>
      </c>
      <c r="B40" t="str" cm="1">
        <f t="array" ref="B40">IF(A40="","",_xlfn.CHOOSECOLS('Prematch Backend 2A'!40:40,_xlfn.MAKEARRAY(1,A40-2,_xlfn.LAMBDA(_xlpm.r,_xlpm.c,_xlpm.c))))</f>
        <v/>
      </c>
    </row>
    <row r="41" spans="1:2" x14ac:dyDescent="0.2">
      <c r="A41" t="str" cm="1">
        <f t="array" ref="A41">IF(MAX(_xlfn.BYCOL('Prematch Backend 6A'!41:41, _xlfn.LAMBDA(_xlpm.ARRAY,IF(_xlpm.ARRAY="teleOp", COLUMN(_xlpm.ARRAY), 0))))=0,"",MAX(_xlfn.BYCOL('Prematch Backend 6A'!41:41, _xlfn.LAMBDA(_xlpm.ARRAY,IF(_xlpm.ARRAY="teleOp", COLUMN(_xlpm.ARRAY), 0)))))</f>
        <v/>
      </c>
      <c r="B41" t="str" cm="1">
        <f t="array" ref="B41">IF(A41="","",_xlfn.CHOOSECOLS('Prematch Backend 2A'!41:41,_xlfn.MAKEARRAY(1,A41-2,_xlfn.LAMBDA(_xlpm.r,_xlpm.c,_xlpm.c))))</f>
        <v/>
      </c>
    </row>
    <row r="42" spans="1:2" x14ac:dyDescent="0.2">
      <c r="A42" t="str" cm="1">
        <f t="array" ref="A42">IF(MAX(_xlfn.BYCOL('Prematch Backend 6A'!42:42, _xlfn.LAMBDA(_xlpm.ARRAY,IF(_xlpm.ARRAY="teleOp", COLUMN(_xlpm.ARRAY), 0))))=0,"",MAX(_xlfn.BYCOL('Prematch Backend 6A'!42:42, _xlfn.LAMBDA(_xlpm.ARRAY,IF(_xlpm.ARRAY="teleOp", COLUMN(_xlpm.ARRAY), 0)))))</f>
        <v/>
      </c>
      <c r="B42" t="str" cm="1">
        <f t="array" ref="B42">IF(A42="","",_xlfn.CHOOSECOLS('Prematch Backend 2A'!42:42,_xlfn.MAKEARRAY(1,A42-2,_xlfn.LAMBDA(_xlpm.r,_xlpm.c,_xlpm.c))))</f>
        <v/>
      </c>
    </row>
    <row r="43" spans="1:2" x14ac:dyDescent="0.2">
      <c r="A43" t="str" cm="1">
        <f t="array" ref="A43">IF(MAX(_xlfn.BYCOL('Prematch Backend 6A'!43:43, _xlfn.LAMBDA(_xlpm.ARRAY,IF(_xlpm.ARRAY="teleOp", COLUMN(_xlpm.ARRAY), 0))))=0,"",MAX(_xlfn.BYCOL('Prematch Backend 6A'!43:43, _xlfn.LAMBDA(_xlpm.ARRAY,IF(_xlpm.ARRAY="teleOp", COLUMN(_xlpm.ARRAY), 0)))))</f>
        <v/>
      </c>
      <c r="B43" t="str" cm="1">
        <f t="array" ref="B43">IF(A43="","",_xlfn.CHOOSECOLS('Prematch Backend 2A'!43:43,_xlfn.MAKEARRAY(1,A43-2,_xlfn.LAMBDA(_xlpm.r,_xlpm.c,_xlpm.c))))</f>
        <v/>
      </c>
    </row>
    <row r="44" spans="1:2" x14ac:dyDescent="0.2">
      <c r="A44" t="str" cm="1">
        <f t="array" ref="A44">IF(MAX(_xlfn.BYCOL('Prematch Backend 6A'!44:44, _xlfn.LAMBDA(_xlpm.ARRAY,IF(_xlpm.ARRAY="teleOp", COLUMN(_xlpm.ARRAY), 0))))=0,"",MAX(_xlfn.BYCOL('Prematch Backend 6A'!44:44, _xlfn.LAMBDA(_xlpm.ARRAY,IF(_xlpm.ARRAY="teleOp", COLUMN(_xlpm.ARRAY), 0)))))</f>
        <v/>
      </c>
      <c r="B44" t="str" cm="1">
        <f t="array" ref="B44">IF(A44="","",_xlfn.CHOOSECOLS('Prematch Backend 2A'!44:44,_xlfn.MAKEARRAY(1,A44-2,_xlfn.LAMBDA(_xlpm.r,_xlpm.c,_xlpm.c))))</f>
        <v/>
      </c>
    </row>
    <row r="45" spans="1:2" x14ac:dyDescent="0.2">
      <c r="A45" t="str" cm="1">
        <f t="array" ref="A45">IF(MAX(_xlfn.BYCOL('Prematch Backend 6A'!45:45, _xlfn.LAMBDA(_xlpm.ARRAY,IF(_xlpm.ARRAY="teleOp", COLUMN(_xlpm.ARRAY), 0))))=0,"",MAX(_xlfn.BYCOL('Prematch Backend 6A'!45:45, _xlfn.LAMBDA(_xlpm.ARRAY,IF(_xlpm.ARRAY="teleOp", COLUMN(_xlpm.ARRAY), 0)))))</f>
        <v/>
      </c>
      <c r="B45" t="str" cm="1">
        <f t="array" ref="B45">IF(A45="","",_xlfn.CHOOSECOLS('Prematch Backend 2A'!45:45,_xlfn.MAKEARRAY(1,A45-2,_xlfn.LAMBDA(_xlpm.r,_xlpm.c,_xlpm.c))))</f>
        <v/>
      </c>
    </row>
    <row r="46" spans="1:2" x14ac:dyDescent="0.2">
      <c r="A46" t="str" cm="1">
        <f t="array" ref="A46">IF(MAX(_xlfn.BYCOL('Prematch Backend 6A'!46:46, _xlfn.LAMBDA(_xlpm.ARRAY,IF(_xlpm.ARRAY="teleOp", COLUMN(_xlpm.ARRAY), 0))))=0,"",MAX(_xlfn.BYCOL('Prematch Backend 6A'!46:46, _xlfn.LAMBDA(_xlpm.ARRAY,IF(_xlpm.ARRAY="teleOp", COLUMN(_xlpm.ARRAY), 0)))))</f>
        <v/>
      </c>
      <c r="B46" t="str" cm="1">
        <f t="array" ref="B46">IF(A46="","",_xlfn.CHOOSECOLS('Prematch Backend 2A'!46:46,_xlfn.MAKEARRAY(1,A46-2,_xlfn.LAMBDA(_xlpm.r,_xlpm.c,_xlpm.c))))</f>
        <v/>
      </c>
    </row>
    <row r="47" spans="1:2" x14ac:dyDescent="0.2">
      <c r="A47" t="str" cm="1">
        <f t="array" ref="A47">IF(MAX(_xlfn.BYCOL('Prematch Backend 6A'!47:47, _xlfn.LAMBDA(_xlpm.ARRAY,IF(_xlpm.ARRAY="teleOp", COLUMN(_xlpm.ARRAY), 0))))=0,"",MAX(_xlfn.BYCOL('Prematch Backend 6A'!47:47, _xlfn.LAMBDA(_xlpm.ARRAY,IF(_xlpm.ARRAY="teleOp", COLUMN(_xlpm.ARRAY), 0)))))</f>
        <v/>
      </c>
      <c r="B47" t="str" cm="1">
        <f t="array" ref="B47">IF(A47="","",_xlfn.CHOOSECOLS('Prematch Backend 2A'!47:47,_xlfn.MAKEARRAY(1,A47-2,_xlfn.LAMBDA(_xlpm.r,_xlpm.c,_xlpm.c))))</f>
        <v/>
      </c>
    </row>
    <row r="48" spans="1:2" x14ac:dyDescent="0.2">
      <c r="A48" t="str" cm="1">
        <f t="array" ref="A48">IF(MAX(_xlfn.BYCOL('Prematch Backend 6A'!48:48, _xlfn.LAMBDA(_xlpm.ARRAY,IF(_xlpm.ARRAY="teleOp", COLUMN(_xlpm.ARRAY), 0))))=0,"",MAX(_xlfn.BYCOL('Prematch Backend 6A'!48:48, _xlfn.LAMBDA(_xlpm.ARRAY,IF(_xlpm.ARRAY="teleOp", COLUMN(_xlpm.ARRAY), 0)))))</f>
        <v/>
      </c>
      <c r="B48" t="str" cm="1">
        <f t="array" ref="B48">IF(A48="","",_xlfn.CHOOSECOLS('Prematch Backend 2A'!48:48,_xlfn.MAKEARRAY(1,A48-2,_xlfn.LAMBDA(_xlpm.r,_xlpm.c,_xlpm.c))))</f>
        <v/>
      </c>
    </row>
    <row r="49" spans="1:2" x14ac:dyDescent="0.2">
      <c r="A49" t="str" cm="1">
        <f t="array" ref="A49">IF(MAX(_xlfn.BYCOL('Prematch Backend 6A'!49:49, _xlfn.LAMBDA(_xlpm.ARRAY,IF(_xlpm.ARRAY="teleOp", COLUMN(_xlpm.ARRAY), 0))))=0,"",MAX(_xlfn.BYCOL('Prematch Backend 6A'!49:49, _xlfn.LAMBDA(_xlpm.ARRAY,IF(_xlpm.ARRAY="teleOp", COLUMN(_xlpm.ARRAY), 0)))))</f>
        <v/>
      </c>
      <c r="B49" t="str" cm="1">
        <f t="array" ref="B49">IF(A49="","",_xlfn.CHOOSECOLS('Prematch Backend 2A'!49:49,_xlfn.MAKEARRAY(1,A49-2,_xlfn.LAMBDA(_xlpm.r,_xlpm.c,_xlpm.c))))</f>
        <v/>
      </c>
    </row>
    <row r="50" spans="1:2" x14ac:dyDescent="0.2">
      <c r="A50" t="str" cm="1">
        <f t="array" ref="A50">IF(MAX(_xlfn.BYCOL('Prematch Backend 6A'!50:50, _xlfn.LAMBDA(_xlpm.ARRAY,IF(_xlpm.ARRAY="teleOp", COLUMN(_xlpm.ARRAY), 0))))=0,"",MAX(_xlfn.BYCOL('Prematch Backend 6A'!50:50, _xlfn.LAMBDA(_xlpm.ARRAY,IF(_xlpm.ARRAY="teleOp", COLUMN(_xlpm.ARRAY), 0)))))</f>
        <v/>
      </c>
      <c r="B50" t="str" cm="1">
        <f t="array" ref="B50">IF(A50="","",_xlfn.CHOOSECOLS('Prematch Backend 2A'!50:50,_xlfn.MAKEARRAY(1,A50-2,_xlfn.LAMBDA(_xlpm.r,_xlpm.c,_xlpm.c))))</f>
        <v/>
      </c>
    </row>
    <row r="51" spans="1:2" x14ac:dyDescent="0.2">
      <c r="A51" t="str" cm="1">
        <f t="array" ref="A51">IF(MAX(_xlfn.BYCOL('Prematch Backend 6A'!51:51, _xlfn.LAMBDA(_xlpm.ARRAY,IF(_xlpm.ARRAY="teleOp", COLUMN(_xlpm.ARRAY), 0))))=0,"",MAX(_xlfn.BYCOL('Prematch Backend 6A'!51:51, _xlfn.LAMBDA(_xlpm.ARRAY,IF(_xlpm.ARRAY="teleOp", COLUMN(_xlpm.ARRAY), 0)))))</f>
        <v/>
      </c>
      <c r="B51" t="str" cm="1">
        <f t="array" ref="B51">IF(A51="","",_xlfn.CHOOSECOLS('Prematch Backend 2A'!51:51,_xlfn.MAKEARRAY(1,A51-2,_xlfn.LAMBDA(_xlpm.r,_xlpm.c,_xlpm.c))))</f>
        <v/>
      </c>
    </row>
    <row r="52" spans="1:2" x14ac:dyDescent="0.2">
      <c r="A52" t="str" cm="1">
        <f t="array" ref="A52">IF(MAX(_xlfn.BYCOL('Prematch Backend 6A'!52:52, _xlfn.LAMBDA(_xlpm.ARRAY,IF(_xlpm.ARRAY="teleOp", COLUMN(_xlpm.ARRAY), 0))))=0,"",MAX(_xlfn.BYCOL('Prematch Backend 6A'!52:52, _xlfn.LAMBDA(_xlpm.ARRAY,IF(_xlpm.ARRAY="teleOp", COLUMN(_xlpm.ARRAY), 0)))))</f>
        <v/>
      </c>
      <c r="B52" t="str" cm="1">
        <f t="array" ref="B52">IF(A52="","",_xlfn.CHOOSECOLS('Prematch Backend 2A'!52:52,_xlfn.MAKEARRAY(1,A52-2,_xlfn.LAMBDA(_xlpm.r,_xlpm.c,_xlpm.c))))</f>
        <v/>
      </c>
    </row>
    <row r="53" spans="1:2" x14ac:dyDescent="0.2">
      <c r="A53" t="str" cm="1">
        <f t="array" ref="A53">IF(MAX(_xlfn.BYCOL('Prematch Backend 6A'!53:53, _xlfn.LAMBDA(_xlpm.ARRAY,IF(_xlpm.ARRAY="teleOp", COLUMN(_xlpm.ARRAY), 0))))=0,"",MAX(_xlfn.BYCOL('Prematch Backend 6A'!53:53, _xlfn.LAMBDA(_xlpm.ARRAY,IF(_xlpm.ARRAY="teleOp", COLUMN(_xlpm.ARRAY), 0)))))</f>
        <v/>
      </c>
      <c r="B53" t="str" cm="1">
        <f t="array" ref="B53">IF(A53="","",_xlfn.CHOOSECOLS('Prematch Backend 2A'!53:53,_xlfn.MAKEARRAY(1,A53-2,_xlfn.LAMBDA(_xlpm.r,_xlpm.c,_xlpm.c))))</f>
        <v/>
      </c>
    </row>
    <row r="54" spans="1:2" x14ac:dyDescent="0.2">
      <c r="A54" t="str" cm="1">
        <f t="array" ref="A54">IF(MAX(_xlfn.BYCOL('Prematch Backend 6A'!54:54, _xlfn.LAMBDA(_xlpm.ARRAY,IF(_xlpm.ARRAY="teleOp", COLUMN(_xlpm.ARRAY), 0))))=0,"",MAX(_xlfn.BYCOL('Prematch Backend 6A'!54:54, _xlfn.LAMBDA(_xlpm.ARRAY,IF(_xlpm.ARRAY="teleOp", COLUMN(_xlpm.ARRAY), 0)))))</f>
        <v/>
      </c>
      <c r="B54" t="str" cm="1">
        <f t="array" ref="B54">IF(A54="","",_xlfn.CHOOSECOLS('Prematch Backend 2A'!54:54,_xlfn.MAKEARRAY(1,A54-2,_xlfn.LAMBDA(_xlpm.r,_xlpm.c,_xlpm.c))))</f>
        <v/>
      </c>
    </row>
    <row r="55" spans="1:2" x14ac:dyDescent="0.2">
      <c r="A55" t="str" cm="1">
        <f t="array" ref="A55">IF(MAX(_xlfn.BYCOL('Prematch Backend 6A'!55:55, _xlfn.LAMBDA(_xlpm.ARRAY,IF(_xlpm.ARRAY="teleOp", COLUMN(_xlpm.ARRAY), 0))))=0,"",MAX(_xlfn.BYCOL('Prematch Backend 6A'!55:55, _xlfn.LAMBDA(_xlpm.ARRAY,IF(_xlpm.ARRAY="teleOp", COLUMN(_xlpm.ARRAY), 0)))))</f>
        <v/>
      </c>
      <c r="B55" t="str" cm="1">
        <f t="array" ref="B55">IF(A55="","",_xlfn.CHOOSECOLS('Prematch Backend 2A'!55:55,_xlfn.MAKEARRAY(1,A55-2,_xlfn.LAMBDA(_xlpm.r,_xlpm.c,_xlpm.c))))</f>
        <v/>
      </c>
    </row>
    <row r="56" spans="1:2" x14ac:dyDescent="0.2">
      <c r="A56" t="str" cm="1">
        <f t="array" ref="A56">IF(MAX(_xlfn.BYCOL('Prematch Backend 6A'!56:56, _xlfn.LAMBDA(_xlpm.ARRAY,IF(_xlpm.ARRAY="teleOp", COLUMN(_xlpm.ARRAY), 0))))=0,"",MAX(_xlfn.BYCOL('Prematch Backend 6A'!56:56, _xlfn.LAMBDA(_xlpm.ARRAY,IF(_xlpm.ARRAY="teleOp", COLUMN(_xlpm.ARRAY), 0)))))</f>
        <v/>
      </c>
      <c r="B56" t="str" cm="1">
        <f t="array" ref="B56">IF(A56="","",_xlfn.CHOOSECOLS('Prematch Backend 2A'!56:56,_xlfn.MAKEARRAY(1,A56-2,_xlfn.LAMBDA(_xlpm.r,_xlpm.c,_xlpm.c))))</f>
        <v/>
      </c>
    </row>
    <row r="57" spans="1:2" x14ac:dyDescent="0.2">
      <c r="A57" t="str" cm="1">
        <f t="array" ref="A57">IF(MAX(_xlfn.BYCOL('Prematch Backend 6A'!57:57, _xlfn.LAMBDA(_xlpm.ARRAY,IF(_xlpm.ARRAY="teleOp", COLUMN(_xlpm.ARRAY), 0))))=0,"",MAX(_xlfn.BYCOL('Prematch Backend 6A'!57:57, _xlfn.LAMBDA(_xlpm.ARRAY,IF(_xlpm.ARRAY="teleOp", COLUMN(_xlpm.ARRAY), 0)))))</f>
        <v/>
      </c>
      <c r="B57" t="str" cm="1">
        <f t="array" ref="B57">IF(A57="","",_xlfn.CHOOSECOLS('Prematch Backend 2A'!57:57,_xlfn.MAKEARRAY(1,A57-2,_xlfn.LAMBDA(_xlpm.r,_xlpm.c,_xlpm.c))))</f>
        <v/>
      </c>
    </row>
    <row r="58" spans="1:2" x14ac:dyDescent="0.2">
      <c r="A58" t="str" cm="1">
        <f t="array" ref="A58">IF(MAX(_xlfn.BYCOL('Prematch Backend 6A'!58:58, _xlfn.LAMBDA(_xlpm.ARRAY,IF(_xlpm.ARRAY="teleOp", COLUMN(_xlpm.ARRAY), 0))))=0,"",MAX(_xlfn.BYCOL('Prematch Backend 6A'!58:58, _xlfn.LAMBDA(_xlpm.ARRAY,IF(_xlpm.ARRAY="teleOp", COLUMN(_xlpm.ARRAY), 0)))))</f>
        <v/>
      </c>
      <c r="B58" t="str" cm="1">
        <f t="array" ref="B58">IF(A58="","",_xlfn.CHOOSECOLS('Prematch Backend 2A'!58:58,_xlfn.MAKEARRAY(1,A58-2,_xlfn.LAMBDA(_xlpm.r,_xlpm.c,_xlpm.c))))</f>
        <v/>
      </c>
    </row>
    <row r="59" spans="1:2" x14ac:dyDescent="0.2">
      <c r="A59" t="str" cm="1">
        <f t="array" ref="A59">IF(MAX(_xlfn.BYCOL('Prematch Backend 6A'!59:59, _xlfn.LAMBDA(_xlpm.ARRAY,IF(_xlpm.ARRAY="teleOp", COLUMN(_xlpm.ARRAY), 0))))=0,"",MAX(_xlfn.BYCOL('Prematch Backend 6A'!59:59, _xlfn.LAMBDA(_xlpm.ARRAY,IF(_xlpm.ARRAY="teleOp", COLUMN(_xlpm.ARRAY), 0)))))</f>
        <v/>
      </c>
      <c r="B59" t="str" cm="1">
        <f t="array" ref="B59">IF(A59="","",_xlfn.CHOOSECOLS('Prematch Backend 2A'!59:59,_xlfn.MAKEARRAY(1,A59-2,_xlfn.LAMBDA(_xlpm.r,_xlpm.c,_xlpm.c))))</f>
        <v/>
      </c>
    </row>
    <row r="60" spans="1:2" x14ac:dyDescent="0.2">
      <c r="A60" t="str" cm="1">
        <f t="array" ref="A60">IF(MAX(_xlfn.BYCOL('Prematch Backend 6A'!60:60, _xlfn.LAMBDA(_xlpm.ARRAY,IF(_xlpm.ARRAY="teleOp", COLUMN(_xlpm.ARRAY), 0))))=0,"",MAX(_xlfn.BYCOL('Prematch Backend 6A'!60:60, _xlfn.LAMBDA(_xlpm.ARRAY,IF(_xlpm.ARRAY="teleOp", COLUMN(_xlpm.ARRAY), 0)))))</f>
        <v/>
      </c>
      <c r="B60" t="str" cm="1">
        <f t="array" ref="B60">IF(A60="","",_xlfn.CHOOSECOLS('Prematch Backend 2A'!60:60,_xlfn.MAKEARRAY(1,A60-2,_xlfn.LAMBDA(_xlpm.r,_xlpm.c,_xlpm.c))))</f>
        <v/>
      </c>
    </row>
    <row r="61" spans="1:2" x14ac:dyDescent="0.2">
      <c r="A61" t="str" cm="1">
        <f t="array" ref="A61">IF(MAX(_xlfn.BYCOL('Prematch Backend 6A'!61:61, _xlfn.LAMBDA(_xlpm.ARRAY,IF(_xlpm.ARRAY="teleOp", COLUMN(_xlpm.ARRAY), 0))))=0,"",MAX(_xlfn.BYCOL('Prematch Backend 6A'!61:61, _xlfn.LAMBDA(_xlpm.ARRAY,IF(_xlpm.ARRAY="teleOp", COLUMN(_xlpm.ARRAY), 0)))))</f>
        <v/>
      </c>
      <c r="B61" t="str" cm="1">
        <f t="array" ref="B61">IF(A61="","",_xlfn.CHOOSECOLS('Prematch Backend 2A'!61:61,_xlfn.MAKEARRAY(1,A61-2,_xlfn.LAMBDA(_xlpm.r,_xlpm.c,_xlpm.c))))</f>
        <v/>
      </c>
    </row>
    <row r="62" spans="1:2" x14ac:dyDescent="0.2">
      <c r="A62" t="str" cm="1">
        <f t="array" ref="A62">IF(MAX(_xlfn.BYCOL('Prematch Backend 6A'!62:62, _xlfn.LAMBDA(_xlpm.ARRAY,IF(_xlpm.ARRAY="teleOp", COLUMN(_xlpm.ARRAY), 0))))=0,"",MAX(_xlfn.BYCOL('Prematch Backend 6A'!62:62, _xlfn.LAMBDA(_xlpm.ARRAY,IF(_xlpm.ARRAY="teleOp", COLUMN(_xlpm.ARRAY), 0)))))</f>
        <v/>
      </c>
      <c r="B62" t="str" cm="1">
        <f t="array" ref="B62">IF(A62="","",_xlfn.CHOOSECOLS('Prematch Backend 2A'!62:62,_xlfn.MAKEARRAY(1,A62-2,_xlfn.LAMBDA(_xlpm.r,_xlpm.c,_xlpm.c))))</f>
        <v/>
      </c>
    </row>
    <row r="63" spans="1:2" x14ac:dyDescent="0.2">
      <c r="A63" t="str" cm="1">
        <f t="array" ref="A63">IF(MAX(_xlfn.BYCOL('Prematch Backend 6A'!63:63, _xlfn.LAMBDA(_xlpm.ARRAY,IF(_xlpm.ARRAY="teleOp", COLUMN(_xlpm.ARRAY), 0))))=0,"",MAX(_xlfn.BYCOL('Prematch Backend 6A'!63:63, _xlfn.LAMBDA(_xlpm.ARRAY,IF(_xlpm.ARRAY="teleOp", COLUMN(_xlpm.ARRAY), 0)))))</f>
        <v/>
      </c>
      <c r="B63" t="str" cm="1">
        <f t="array" ref="B63">IF(A63="","",_xlfn.CHOOSECOLS('Prematch Backend 2A'!63:63,_xlfn.MAKEARRAY(1,A63-2,_xlfn.LAMBDA(_xlpm.r,_xlpm.c,_xlpm.c))))</f>
        <v/>
      </c>
    </row>
    <row r="64" spans="1:2" x14ac:dyDescent="0.2">
      <c r="A64" t="str" cm="1">
        <f t="array" ref="A64">IF(MAX(_xlfn.BYCOL('Prematch Backend 6A'!64:64, _xlfn.LAMBDA(_xlpm.ARRAY,IF(_xlpm.ARRAY="teleOp", COLUMN(_xlpm.ARRAY), 0))))=0,"",MAX(_xlfn.BYCOL('Prematch Backend 6A'!64:64, _xlfn.LAMBDA(_xlpm.ARRAY,IF(_xlpm.ARRAY="teleOp", COLUMN(_xlpm.ARRAY), 0)))))</f>
        <v/>
      </c>
      <c r="B64" t="str" cm="1">
        <f t="array" ref="B64">IF(A64="","",_xlfn.CHOOSECOLS('Prematch Backend 2A'!64:64,_xlfn.MAKEARRAY(1,A64-2,_xlfn.LAMBDA(_xlpm.r,_xlpm.c,_xlpm.c))))</f>
        <v/>
      </c>
    </row>
    <row r="65" spans="1:2" x14ac:dyDescent="0.2">
      <c r="A65" t="str" cm="1">
        <f t="array" ref="A65">IF(MAX(_xlfn.BYCOL('Prematch Backend 6A'!65:65, _xlfn.LAMBDA(_xlpm.ARRAY,IF(_xlpm.ARRAY="teleOp", COLUMN(_xlpm.ARRAY), 0))))=0,"",MAX(_xlfn.BYCOL('Prematch Backend 6A'!65:65, _xlfn.LAMBDA(_xlpm.ARRAY,IF(_xlpm.ARRAY="teleOp", COLUMN(_xlpm.ARRAY), 0)))))</f>
        <v/>
      </c>
      <c r="B65" t="str" cm="1">
        <f t="array" ref="B65">IF(A65="","",_xlfn.CHOOSECOLS('Prematch Backend 2A'!65:65,_xlfn.MAKEARRAY(1,A65-2,_xlfn.LAMBDA(_xlpm.r,_xlpm.c,_xlpm.c))))</f>
        <v/>
      </c>
    </row>
    <row r="66" spans="1:2" x14ac:dyDescent="0.2">
      <c r="A66" t="str" cm="1">
        <f t="array" ref="A66">IF(MAX(_xlfn.BYCOL('Prematch Backend 6A'!66:66, _xlfn.LAMBDA(_xlpm.ARRAY,IF(_xlpm.ARRAY="teleOp", COLUMN(_xlpm.ARRAY), 0))))=0,"",MAX(_xlfn.BYCOL('Prematch Backend 6A'!66:66, _xlfn.LAMBDA(_xlpm.ARRAY,IF(_xlpm.ARRAY="teleOp", COLUMN(_xlpm.ARRAY), 0)))))</f>
        <v/>
      </c>
      <c r="B66" t="str" cm="1">
        <f t="array" ref="B66">IF(A66="","",_xlfn.CHOOSECOLS('Prematch Backend 2A'!66:66,_xlfn.MAKEARRAY(1,A66-2,_xlfn.LAMBDA(_xlpm.r,_xlpm.c,_xlpm.c))))</f>
        <v/>
      </c>
    </row>
    <row r="67" spans="1:2" x14ac:dyDescent="0.2">
      <c r="A67" t="str" cm="1">
        <f t="array" ref="A67">IF(MAX(_xlfn.BYCOL('Prematch Backend 6A'!67:67, _xlfn.LAMBDA(_xlpm.ARRAY,IF(_xlpm.ARRAY="teleOp", COLUMN(_xlpm.ARRAY), 0))))=0,"",MAX(_xlfn.BYCOL('Prematch Backend 6A'!67:67, _xlfn.LAMBDA(_xlpm.ARRAY,IF(_xlpm.ARRAY="teleOp", COLUMN(_xlpm.ARRAY), 0)))))</f>
        <v/>
      </c>
      <c r="B67" t="str" cm="1">
        <f t="array" ref="B67">IF(A67="","",_xlfn.CHOOSECOLS('Prematch Backend 2A'!67:67,_xlfn.MAKEARRAY(1,A67-2,_xlfn.LAMBDA(_xlpm.r,_xlpm.c,_xlpm.c))))</f>
        <v/>
      </c>
    </row>
    <row r="68" spans="1:2" x14ac:dyDescent="0.2">
      <c r="A68" t="str" cm="1">
        <f t="array" ref="A68">IF(MAX(_xlfn.BYCOL('Prematch Backend 6A'!68:68, _xlfn.LAMBDA(_xlpm.ARRAY,IF(_xlpm.ARRAY="teleOp", COLUMN(_xlpm.ARRAY), 0))))=0,"",MAX(_xlfn.BYCOL('Prematch Backend 6A'!68:68, _xlfn.LAMBDA(_xlpm.ARRAY,IF(_xlpm.ARRAY="teleOp", COLUMN(_xlpm.ARRAY), 0)))))</f>
        <v/>
      </c>
      <c r="B68" t="str" cm="1">
        <f t="array" ref="B68">IF(A68="","",_xlfn.CHOOSECOLS('Prematch Backend 2A'!68:68,_xlfn.MAKEARRAY(1,A68-2,_xlfn.LAMBDA(_xlpm.r,_xlpm.c,_xlpm.c))))</f>
        <v/>
      </c>
    </row>
    <row r="69" spans="1:2" x14ac:dyDescent="0.2">
      <c r="A69" t="str" cm="1">
        <f t="array" ref="A69">IF(MAX(_xlfn.BYCOL('Prematch Backend 6A'!69:69, _xlfn.LAMBDA(_xlpm.ARRAY,IF(_xlpm.ARRAY="teleOp", COLUMN(_xlpm.ARRAY), 0))))=0,"",MAX(_xlfn.BYCOL('Prematch Backend 6A'!69:69, _xlfn.LAMBDA(_xlpm.ARRAY,IF(_xlpm.ARRAY="teleOp", COLUMN(_xlpm.ARRAY), 0)))))</f>
        <v/>
      </c>
      <c r="B69" t="str" cm="1">
        <f t="array" ref="B69">IF(A69="","",_xlfn.CHOOSECOLS('Prematch Backend 2A'!69:69,_xlfn.MAKEARRAY(1,A69-2,_xlfn.LAMBDA(_xlpm.r,_xlpm.c,_xlpm.c))))</f>
        <v/>
      </c>
    </row>
    <row r="70" spans="1:2" x14ac:dyDescent="0.2">
      <c r="A70" t="str" cm="1">
        <f t="array" ref="A70">IF(MAX(_xlfn.BYCOL('Prematch Backend 6A'!70:70, _xlfn.LAMBDA(_xlpm.ARRAY,IF(_xlpm.ARRAY="teleOp", COLUMN(_xlpm.ARRAY), 0))))=0,"",MAX(_xlfn.BYCOL('Prematch Backend 6A'!70:70, _xlfn.LAMBDA(_xlpm.ARRAY,IF(_xlpm.ARRAY="teleOp", COLUMN(_xlpm.ARRAY), 0)))))</f>
        <v/>
      </c>
      <c r="B70" t="str" cm="1">
        <f t="array" ref="B70">IF(A70="","",_xlfn.CHOOSECOLS('Prematch Backend 2A'!70:70,_xlfn.MAKEARRAY(1,A70-2,_xlfn.LAMBDA(_xlpm.r,_xlpm.c,_xlpm.c))))</f>
        <v/>
      </c>
    </row>
    <row r="71" spans="1:2" x14ac:dyDescent="0.2">
      <c r="A71" t="str" cm="1">
        <f t="array" ref="A71">IF(MAX(_xlfn.BYCOL('Prematch Backend 6A'!71:71, _xlfn.LAMBDA(_xlpm.ARRAY,IF(_xlpm.ARRAY="teleOp", COLUMN(_xlpm.ARRAY), 0))))=0,"",MAX(_xlfn.BYCOL('Prematch Backend 6A'!71:71, _xlfn.LAMBDA(_xlpm.ARRAY,IF(_xlpm.ARRAY="teleOp", COLUMN(_xlpm.ARRAY), 0)))))</f>
        <v/>
      </c>
      <c r="B71" t="str" cm="1">
        <f t="array" ref="B71">IF(A71="","",_xlfn.CHOOSECOLS('Prematch Backend 2A'!71:71,_xlfn.MAKEARRAY(1,A71-2,_xlfn.LAMBDA(_xlpm.r,_xlpm.c,_xlpm.c))))</f>
        <v/>
      </c>
    </row>
    <row r="72" spans="1:2" x14ac:dyDescent="0.2">
      <c r="A72" t="str" cm="1">
        <f t="array" ref="A72">IF(MAX(_xlfn.BYCOL('Prematch Backend 6A'!72:72, _xlfn.LAMBDA(_xlpm.ARRAY,IF(_xlpm.ARRAY="teleOp", COLUMN(_xlpm.ARRAY), 0))))=0,"",MAX(_xlfn.BYCOL('Prematch Backend 6A'!72:72, _xlfn.LAMBDA(_xlpm.ARRAY,IF(_xlpm.ARRAY="teleOp", COLUMN(_xlpm.ARRAY), 0)))))</f>
        <v/>
      </c>
      <c r="B72" t="str" cm="1">
        <f t="array" ref="B72">IF(A72="","",_xlfn.CHOOSECOLS('Prematch Backend 2A'!72:72,_xlfn.MAKEARRAY(1,A72-2,_xlfn.LAMBDA(_xlpm.r,_xlpm.c,_xlpm.c))))</f>
        <v/>
      </c>
    </row>
    <row r="73" spans="1:2" x14ac:dyDescent="0.2">
      <c r="A73" t="str" cm="1">
        <f t="array" ref="A73">IF(MAX(_xlfn.BYCOL('Prematch Backend 6A'!73:73, _xlfn.LAMBDA(_xlpm.ARRAY,IF(_xlpm.ARRAY="teleOp", COLUMN(_xlpm.ARRAY), 0))))=0,"",MAX(_xlfn.BYCOL('Prematch Backend 6A'!73:73, _xlfn.LAMBDA(_xlpm.ARRAY,IF(_xlpm.ARRAY="teleOp", COLUMN(_xlpm.ARRAY), 0)))))</f>
        <v/>
      </c>
      <c r="B73" t="str" cm="1">
        <f t="array" ref="B73">IF(A73="","",_xlfn.CHOOSECOLS('Prematch Backend 2A'!73:73,_xlfn.MAKEARRAY(1,A73-2,_xlfn.LAMBDA(_xlpm.r,_xlpm.c,_xlpm.c))))</f>
        <v/>
      </c>
    </row>
    <row r="74" spans="1:2" x14ac:dyDescent="0.2">
      <c r="A74" t="str" cm="1">
        <f t="array" ref="A74">IF(MAX(_xlfn.BYCOL('Prematch Backend 6A'!74:74, _xlfn.LAMBDA(_xlpm.ARRAY,IF(_xlpm.ARRAY="teleOp", COLUMN(_xlpm.ARRAY), 0))))=0,"",MAX(_xlfn.BYCOL('Prematch Backend 6A'!74:74, _xlfn.LAMBDA(_xlpm.ARRAY,IF(_xlpm.ARRAY="teleOp", COLUMN(_xlpm.ARRAY), 0)))))</f>
        <v/>
      </c>
      <c r="B74" t="str" cm="1">
        <f t="array" ref="B74">IF(A74="","",_xlfn.CHOOSECOLS('Prematch Backend 2A'!74:74,_xlfn.MAKEARRAY(1,A74-2,_xlfn.LAMBDA(_xlpm.r,_xlpm.c,_xlpm.c))))</f>
        <v/>
      </c>
    </row>
    <row r="75" spans="1:2" x14ac:dyDescent="0.2">
      <c r="A75" t="str" cm="1">
        <f t="array" ref="A75">IF(MAX(_xlfn.BYCOL('Prematch Backend 6A'!75:75, _xlfn.LAMBDA(_xlpm.ARRAY,IF(_xlpm.ARRAY="teleOp", COLUMN(_xlpm.ARRAY), 0))))=0,"",MAX(_xlfn.BYCOL('Prematch Backend 6A'!75:75, _xlfn.LAMBDA(_xlpm.ARRAY,IF(_xlpm.ARRAY="teleOp", COLUMN(_xlpm.ARRAY), 0)))))</f>
        <v/>
      </c>
      <c r="B75" t="str" cm="1">
        <f t="array" ref="B75">IF(A75="","",_xlfn.CHOOSECOLS('Prematch Backend 2A'!75:75,_xlfn.MAKEARRAY(1,A75-2,_xlfn.LAMBDA(_xlpm.r,_xlpm.c,_xlpm.c))))</f>
        <v/>
      </c>
    </row>
    <row r="76" spans="1:2" x14ac:dyDescent="0.2">
      <c r="A76" t="str" cm="1">
        <f t="array" ref="A76">IF(MAX(_xlfn.BYCOL('Prematch Backend 6A'!76:76, _xlfn.LAMBDA(_xlpm.ARRAY,IF(_xlpm.ARRAY="teleOp", COLUMN(_xlpm.ARRAY), 0))))=0,"",MAX(_xlfn.BYCOL('Prematch Backend 6A'!76:76, _xlfn.LAMBDA(_xlpm.ARRAY,IF(_xlpm.ARRAY="teleOp", COLUMN(_xlpm.ARRAY), 0)))))</f>
        <v/>
      </c>
      <c r="B76" t="str" cm="1">
        <f t="array" ref="B76">IF(A76="","",_xlfn.CHOOSECOLS('Prematch Backend 2A'!76:76,_xlfn.MAKEARRAY(1,A76-2,_xlfn.LAMBDA(_xlpm.r,_xlpm.c,_xlpm.c))))</f>
        <v/>
      </c>
    </row>
    <row r="77" spans="1:2" x14ac:dyDescent="0.2">
      <c r="A77" t="str" cm="1">
        <f t="array" ref="A77">IF(MAX(_xlfn.BYCOL('Prematch Backend 6A'!77:77, _xlfn.LAMBDA(_xlpm.ARRAY,IF(_xlpm.ARRAY="teleOp", COLUMN(_xlpm.ARRAY), 0))))=0,"",MAX(_xlfn.BYCOL('Prematch Backend 6A'!77:77, _xlfn.LAMBDA(_xlpm.ARRAY,IF(_xlpm.ARRAY="teleOp", COLUMN(_xlpm.ARRAY), 0)))))</f>
        <v/>
      </c>
      <c r="B77" t="str" cm="1">
        <f t="array" ref="B77">IF(A77="","",_xlfn.CHOOSECOLS('Prematch Backend 2A'!77:77,_xlfn.MAKEARRAY(1,A77-2,_xlfn.LAMBDA(_xlpm.r,_xlpm.c,_xlpm.c))))</f>
        <v/>
      </c>
    </row>
    <row r="78" spans="1:2" x14ac:dyDescent="0.2">
      <c r="A78" t="str" cm="1">
        <f t="array" ref="A78">IF(MAX(_xlfn.BYCOL('Prematch Backend 6A'!78:78, _xlfn.LAMBDA(_xlpm.ARRAY,IF(_xlpm.ARRAY="teleOp", COLUMN(_xlpm.ARRAY), 0))))=0,"",MAX(_xlfn.BYCOL('Prematch Backend 6A'!78:78, _xlfn.LAMBDA(_xlpm.ARRAY,IF(_xlpm.ARRAY="teleOp", COLUMN(_xlpm.ARRAY), 0)))))</f>
        <v/>
      </c>
      <c r="B78" t="str" cm="1">
        <f t="array" ref="B78">IF(A78="","",_xlfn.CHOOSECOLS('Prematch Backend 2A'!78:78,_xlfn.MAKEARRAY(1,A78-2,_xlfn.LAMBDA(_xlpm.r,_xlpm.c,_xlpm.c))))</f>
        <v/>
      </c>
    </row>
    <row r="79" spans="1:2" x14ac:dyDescent="0.2">
      <c r="A79" t="str" cm="1">
        <f t="array" ref="A79">IF(MAX(_xlfn.BYCOL('Prematch Backend 6A'!79:79, _xlfn.LAMBDA(_xlpm.ARRAY,IF(_xlpm.ARRAY="teleOp", COLUMN(_xlpm.ARRAY), 0))))=0,"",MAX(_xlfn.BYCOL('Prematch Backend 6A'!79:79, _xlfn.LAMBDA(_xlpm.ARRAY,IF(_xlpm.ARRAY="teleOp", COLUMN(_xlpm.ARRAY), 0)))))</f>
        <v/>
      </c>
      <c r="B79" t="str" cm="1">
        <f t="array" ref="B79">IF(A79="","",_xlfn.CHOOSECOLS('Prematch Backend 2A'!79:79,_xlfn.MAKEARRAY(1,A79-2,_xlfn.LAMBDA(_xlpm.r,_xlpm.c,_xlpm.c))))</f>
        <v/>
      </c>
    </row>
    <row r="80" spans="1:2" x14ac:dyDescent="0.2">
      <c r="A80" t="str" cm="1">
        <f t="array" ref="A80">IF(MAX(_xlfn.BYCOL('Prematch Backend 6A'!80:80, _xlfn.LAMBDA(_xlpm.ARRAY,IF(_xlpm.ARRAY="teleOp", COLUMN(_xlpm.ARRAY), 0))))=0,"",MAX(_xlfn.BYCOL('Prematch Backend 6A'!80:80, _xlfn.LAMBDA(_xlpm.ARRAY,IF(_xlpm.ARRAY="teleOp", COLUMN(_xlpm.ARRAY), 0)))))</f>
        <v/>
      </c>
      <c r="B80" t="str" cm="1">
        <f t="array" ref="B80">IF(A80="","",_xlfn.CHOOSECOLS('Prematch Backend 2A'!80:80,_xlfn.MAKEARRAY(1,A80-2,_xlfn.LAMBDA(_xlpm.r,_xlpm.c,_xlpm.c))))</f>
        <v/>
      </c>
    </row>
    <row r="81" spans="1:2" x14ac:dyDescent="0.2">
      <c r="A81" t="str" cm="1">
        <f t="array" ref="A81">IF(MAX(_xlfn.BYCOL('Prematch Backend 6A'!81:81, _xlfn.LAMBDA(_xlpm.ARRAY,IF(_xlpm.ARRAY="teleOp", COLUMN(_xlpm.ARRAY), 0))))=0,"",MAX(_xlfn.BYCOL('Prematch Backend 6A'!81:81, _xlfn.LAMBDA(_xlpm.ARRAY,IF(_xlpm.ARRAY="teleOp", COLUMN(_xlpm.ARRAY), 0)))))</f>
        <v/>
      </c>
      <c r="B81" t="str" cm="1">
        <f t="array" ref="B81">IF(A81="","",_xlfn.CHOOSECOLS('Prematch Backend 2A'!81:81,_xlfn.MAKEARRAY(1,A81-2,_xlfn.LAMBDA(_xlpm.r,_xlpm.c,_xlpm.c))))</f>
        <v/>
      </c>
    </row>
    <row r="82" spans="1:2" x14ac:dyDescent="0.2">
      <c r="A82" t="str" cm="1">
        <f t="array" ref="A82">IF(MAX(_xlfn.BYCOL('Prematch Backend 6A'!82:82, _xlfn.LAMBDA(_xlpm.ARRAY,IF(_xlpm.ARRAY="teleOp", COLUMN(_xlpm.ARRAY), 0))))=0,"",MAX(_xlfn.BYCOL('Prematch Backend 6A'!82:82, _xlfn.LAMBDA(_xlpm.ARRAY,IF(_xlpm.ARRAY="teleOp", COLUMN(_xlpm.ARRAY), 0)))))</f>
        <v/>
      </c>
      <c r="B82" t="str" cm="1">
        <f t="array" ref="B82">IF(A82="","",_xlfn.CHOOSECOLS('Prematch Backend 2A'!82:82,_xlfn.MAKEARRAY(1,A82-2,_xlfn.LAMBDA(_xlpm.r,_xlpm.c,_xlpm.c))))</f>
        <v/>
      </c>
    </row>
    <row r="83" spans="1:2" x14ac:dyDescent="0.2">
      <c r="A83" t="str" cm="1">
        <f t="array" ref="A83">IF(MAX(_xlfn.BYCOL('Prematch Backend 6A'!83:83, _xlfn.LAMBDA(_xlpm.ARRAY,IF(_xlpm.ARRAY="teleOp", COLUMN(_xlpm.ARRAY), 0))))=0,"",MAX(_xlfn.BYCOL('Prematch Backend 6A'!83:83, _xlfn.LAMBDA(_xlpm.ARRAY,IF(_xlpm.ARRAY="teleOp", COLUMN(_xlpm.ARRAY), 0)))))</f>
        <v/>
      </c>
      <c r="B83" t="str" cm="1">
        <f t="array" ref="B83">IF(A83="","",_xlfn.CHOOSECOLS('Prematch Backend 2A'!83:83,_xlfn.MAKEARRAY(1,A83-2,_xlfn.LAMBDA(_xlpm.r,_xlpm.c,_xlpm.c))))</f>
        <v/>
      </c>
    </row>
    <row r="84" spans="1:2" x14ac:dyDescent="0.2">
      <c r="A84" t="str" cm="1">
        <f t="array" ref="A84">IF(MAX(_xlfn.BYCOL('Prematch Backend 6A'!84:84, _xlfn.LAMBDA(_xlpm.ARRAY,IF(_xlpm.ARRAY="teleOp", COLUMN(_xlpm.ARRAY), 0))))=0,"",MAX(_xlfn.BYCOL('Prematch Backend 6A'!84:84, _xlfn.LAMBDA(_xlpm.ARRAY,IF(_xlpm.ARRAY="teleOp", COLUMN(_xlpm.ARRAY), 0)))))</f>
        <v/>
      </c>
      <c r="B84" t="str" cm="1">
        <f t="array" ref="B84">IF(A84="","",_xlfn.CHOOSECOLS('Prematch Backend 2A'!84:84,_xlfn.MAKEARRAY(1,A84-2,_xlfn.LAMBDA(_xlpm.r,_xlpm.c,_xlpm.c))))</f>
        <v/>
      </c>
    </row>
    <row r="85" spans="1:2" x14ac:dyDescent="0.2">
      <c r="A85" t="str" cm="1">
        <f t="array" ref="A85">IF(MAX(_xlfn.BYCOL('Prematch Backend 6A'!85:85, _xlfn.LAMBDA(_xlpm.ARRAY,IF(_xlpm.ARRAY="teleOp", COLUMN(_xlpm.ARRAY), 0))))=0,"",MAX(_xlfn.BYCOL('Prematch Backend 6A'!85:85, _xlfn.LAMBDA(_xlpm.ARRAY,IF(_xlpm.ARRAY="teleOp", COLUMN(_xlpm.ARRAY), 0)))))</f>
        <v/>
      </c>
      <c r="B85" t="str" cm="1">
        <f t="array" ref="B85">IF(A85="","",_xlfn.CHOOSECOLS('Prematch Backend 2A'!85:85,_xlfn.MAKEARRAY(1,A85-2,_xlfn.LAMBDA(_xlpm.r,_xlpm.c,_xlpm.c))))</f>
        <v/>
      </c>
    </row>
    <row r="86" spans="1:2" x14ac:dyDescent="0.2">
      <c r="A86" t="str" cm="1">
        <f t="array" ref="A86">IF(MAX(_xlfn.BYCOL('Prematch Backend 6A'!86:86, _xlfn.LAMBDA(_xlpm.ARRAY,IF(_xlpm.ARRAY="teleOp", COLUMN(_xlpm.ARRAY), 0))))=0,"",MAX(_xlfn.BYCOL('Prematch Backend 6A'!86:86, _xlfn.LAMBDA(_xlpm.ARRAY,IF(_xlpm.ARRAY="teleOp", COLUMN(_xlpm.ARRAY), 0)))))</f>
        <v/>
      </c>
      <c r="B86" t="str" cm="1">
        <f t="array" ref="B86">IF(A86="","",_xlfn.CHOOSECOLS('Prematch Backend 2A'!86:86,_xlfn.MAKEARRAY(1,A86-2,_xlfn.LAMBDA(_xlpm.r,_xlpm.c,_xlpm.c))))</f>
        <v/>
      </c>
    </row>
    <row r="87" spans="1:2" x14ac:dyDescent="0.2">
      <c r="A87" t="str" cm="1">
        <f t="array" ref="A87">IF(MAX(_xlfn.BYCOL('Prematch Backend 6A'!87:87, _xlfn.LAMBDA(_xlpm.ARRAY,IF(_xlpm.ARRAY="teleOp", COLUMN(_xlpm.ARRAY), 0))))=0,"",MAX(_xlfn.BYCOL('Prematch Backend 6A'!87:87, _xlfn.LAMBDA(_xlpm.ARRAY,IF(_xlpm.ARRAY="teleOp", COLUMN(_xlpm.ARRAY), 0)))))</f>
        <v/>
      </c>
      <c r="B87" t="str" cm="1">
        <f t="array" ref="B87">IF(A87="","",_xlfn.CHOOSECOLS('Prematch Backend 2A'!87:87,_xlfn.MAKEARRAY(1,A87-2,_xlfn.LAMBDA(_xlpm.r,_xlpm.c,_xlpm.c))))</f>
        <v/>
      </c>
    </row>
    <row r="88" spans="1:2" x14ac:dyDescent="0.2">
      <c r="A88" t="str" cm="1">
        <f t="array" ref="A88">IF(MAX(_xlfn.BYCOL('Prematch Backend 6A'!88:88, _xlfn.LAMBDA(_xlpm.ARRAY,IF(_xlpm.ARRAY="teleOp", COLUMN(_xlpm.ARRAY), 0))))=0,"",MAX(_xlfn.BYCOL('Prematch Backend 6A'!88:88, _xlfn.LAMBDA(_xlpm.ARRAY,IF(_xlpm.ARRAY="teleOp", COLUMN(_xlpm.ARRAY), 0)))))</f>
        <v/>
      </c>
      <c r="B88" t="str" cm="1">
        <f t="array" ref="B88">IF(A88="","",_xlfn.CHOOSECOLS('Prematch Backend 2A'!88:88,_xlfn.MAKEARRAY(1,A88-2,_xlfn.LAMBDA(_xlpm.r,_xlpm.c,_xlpm.c))))</f>
        <v/>
      </c>
    </row>
    <row r="89" spans="1:2" x14ac:dyDescent="0.2">
      <c r="A89" t="str" cm="1">
        <f t="array" ref="A89">IF(MAX(_xlfn.BYCOL('Prematch Backend 6A'!89:89, _xlfn.LAMBDA(_xlpm.ARRAY,IF(_xlpm.ARRAY="teleOp", COLUMN(_xlpm.ARRAY), 0))))=0,"",MAX(_xlfn.BYCOL('Prematch Backend 6A'!89:89, _xlfn.LAMBDA(_xlpm.ARRAY,IF(_xlpm.ARRAY="teleOp", COLUMN(_xlpm.ARRAY), 0)))))</f>
        <v/>
      </c>
      <c r="B89" t="str" cm="1">
        <f t="array" ref="B89">IF(A89="","",_xlfn.CHOOSECOLS('Prematch Backend 2A'!89:89,_xlfn.MAKEARRAY(1,A89-2,_xlfn.LAMBDA(_xlpm.r,_xlpm.c,_xlpm.c))))</f>
        <v/>
      </c>
    </row>
    <row r="90" spans="1:2" x14ac:dyDescent="0.2">
      <c r="A90" t="str" cm="1">
        <f t="array" ref="A90">IF(MAX(_xlfn.BYCOL('Prematch Backend 6A'!90:90, _xlfn.LAMBDA(_xlpm.ARRAY,IF(_xlpm.ARRAY="teleOp", COLUMN(_xlpm.ARRAY), 0))))=0,"",MAX(_xlfn.BYCOL('Prematch Backend 6A'!90:90, _xlfn.LAMBDA(_xlpm.ARRAY,IF(_xlpm.ARRAY="teleOp", COLUMN(_xlpm.ARRAY), 0)))))</f>
        <v/>
      </c>
      <c r="B90" t="str" cm="1">
        <f t="array" ref="B90">IF(A90="","",_xlfn.CHOOSECOLS('Prematch Backend 2A'!90:90,_xlfn.MAKEARRAY(1,A90-2,_xlfn.LAMBDA(_xlpm.r,_xlpm.c,_xlpm.c))))</f>
        <v/>
      </c>
    </row>
    <row r="91" spans="1:2" x14ac:dyDescent="0.2">
      <c r="A91" t="str" cm="1">
        <f t="array" ref="A91">IF(MAX(_xlfn.BYCOL('Prematch Backend 6A'!91:91, _xlfn.LAMBDA(_xlpm.ARRAY,IF(_xlpm.ARRAY="teleOp", COLUMN(_xlpm.ARRAY), 0))))=0,"",MAX(_xlfn.BYCOL('Prematch Backend 6A'!91:91, _xlfn.LAMBDA(_xlpm.ARRAY,IF(_xlpm.ARRAY="teleOp", COLUMN(_xlpm.ARRAY), 0)))))</f>
        <v/>
      </c>
      <c r="B91" t="str" cm="1">
        <f t="array" ref="B91">IF(A91="","",_xlfn.CHOOSECOLS('Prematch Backend 2A'!91:91,_xlfn.MAKEARRAY(1,A91-2,_xlfn.LAMBDA(_xlpm.r,_xlpm.c,_xlpm.c))))</f>
        <v/>
      </c>
    </row>
    <row r="92" spans="1:2" x14ac:dyDescent="0.2">
      <c r="A92" t="str" cm="1">
        <f t="array" ref="A92">IF(MAX(_xlfn.BYCOL('Prematch Backend 6A'!92:92, _xlfn.LAMBDA(_xlpm.ARRAY,IF(_xlpm.ARRAY="teleOp", COLUMN(_xlpm.ARRAY), 0))))=0,"",MAX(_xlfn.BYCOL('Prematch Backend 6A'!92:92, _xlfn.LAMBDA(_xlpm.ARRAY,IF(_xlpm.ARRAY="teleOp", COLUMN(_xlpm.ARRAY), 0)))))</f>
        <v/>
      </c>
      <c r="B92" t="str" cm="1">
        <f t="array" ref="B92">IF(A92="","",_xlfn.CHOOSECOLS('Prematch Backend 2A'!92:92,_xlfn.MAKEARRAY(1,A92-2,_xlfn.LAMBDA(_xlpm.r,_xlpm.c,_xlpm.c))))</f>
        <v/>
      </c>
    </row>
    <row r="93" spans="1:2" x14ac:dyDescent="0.2">
      <c r="A93" t="str" cm="1">
        <f t="array" ref="A93">IF(MAX(_xlfn.BYCOL('Prematch Backend 6A'!93:93, _xlfn.LAMBDA(_xlpm.ARRAY,IF(_xlpm.ARRAY="teleOp", COLUMN(_xlpm.ARRAY), 0))))=0,"",MAX(_xlfn.BYCOL('Prematch Backend 6A'!93:93, _xlfn.LAMBDA(_xlpm.ARRAY,IF(_xlpm.ARRAY="teleOp", COLUMN(_xlpm.ARRAY), 0)))))</f>
        <v/>
      </c>
      <c r="B93" t="str" cm="1">
        <f t="array" ref="B93">IF(A93="","",_xlfn.CHOOSECOLS('Prematch Backend 2A'!93:93,_xlfn.MAKEARRAY(1,A93-2,_xlfn.LAMBDA(_xlpm.r,_xlpm.c,_xlpm.c))))</f>
        <v/>
      </c>
    </row>
    <row r="94" spans="1:2" x14ac:dyDescent="0.2">
      <c r="A94" t="str" cm="1">
        <f t="array" ref="A94">IF(MAX(_xlfn.BYCOL('Prematch Backend 6A'!94:94, _xlfn.LAMBDA(_xlpm.ARRAY,IF(_xlpm.ARRAY="teleOp", COLUMN(_xlpm.ARRAY), 0))))=0,"",MAX(_xlfn.BYCOL('Prematch Backend 6A'!94:94, _xlfn.LAMBDA(_xlpm.ARRAY,IF(_xlpm.ARRAY="teleOp", COLUMN(_xlpm.ARRAY), 0)))))</f>
        <v/>
      </c>
      <c r="B94" t="str" cm="1">
        <f t="array" ref="B94">IF(A94="","",_xlfn.CHOOSECOLS('Prematch Backend 2A'!94:94,_xlfn.MAKEARRAY(1,A94-2,_xlfn.LAMBDA(_xlpm.r,_xlpm.c,_xlpm.c))))</f>
        <v/>
      </c>
    </row>
    <row r="95" spans="1:2" x14ac:dyDescent="0.2">
      <c r="A95" t="str" cm="1">
        <f t="array" ref="A95">IF(MAX(_xlfn.BYCOL('Prematch Backend 6A'!95:95, _xlfn.LAMBDA(_xlpm.ARRAY,IF(_xlpm.ARRAY="teleOp", COLUMN(_xlpm.ARRAY), 0))))=0,"",MAX(_xlfn.BYCOL('Prematch Backend 6A'!95:95, _xlfn.LAMBDA(_xlpm.ARRAY,IF(_xlpm.ARRAY="teleOp", COLUMN(_xlpm.ARRAY), 0)))))</f>
        <v/>
      </c>
      <c r="B95" t="str" cm="1">
        <f t="array" ref="B95">IF(A95="","",_xlfn.CHOOSECOLS('Prematch Backend 2A'!95:95,_xlfn.MAKEARRAY(1,A95-2,_xlfn.LAMBDA(_xlpm.r,_xlpm.c,_xlpm.c))))</f>
        <v/>
      </c>
    </row>
    <row r="96" spans="1:2" x14ac:dyDescent="0.2">
      <c r="A96" t="str" cm="1">
        <f t="array" ref="A96">IF(MAX(_xlfn.BYCOL('Prematch Backend 6A'!96:96, _xlfn.LAMBDA(_xlpm.ARRAY,IF(_xlpm.ARRAY="teleOp", COLUMN(_xlpm.ARRAY), 0))))=0,"",MAX(_xlfn.BYCOL('Prematch Backend 6A'!96:96, _xlfn.LAMBDA(_xlpm.ARRAY,IF(_xlpm.ARRAY="teleOp", COLUMN(_xlpm.ARRAY), 0)))))</f>
        <v/>
      </c>
      <c r="B96" t="str" cm="1">
        <f t="array" ref="B96">IF(A96="","",_xlfn.CHOOSECOLS('Prematch Backend 2A'!96:96,_xlfn.MAKEARRAY(1,A96-2,_xlfn.LAMBDA(_xlpm.r,_xlpm.c,_xlpm.c))))</f>
        <v/>
      </c>
    </row>
    <row r="97" spans="1:2" x14ac:dyDescent="0.2">
      <c r="A97" t="str" cm="1">
        <f t="array" ref="A97">IF(MAX(_xlfn.BYCOL('Prematch Backend 6A'!97:97, _xlfn.LAMBDA(_xlpm.ARRAY,IF(_xlpm.ARRAY="teleOp", COLUMN(_xlpm.ARRAY), 0))))=0,"",MAX(_xlfn.BYCOL('Prematch Backend 6A'!97:97, _xlfn.LAMBDA(_xlpm.ARRAY,IF(_xlpm.ARRAY="teleOp", COLUMN(_xlpm.ARRAY), 0)))))</f>
        <v/>
      </c>
      <c r="B97" t="str" cm="1">
        <f t="array" ref="B97">IF(A97="","",_xlfn.CHOOSECOLS('Prematch Backend 2A'!97:97,_xlfn.MAKEARRAY(1,A97-2,_xlfn.LAMBDA(_xlpm.r,_xlpm.c,_xlpm.c))))</f>
        <v/>
      </c>
    </row>
    <row r="98" spans="1:2" x14ac:dyDescent="0.2">
      <c r="A98" t="str" cm="1">
        <f t="array" ref="A98">IF(MAX(_xlfn.BYCOL('Prematch Backend 6A'!98:98, _xlfn.LAMBDA(_xlpm.ARRAY,IF(_xlpm.ARRAY="teleOp", COLUMN(_xlpm.ARRAY), 0))))=0,"",MAX(_xlfn.BYCOL('Prematch Backend 6A'!98:98, _xlfn.LAMBDA(_xlpm.ARRAY,IF(_xlpm.ARRAY="teleOp", COLUMN(_xlpm.ARRAY), 0)))))</f>
        <v/>
      </c>
      <c r="B98" t="str" cm="1">
        <f t="array" ref="B98">IF(A98="","",_xlfn.CHOOSECOLS('Prematch Backend 2A'!98:98,_xlfn.MAKEARRAY(1,A98-2,_xlfn.LAMBDA(_xlpm.r,_xlpm.c,_xlpm.c))))</f>
        <v/>
      </c>
    </row>
    <row r="99" spans="1:2" x14ac:dyDescent="0.2">
      <c r="A99" t="str" cm="1">
        <f t="array" ref="A99">IF(MAX(_xlfn.BYCOL('Prematch Backend 6A'!99:99, _xlfn.LAMBDA(_xlpm.ARRAY,IF(_xlpm.ARRAY="teleOp", COLUMN(_xlpm.ARRAY), 0))))=0,"",MAX(_xlfn.BYCOL('Prematch Backend 6A'!99:99, _xlfn.LAMBDA(_xlpm.ARRAY,IF(_xlpm.ARRAY="teleOp", COLUMN(_xlpm.ARRAY), 0)))))</f>
        <v/>
      </c>
      <c r="B99" t="str" cm="1">
        <f t="array" ref="B99">IF(A99="","",_xlfn.CHOOSECOLS('Prematch Backend 2A'!99:99,_xlfn.MAKEARRAY(1,A99-2,_xlfn.LAMBDA(_xlpm.r,_xlpm.c,_xlpm.c))))</f>
        <v/>
      </c>
    </row>
    <row r="100" spans="1:2" x14ac:dyDescent="0.2">
      <c r="A100" t="str" cm="1">
        <f t="array" ref="A100">IF(MAX(_xlfn.BYCOL('Prematch Backend 6A'!100:100, _xlfn.LAMBDA(_xlpm.ARRAY,IF(_xlpm.ARRAY="teleOp", COLUMN(_xlpm.ARRAY), 0))))=0,"",MAX(_xlfn.BYCOL('Prematch Backend 6A'!100:100, _xlfn.LAMBDA(_xlpm.ARRAY,IF(_xlpm.ARRAY="teleOp", COLUMN(_xlpm.ARRAY), 0)))))</f>
        <v/>
      </c>
      <c r="B100" t="str" cm="1">
        <f t="array" ref="B100">IF(A100="","",_xlfn.CHOOSECOLS('Prematch Backend 2A'!100:100,_xlfn.MAKEARRAY(1,A100-2,_xlfn.LAMBDA(_xlpm.r,_xlpm.c,_xlpm.c))))</f>
        <v/>
      </c>
    </row>
    <row r="101" spans="1:2" x14ac:dyDescent="0.2">
      <c r="A101" t="str" cm="1">
        <f t="array" ref="A101">IF(MAX(_xlfn.BYCOL('Prematch Backend 6A'!101:101, _xlfn.LAMBDA(_xlpm.ARRAY,IF(_xlpm.ARRAY="teleOp", COLUMN(_xlpm.ARRAY), 0))))=0,"",MAX(_xlfn.BYCOL('Prematch Backend 6A'!101:101, _xlfn.LAMBDA(_xlpm.ARRAY,IF(_xlpm.ARRAY="teleOp", COLUMN(_xlpm.ARRAY), 0)))))</f>
        <v/>
      </c>
      <c r="B101" t="str" cm="1">
        <f t="array" ref="B101">IF(A101="","",_xlfn.CHOOSECOLS('Prematch Backend 2A'!101:101,_xlfn.MAKEARRAY(1,A101-2,_xlfn.LAMBDA(_xlpm.r,_xlpm.c,_xlpm.c))))</f>
        <v/>
      </c>
    </row>
    <row r="102" spans="1:2" x14ac:dyDescent="0.2">
      <c r="A102" t="str" cm="1">
        <f t="array" ref="A102">IF(MAX(_xlfn.BYCOL('Prematch Backend 6A'!102:102, _xlfn.LAMBDA(_xlpm.ARRAY,IF(_xlpm.ARRAY="teleOp", COLUMN(_xlpm.ARRAY), 0))))=0,"",MAX(_xlfn.BYCOL('Prematch Backend 6A'!102:102, _xlfn.LAMBDA(_xlpm.ARRAY,IF(_xlpm.ARRAY="teleOp", COLUMN(_xlpm.ARRAY), 0)))))</f>
        <v/>
      </c>
      <c r="B102" t="str" cm="1">
        <f t="array" ref="B102">IF(A102="","",_xlfn.CHOOSECOLS('Prematch Backend 2A'!102:102,_xlfn.MAKEARRAY(1,A102-2,_xlfn.LAMBDA(_xlpm.r,_xlpm.c,_xlpm.c))))</f>
        <v/>
      </c>
    </row>
    <row r="103" spans="1:2" x14ac:dyDescent="0.2">
      <c r="A103" t="str" cm="1">
        <f t="array" ref="A103">IF(MAX(_xlfn.BYCOL('Prematch Backend 6A'!103:103, _xlfn.LAMBDA(_xlpm.ARRAY,IF(_xlpm.ARRAY="teleOp", COLUMN(_xlpm.ARRAY), 0))))=0,"",MAX(_xlfn.BYCOL('Prematch Backend 6A'!103:103, _xlfn.LAMBDA(_xlpm.ARRAY,IF(_xlpm.ARRAY="teleOp", COLUMN(_xlpm.ARRAY), 0)))))</f>
        <v/>
      </c>
      <c r="B103" t="str" cm="1">
        <f t="array" ref="B103">IF(A103="","",_xlfn.CHOOSECOLS('Prematch Backend 2A'!103:103,_xlfn.MAKEARRAY(1,A103-2,_xlfn.LAMBDA(_xlpm.r,_xlpm.c,_xlpm.c))))</f>
        <v/>
      </c>
    </row>
    <row r="104" spans="1:2" x14ac:dyDescent="0.2">
      <c r="A104" t="str" cm="1">
        <f t="array" ref="A104">IF(MAX(_xlfn.BYCOL('Prematch Backend 6A'!104:104, _xlfn.LAMBDA(_xlpm.ARRAY,IF(_xlpm.ARRAY="teleOp", COLUMN(_xlpm.ARRAY), 0))))=0,"",MAX(_xlfn.BYCOL('Prematch Backend 6A'!104:104, _xlfn.LAMBDA(_xlpm.ARRAY,IF(_xlpm.ARRAY="teleOp", COLUMN(_xlpm.ARRAY), 0)))))</f>
        <v/>
      </c>
      <c r="B104" t="str" cm="1">
        <f t="array" ref="B104">IF(A104="","",_xlfn.CHOOSECOLS('Prematch Backend 2A'!104:104,_xlfn.MAKEARRAY(1,A104-2,_xlfn.LAMBDA(_xlpm.r,_xlpm.c,_xlpm.c))))</f>
        <v/>
      </c>
    </row>
    <row r="105" spans="1:2" x14ac:dyDescent="0.2">
      <c r="A105" t="str" cm="1">
        <f t="array" ref="A105">IF(MAX(_xlfn.BYCOL('Prematch Backend 6A'!105:105, _xlfn.LAMBDA(_xlpm.ARRAY,IF(_xlpm.ARRAY="teleOp", COLUMN(_xlpm.ARRAY), 0))))=0,"",MAX(_xlfn.BYCOL('Prematch Backend 6A'!105:105, _xlfn.LAMBDA(_xlpm.ARRAY,IF(_xlpm.ARRAY="teleOp", COLUMN(_xlpm.ARRAY), 0)))))</f>
        <v/>
      </c>
      <c r="B105" t="str" cm="1">
        <f t="array" ref="B105">IF(A105="","",_xlfn.CHOOSECOLS('Prematch Backend 2A'!105:105,_xlfn.MAKEARRAY(1,A105-2,_xlfn.LAMBDA(_xlpm.r,_xlpm.c,_xlpm.c))))</f>
        <v/>
      </c>
    </row>
    <row r="106" spans="1:2" x14ac:dyDescent="0.2">
      <c r="A106" t="str" cm="1">
        <f t="array" ref="A106">IF(MAX(_xlfn.BYCOL('Prematch Backend 6A'!106:106, _xlfn.LAMBDA(_xlpm.ARRAY,IF(_xlpm.ARRAY="teleOp", COLUMN(_xlpm.ARRAY), 0))))=0,"",MAX(_xlfn.BYCOL('Prematch Backend 6A'!106:106, _xlfn.LAMBDA(_xlpm.ARRAY,IF(_xlpm.ARRAY="teleOp", COLUMN(_xlpm.ARRAY), 0)))))</f>
        <v/>
      </c>
      <c r="B106" t="str" cm="1">
        <f t="array" ref="B106">IF(A106="","",_xlfn.CHOOSECOLS('Prematch Backend 2A'!106:106,_xlfn.MAKEARRAY(1,A106-2,_xlfn.LAMBDA(_xlpm.r,_xlpm.c,_xlpm.c))))</f>
        <v/>
      </c>
    </row>
    <row r="107" spans="1:2" x14ac:dyDescent="0.2">
      <c r="A107" t="str" cm="1">
        <f t="array" ref="A107">IF(MAX(_xlfn.BYCOL('Prematch Backend 6A'!107:107, _xlfn.LAMBDA(_xlpm.ARRAY,IF(_xlpm.ARRAY="teleOp", COLUMN(_xlpm.ARRAY), 0))))=0,"",MAX(_xlfn.BYCOL('Prematch Backend 6A'!107:107, _xlfn.LAMBDA(_xlpm.ARRAY,IF(_xlpm.ARRAY="teleOp", COLUMN(_xlpm.ARRAY), 0)))))</f>
        <v/>
      </c>
      <c r="B107" t="str" cm="1">
        <f t="array" ref="B107">IF(A107="","",_xlfn.CHOOSECOLS('Prematch Backend 2A'!107:107,_xlfn.MAKEARRAY(1,A107-2,_xlfn.LAMBDA(_xlpm.r,_xlpm.c,_xlpm.c))))</f>
        <v/>
      </c>
    </row>
    <row r="108" spans="1:2" x14ac:dyDescent="0.2">
      <c r="A108" t="str" cm="1">
        <f t="array" ref="A108">IF(MAX(_xlfn.BYCOL('Prematch Backend 6A'!108:108, _xlfn.LAMBDA(_xlpm.ARRAY,IF(_xlpm.ARRAY="teleOp", COLUMN(_xlpm.ARRAY), 0))))=0,"",MAX(_xlfn.BYCOL('Prematch Backend 6A'!108:108, _xlfn.LAMBDA(_xlpm.ARRAY,IF(_xlpm.ARRAY="teleOp", COLUMN(_xlpm.ARRAY), 0)))))</f>
        <v/>
      </c>
      <c r="B108" t="str" cm="1">
        <f t="array" ref="B108">IF(A108="","",_xlfn.CHOOSECOLS('Prematch Backend 2A'!108:108,_xlfn.MAKEARRAY(1,A108-2,_xlfn.LAMBDA(_xlpm.r,_xlpm.c,_xlpm.c))))</f>
        <v/>
      </c>
    </row>
    <row r="109" spans="1:2" x14ac:dyDescent="0.2">
      <c r="A109" t="str" cm="1">
        <f t="array" ref="A109">IF(MAX(_xlfn.BYCOL('Prematch Backend 6A'!109:109, _xlfn.LAMBDA(_xlpm.ARRAY,IF(_xlpm.ARRAY="teleOp", COLUMN(_xlpm.ARRAY), 0))))=0,"",MAX(_xlfn.BYCOL('Prematch Backend 6A'!109:109, _xlfn.LAMBDA(_xlpm.ARRAY,IF(_xlpm.ARRAY="teleOp", COLUMN(_xlpm.ARRAY), 0)))))</f>
        <v/>
      </c>
      <c r="B109" t="str" cm="1">
        <f t="array" ref="B109">IF(A109="","",_xlfn.CHOOSECOLS('Prematch Backend 2A'!109:109,_xlfn.MAKEARRAY(1,A109-2,_xlfn.LAMBDA(_xlpm.r,_xlpm.c,_xlpm.c))))</f>
        <v/>
      </c>
    </row>
    <row r="110" spans="1:2" x14ac:dyDescent="0.2">
      <c r="A110" t="str" cm="1">
        <f t="array" ref="A110">IF(MAX(_xlfn.BYCOL('Prematch Backend 6A'!110:110, _xlfn.LAMBDA(_xlpm.ARRAY,IF(_xlpm.ARRAY="teleOp", COLUMN(_xlpm.ARRAY), 0))))=0,"",MAX(_xlfn.BYCOL('Prematch Backend 6A'!110:110, _xlfn.LAMBDA(_xlpm.ARRAY,IF(_xlpm.ARRAY="teleOp", COLUMN(_xlpm.ARRAY), 0)))))</f>
        <v/>
      </c>
      <c r="B110" t="str" cm="1">
        <f t="array" ref="B110">IF(A110="","",_xlfn.CHOOSECOLS('Prematch Backend 2A'!110:110,_xlfn.MAKEARRAY(1,A110-2,_xlfn.LAMBDA(_xlpm.r,_xlpm.c,_xlpm.c))))</f>
        <v/>
      </c>
    </row>
    <row r="111" spans="1:2" x14ac:dyDescent="0.2">
      <c r="A111" t="str" cm="1">
        <f t="array" ref="A111">IF(MAX(_xlfn.BYCOL('Prematch Backend 6A'!111:111, _xlfn.LAMBDA(_xlpm.ARRAY,IF(_xlpm.ARRAY="teleOp", COLUMN(_xlpm.ARRAY), 0))))=0,"",MAX(_xlfn.BYCOL('Prematch Backend 6A'!111:111, _xlfn.LAMBDA(_xlpm.ARRAY,IF(_xlpm.ARRAY="teleOp", COLUMN(_xlpm.ARRAY), 0)))))</f>
        <v/>
      </c>
      <c r="B111" t="str" cm="1">
        <f t="array" ref="B111">IF(A111="","",_xlfn.CHOOSECOLS('Prematch Backend 2A'!111:111,_xlfn.MAKEARRAY(1,A111-2,_xlfn.LAMBDA(_xlpm.r,_xlpm.c,_xlpm.c))))</f>
        <v/>
      </c>
    </row>
    <row r="112" spans="1:2" x14ac:dyDescent="0.2">
      <c r="A112" t="str" cm="1">
        <f t="array" ref="A112">IF(MAX(_xlfn.BYCOL('Prematch Backend 6A'!112:112, _xlfn.LAMBDA(_xlpm.ARRAY,IF(_xlpm.ARRAY="teleOp", COLUMN(_xlpm.ARRAY), 0))))=0,"",MAX(_xlfn.BYCOL('Prematch Backend 6A'!112:112, _xlfn.LAMBDA(_xlpm.ARRAY,IF(_xlpm.ARRAY="teleOp", COLUMN(_xlpm.ARRAY), 0)))))</f>
        <v/>
      </c>
      <c r="B112" t="str" cm="1">
        <f t="array" ref="B112">IF(A112="","",_xlfn.CHOOSECOLS('Prematch Backend 2A'!112:112,_xlfn.MAKEARRAY(1,A112-2,_xlfn.LAMBDA(_xlpm.r,_xlpm.c,_xlpm.c))))</f>
        <v/>
      </c>
    </row>
    <row r="113" spans="1:2" x14ac:dyDescent="0.2">
      <c r="A113" t="str" cm="1">
        <f t="array" ref="A113">IF(MAX(_xlfn.BYCOL('Prematch Backend 6A'!113:113, _xlfn.LAMBDA(_xlpm.ARRAY,IF(_xlpm.ARRAY="teleOp", COLUMN(_xlpm.ARRAY), 0))))=0,"",MAX(_xlfn.BYCOL('Prematch Backend 6A'!113:113, _xlfn.LAMBDA(_xlpm.ARRAY,IF(_xlpm.ARRAY="teleOp", COLUMN(_xlpm.ARRAY), 0)))))</f>
        <v/>
      </c>
      <c r="B113" t="str" cm="1">
        <f t="array" ref="B113">IF(A113="","",_xlfn.CHOOSECOLS('Prematch Backend 2A'!113:113,_xlfn.MAKEARRAY(1,A113-2,_xlfn.LAMBDA(_xlpm.r,_xlpm.c,_xlpm.c))))</f>
        <v/>
      </c>
    </row>
    <row r="114" spans="1:2" x14ac:dyDescent="0.2">
      <c r="A114" t="str" cm="1">
        <f t="array" ref="A114">IF(MAX(_xlfn.BYCOL('Prematch Backend 6A'!114:114, _xlfn.LAMBDA(_xlpm.ARRAY,IF(_xlpm.ARRAY="teleOp", COLUMN(_xlpm.ARRAY), 0))))=0,"",MAX(_xlfn.BYCOL('Prematch Backend 6A'!114:114, _xlfn.LAMBDA(_xlpm.ARRAY,IF(_xlpm.ARRAY="teleOp", COLUMN(_xlpm.ARRAY), 0)))))</f>
        <v/>
      </c>
      <c r="B114" t="str" cm="1">
        <f t="array" ref="B114">IF(A114="","",_xlfn.CHOOSECOLS('Prematch Backend 2A'!114:114,_xlfn.MAKEARRAY(1,A114-2,_xlfn.LAMBDA(_xlpm.r,_xlpm.c,_xlpm.c))))</f>
        <v/>
      </c>
    </row>
    <row r="115" spans="1:2" x14ac:dyDescent="0.2">
      <c r="A115" t="str" cm="1">
        <f t="array" ref="A115">IF(MAX(_xlfn.BYCOL('Prematch Backend 6A'!115:115, _xlfn.LAMBDA(_xlpm.ARRAY,IF(_xlpm.ARRAY="teleOp", COLUMN(_xlpm.ARRAY), 0))))=0,"",MAX(_xlfn.BYCOL('Prematch Backend 6A'!115:115, _xlfn.LAMBDA(_xlpm.ARRAY,IF(_xlpm.ARRAY="teleOp", COLUMN(_xlpm.ARRAY), 0)))))</f>
        <v/>
      </c>
      <c r="B115" t="str" cm="1">
        <f t="array" ref="B115">IF(A115="","",_xlfn.CHOOSECOLS('Prematch Backend 2A'!115:115,_xlfn.MAKEARRAY(1,A115-2,_xlfn.LAMBDA(_xlpm.r,_xlpm.c,_xlpm.c))))</f>
        <v/>
      </c>
    </row>
    <row r="116" spans="1:2" x14ac:dyDescent="0.2">
      <c r="A116" t="str" cm="1">
        <f t="array" ref="A116">IF(MAX(_xlfn.BYCOL('Prematch Backend 6A'!116:116, _xlfn.LAMBDA(_xlpm.ARRAY,IF(_xlpm.ARRAY="teleOp", COLUMN(_xlpm.ARRAY), 0))))=0,"",MAX(_xlfn.BYCOL('Prematch Backend 6A'!116:116, _xlfn.LAMBDA(_xlpm.ARRAY,IF(_xlpm.ARRAY="teleOp", COLUMN(_xlpm.ARRAY), 0)))))</f>
        <v/>
      </c>
      <c r="B116" t="str" cm="1">
        <f t="array" ref="B116">IF(A116="","",_xlfn.CHOOSECOLS('Prematch Backend 2A'!116:116,_xlfn.MAKEARRAY(1,A116-2,_xlfn.LAMBDA(_xlpm.r,_xlpm.c,_xlpm.c))))</f>
        <v/>
      </c>
    </row>
    <row r="117" spans="1:2" x14ac:dyDescent="0.2">
      <c r="A117" t="str" cm="1">
        <f t="array" ref="A117">IF(MAX(_xlfn.BYCOL('Prematch Backend 6A'!117:117, _xlfn.LAMBDA(_xlpm.ARRAY,IF(_xlpm.ARRAY="teleOp", COLUMN(_xlpm.ARRAY), 0))))=0,"",MAX(_xlfn.BYCOL('Prematch Backend 6A'!117:117, _xlfn.LAMBDA(_xlpm.ARRAY,IF(_xlpm.ARRAY="teleOp", COLUMN(_xlpm.ARRAY), 0)))))</f>
        <v/>
      </c>
      <c r="B117" t="str" cm="1">
        <f t="array" ref="B117">IF(A117="","",_xlfn.CHOOSECOLS('Prematch Backend 2A'!117:117,_xlfn.MAKEARRAY(1,A117-2,_xlfn.LAMBDA(_xlpm.r,_xlpm.c,_xlpm.c))))</f>
        <v/>
      </c>
    </row>
    <row r="118" spans="1:2" x14ac:dyDescent="0.2">
      <c r="A118" t="str" cm="1">
        <f t="array" ref="A118">IF(MAX(_xlfn.BYCOL('Prematch Backend 6A'!118:118, _xlfn.LAMBDA(_xlpm.ARRAY,IF(_xlpm.ARRAY="teleOp", COLUMN(_xlpm.ARRAY), 0))))=0,"",MAX(_xlfn.BYCOL('Prematch Backend 6A'!118:118, _xlfn.LAMBDA(_xlpm.ARRAY,IF(_xlpm.ARRAY="teleOp", COLUMN(_xlpm.ARRAY), 0)))))</f>
        <v/>
      </c>
      <c r="B118" t="str" cm="1">
        <f t="array" ref="B118">IF(A118="","",_xlfn.CHOOSECOLS('Prematch Backend 2A'!118:118,_xlfn.MAKEARRAY(1,A118-2,_xlfn.LAMBDA(_xlpm.r,_xlpm.c,_xlpm.c))))</f>
        <v/>
      </c>
    </row>
    <row r="119" spans="1:2" x14ac:dyDescent="0.2">
      <c r="A119" t="str" cm="1">
        <f t="array" ref="A119">IF(MAX(_xlfn.BYCOL('Prematch Backend 6A'!119:119, _xlfn.LAMBDA(_xlpm.ARRAY,IF(_xlpm.ARRAY="teleOp", COLUMN(_xlpm.ARRAY), 0))))=0,"",MAX(_xlfn.BYCOL('Prematch Backend 6A'!119:119, _xlfn.LAMBDA(_xlpm.ARRAY,IF(_xlpm.ARRAY="teleOp", COLUMN(_xlpm.ARRAY), 0)))))</f>
        <v/>
      </c>
      <c r="B119" t="str" cm="1">
        <f t="array" ref="B119">IF(A119="","",_xlfn.CHOOSECOLS('Prematch Backend 2A'!119:119,_xlfn.MAKEARRAY(1,A119-2,_xlfn.LAMBDA(_xlpm.r,_xlpm.c,_xlpm.c))))</f>
        <v/>
      </c>
    </row>
    <row r="120" spans="1:2" x14ac:dyDescent="0.2">
      <c r="A120" t="str" cm="1">
        <f t="array" ref="A120">IF(MAX(_xlfn.BYCOL('Prematch Backend 6A'!120:120, _xlfn.LAMBDA(_xlpm.ARRAY,IF(_xlpm.ARRAY="teleOp", COLUMN(_xlpm.ARRAY), 0))))=0,"",MAX(_xlfn.BYCOL('Prematch Backend 6A'!120:120, _xlfn.LAMBDA(_xlpm.ARRAY,IF(_xlpm.ARRAY="teleOp", COLUMN(_xlpm.ARRAY), 0)))))</f>
        <v/>
      </c>
      <c r="B120" t="str" cm="1">
        <f t="array" ref="B120">IF(A120="","",_xlfn.CHOOSECOLS('Prematch Backend 2A'!120:120,_xlfn.MAKEARRAY(1,A120-2,_xlfn.LAMBDA(_xlpm.r,_xlpm.c,_xlpm.c))))</f>
        <v/>
      </c>
    </row>
    <row r="121" spans="1:2" x14ac:dyDescent="0.2">
      <c r="A121" t="str" cm="1">
        <f t="array" ref="A121">IF(MAX(_xlfn.BYCOL('Prematch Backend 6A'!121:121, _xlfn.LAMBDA(_xlpm.ARRAY,IF(_xlpm.ARRAY="teleOp", COLUMN(_xlpm.ARRAY), 0))))=0,"",MAX(_xlfn.BYCOL('Prematch Backend 6A'!121:121, _xlfn.LAMBDA(_xlpm.ARRAY,IF(_xlpm.ARRAY="teleOp", COLUMN(_xlpm.ARRAY), 0)))))</f>
        <v/>
      </c>
      <c r="B121" t="str" cm="1">
        <f t="array" ref="B121">IF(A121="","",_xlfn.CHOOSECOLS('Prematch Backend 2A'!121:121,_xlfn.MAKEARRAY(1,A121-2,_xlfn.LAMBDA(_xlpm.r,_xlpm.c,_xlpm.c))))</f>
        <v/>
      </c>
    </row>
    <row r="122" spans="1:2" x14ac:dyDescent="0.2">
      <c r="A122" t="str" cm="1">
        <f t="array" ref="A122">IF(MAX(_xlfn.BYCOL('Prematch Backend 6A'!122:122, _xlfn.LAMBDA(_xlpm.ARRAY,IF(_xlpm.ARRAY="teleOp", COLUMN(_xlpm.ARRAY), 0))))=0,"",MAX(_xlfn.BYCOL('Prematch Backend 6A'!122:122, _xlfn.LAMBDA(_xlpm.ARRAY,IF(_xlpm.ARRAY="teleOp", COLUMN(_xlpm.ARRAY), 0)))))</f>
        <v/>
      </c>
      <c r="B122" t="str" cm="1">
        <f t="array" ref="B122">IF(A122="","",_xlfn.CHOOSECOLS('Prematch Backend 2A'!122:122,_xlfn.MAKEARRAY(1,A122-2,_xlfn.LAMBDA(_xlpm.r,_xlpm.c,_xlpm.c))))</f>
        <v/>
      </c>
    </row>
    <row r="123" spans="1:2" x14ac:dyDescent="0.2">
      <c r="A123" t="str" cm="1">
        <f t="array" ref="A123">IF(MAX(_xlfn.BYCOL('Prematch Backend 6A'!123:123, _xlfn.LAMBDA(_xlpm.ARRAY,IF(_xlpm.ARRAY="teleOp", COLUMN(_xlpm.ARRAY), 0))))=0,"",MAX(_xlfn.BYCOL('Prematch Backend 6A'!123:123, _xlfn.LAMBDA(_xlpm.ARRAY,IF(_xlpm.ARRAY="teleOp", COLUMN(_xlpm.ARRAY), 0)))))</f>
        <v/>
      </c>
      <c r="B123" t="str" cm="1">
        <f t="array" ref="B123">IF(A123="","",_xlfn.CHOOSECOLS('Prematch Backend 2A'!123:123,_xlfn.MAKEARRAY(1,A123-2,_xlfn.LAMBDA(_xlpm.r,_xlpm.c,_xlpm.c))))</f>
        <v/>
      </c>
    </row>
    <row r="124" spans="1:2" x14ac:dyDescent="0.2">
      <c r="A124" t="str" cm="1">
        <f t="array" ref="A124">IF(MAX(_xlfn.BYCOL('Prematch Backend 6A'!124:124, _xlfn.LAMBDA(_xlpm.ARRAY,IF(_xlpm.ARRAY="teleOp", COLUMN(_xlpm.ARRAY), 0))))=0,"",MAX(_xlfn.BYCOL('Prematch Backend 6A'!124:124, _xlfn.LAMBDA(_xlpm.ARRAY,IF(_xlpm.ARRAY="teleOp", COLUMN(_xlpm.ARRAY), 0)))))</f>
        <v/>
      </c>
      <c r="B124" t="str" cm="1">
        <f t="array" ref="B124">IF(A124="","",_xlfn.CHOOSECOLS('Prematch Backend 2A'!124:124,_xlfn.MAKEARRAY(1,A124-2,_xlfn.LAMBDA(_xlpm.r,_xlpm.c,_xlpm.c))))</f>
        <v/>
      </c>
    </row>
    <row r="125" spans="1:2" x14ac:dyDescent="0.2">
      <c r="A125" t="str" cm="1">
        <f t="array" ref="A125">IF(MAX(_xlfn.BYCOL('Prematch Backend 6A'!125:125, _xlfn.LAMBDA(_xlpm.ARRAY,IF(_xlpm.ARRAY="teleOp", COLUMN(_xlpm.ARRAY), 0))))=0,"",MAX(_xlfn.BYCOL('Prematch Backend 6A'!125:125, _xlfn.LAMBDA(_xlpm.ARRAY,IF(_xlpm.ARRAY="teleOp", COLUMN(_xlpm.ARRAY), 0)))))</f>
        <v/>
      </c>
      <c r="B125" t="str" cm="1">
        <f t="array" ref="B125">IF(A125="","",_xlfn.CHOOSECOLS('Prematch Backend 2A'!125:125,_xlfn.MAKEARRAY(1,A125-2,_xlfn.LAMBDA(_xlpm.r,_xlpm.c,_xlpm.c))))</f>
        <v/>
      </c>
    </row>
    <row r="126" spans="1:2" x14ac:dyDescent="0.2">
      <c r="A126" t="str" cm="1">
        <f t="array" ref="A126">IF(MAX(_xlfn.BYCOL('Prematch Backend 6A'!126:126, _xlfn.LAMBDA(_xlpm.ARRAY,IF(_xlpm.ARRAY="teleOp", COLUMN(_xlpm.ARRAY), 0))))=0,"",MAX(_xlfn.BYCOL('Prematch Backend 6A'!126:126, _xlfn.LAMBDA(_xlpm.ARRAY,IF(_xlpm.ARRAY="teleOp", COLUMN(_xlpm.ARRAY), 0)))))</f>
        <v/>
      </c>
      <c r="B126" t="str" cm="1">
        <f t="array" ref="B126">IF(A126="","",_xlfn.CHOOSECOLS('Prematch Backend 2A'!126:126,_xlfn.MAKEARRAY(1,A126-2,_xlfn.LAMBDA(_xlpm.r,_xlpm.c,_xlpm.c))))</f>
        <v/>
      </c>
    </row>
    <row r="127" spans="1:2" x14ac:dyDescent="0.2">
      <c r="A127" t="str" cm="1">
        <f t="array" ref="A127">IF(MAX(_xlfn.BYCOL('Prematch Backend 6A'!127:127, _xlfn.LAMBDA(_xlpm.ARRAY,IF(_xlpm.ARRAY="teleOp", COLUMN(_xlpm.ARRAY), 0))))=0,"",MAX(_xlfn.BYCOL('Prematch Backend 6A'!127:127, _xlfn.LAMBDA(_xlpm.ARRAY,IF(_xlpm.ARRAY="teleOp", COLUMN(_xlpm.ARRAY), 0)))))</f>
        <v/>
      </c>
      <c r="B127" t="str" cm="1">
        <f t="array" ref="B127">IF(A127="","",_xlfn.CHOOSECOLS('Prematch Backend 2A'!127:127,_xlfn.MAKEARRAY(1,A127-2,_xlfn.LAMBDA(_xlpm.r,_xlpm.c,_xlpm.c))))</f>
        <v/>
      </c>
    </row>
    <row r="128" spans="1:2" x14ac:dyDescent="0.2">
      <c r="A128" t="str" cm="1">
        <f t="array" ref="A128">IF(MAX(_xlfn.BYCOL('Prematch Backend 6A'!128:128, _xlfn.LAMBDA(_xlpm.ARRAY,IF(_xlpm.ARRAY="teleOp", COLUMN(_xlpm.ARRAY), 0))))=0,"",MAX(_xlfn.BYCOL('Prematch Backend 6A'!128:128, _xlfn.LAMBDA(_xlpm.ARRAY,IF(_xlpm.ARRAY="teleOp", COLUMN(_xlpm.ARRAY), 0)))))</f>
        <v/>
      </c>
      <c r="B128" t="str" cm="1">
        <f t="array" ref="B128">IF(A128="","",_xlfn.CHOOSECOLS('Prematch Backend 2A'!128:128,_xlfn.MAKEARRAY(1,A128-2,_xlfn.LAMBDA(_xlpm.r,_xlpm.c,_xlpm.c))))</f>
        <v/>
      </c>
    </row>
    <row r="129" spans="1:2" x14ac:dyDescent="0.2">
      <c r="A129" t="str" cm="1">
        <f t="array" ref="A129">IF(MAX(_xlfn.BYCOL('Prematch Backend 6A'!129:129, _xlfn.LAMBDA(_xlpm.ARRAY,IF(_xlpm.ARRAY="teleOp", COLUMN(_xlpm.ARRAY), 0))))=0,"",MAX(_xlfn.BYCOL('Prematch Backend 6A'!129:129, _xlfn.LAMBDA(_xlpm.ARRAY,IF(_xlpm.ARRAY="teleOp", COLUMN(_xlpm.ARRAY), 0)))))</f>
        <v/>
      </c>
      <c r="B129" t="str" cm="1">
        <f t="array" ref="B129">IF(A129="","",_xlfn.CHOOSECOLS('Prematch Backend 2A'!129:129,_xlfn.MAKEARRAY(1,A129-2,_xlfn.LAMBDA(_xlpm.r,_xlpm.c,_xlpm.c))))</f>
        <v/>
      </c>
    </row>
    <row r="130" spans="1:2" x14ac:dyDescent="0.2">
      <c r="A130" t="str" cm="1">
        <f t="array" ref="A130">IF(MAX(_xlfn.BYCOL('Prematch Backend 6A'!130:130, _xlfn.LAMBDA(_xlpm.ARRAY,IF(_xlpm.ARRAY="teleOp", COLUMN(_xlpm.ARRAY), 0))))=0,"",MAX(_xlfn.BYCOL('Prematch Backend 6A'!130:130, _xlfn.LAMBDA(_xlpm.ARRAY,IF(_xlpm.ARRAY="teleOp", COLUMN(_xlpm.ARRAY), 0)))))</f>
        <v/>
      </c>
      <c r="B130" t="str" cm="1">
        <f t="array" ref="B130">IF(A130="","",_xlfn.CHOOSECOLS('Prematch Backend 2A'!130:130,_xlfn.MAKEARRAY(1,A130-2,_xlfn.LAMBDA(_xlpm.r,_xlpm.c,_xlpm.c))))</f>
        <v/>
      </c>
    </row>
    <row r="131" spans="1:2" x14ac:dyDescent="0.2">
      <c r="A131" t="str" cm="1">
        <f t="array" ref="A131">IF(MAX(_xlfn.BYCOL('Prematch Backend 6A'!131:131, _xlfn.LAMBDA(_xlpm.ARRAY,IF(_xlpm.ARRAY="teleOp", COLUMN(_xlpm.ARRAY), 0))))=0,"",MAX(_xlfn.BYCOL('Prematch Backend 6A'!131:131, _xlfn.LAMBDA(_xlpm.ARRAY,IF(_xlpm.ARRAY="teleOp", COLUMN(_xlpm.ARRAY), 0)))))</f>
        <v/>
      </c>
      <c r="B131" t="str" cm="1">
        <f t="array" ref="B131">IF(A131="","",_xlfn.CHOOSECOLS('Prematch Backend 2A'!131:131,_xlfn.MAKEARRAY(1,A131-2,_xlfn.LAMBDA(_xlpm.r,_xlpm.c,_xlpm.c))))</f>
        <v/>
      </c>
    </row>
    <row r="132" spans="1:2" x14ac:dyDescent="0.2">
      <c r="A132" t="str" cm="1">
        <f t="array" ref="A132">IF(MAX(_xlfn.BYCOL('Prematch Backend 6A'!132:132, _xlfn.LAMBDA(_xlpm.ARRAY,IF(_xlpm.ARRAY="teleOp", COLUMN(_xlpm.ARRAY), 0))))=0,"",MAX(_xlfn.BYCOL('Prematch Backend 6A'!132:132, _xlfn.LAMBDA(_xlpm.ARRAY,IF(_xlpm.ARRAY="teleOp", COLUMN(_xlpm.ARRAY), 0)))))</f>
        <v/>
      </c>
      <c r="B132" t="str" cm="1">
        <f t="array" ref="B132">IF(A132="","",_xlfn.CHOOSECOLS('Prematch Backend 2A'!132:132,_xlfn.MAKEARRAY(1,A132-2,_xlfn.LAMBDA(_xlpm.r,_xlpm.c,_xlpm.c))))</f>
        <v/>
      </c>
    </row>
    <row r="133" spans="1:2" x14ac:dyDescent="0.2">
      <c r="A133" t="str" cm="1">
        <f t="array" ref="A133">IF(MAX(_xlfn.BYCOL('Prematch Backend 6A'!133:133, _xlfn.LAMBDA(_xlpm.ARRAY,IF(_xlpm.ARRAY="teleOp", COLUMN(_xlpm.ARRAY), 0))))=0,"",MAX(_xlfn.BYCOL('Prematch Backend 6A'!133:133, _xlfn.LAMBDA(_xlpm.ARRAY,IF(_xlpm.ARRAY="teleOp", COLUMN(_xlpm.ARRAY), 0)))))</f>
        <v/>
      </c>
      <c r="B133" t="str" cm="1">
        <f t="array" ref="B133">IF(A133="","",_xlfn.CHOOSECOLS('Prematch Backend 2A'!133:133,_xlfn.MAKEARRAY(1,A133-2,_xlfn.LAMBDA(_xlpm.r,_xlpm.c,_xlpm.c))))</f>
        <v/>
      </c>
    </row>
    <row r="134" spans="1:2" x14ac:dyDescent="0.2">
      <c r="A134" t="str" cm="1">
        <f t="array" ref="A134">IF(MAX(_xlfn.BYCOL('Prematch Backend 6A'!134:134, _xlfn.LAMBDA(_xlpm.ARRAY,IF(_xlpm.ARRAY="teleOp", COLUMN(_xlpm.ARRAY), 0))))=0,"",MAX(_xlfn.BYCOL('Prematch Backend 6A'!134:134, _xlfn.LAMBDA(_xlpm.ARRAY,IF(_xlpm.ARRAY="teleOp", COLUMN(_xlpm.ARRAY), 0)))))</f>
        <v/>
      </c>
      <c r="B134" t="str" cm="1">
        <f t="array" ref="B134">IF(A134="","",_xlfn.CHOOSECOLS('Prematch Backend 2A'!134:134,_xlfn.MAKEARRAY(1,A134-2,_xlfn.LAMBDA(_xlpm.r,_xlpm.c,_xlpm.c))))</f>
        <v/>
      </c>
    </row>
    <row r="135" spans="1:2" x14ac:dyDescent="0.2">
      <c r="A135" t="str" cm="1">
        <f t="array" ref="A135">IF(MAX(_xlfn.BYCOL('Prematch Backend 6A'!135:135, _xlfn.LAMBDA(_xlpm.ARRAY,IF(_xlpm.ARRAY="teleOp", COLUMN(_xlpm.ARRAY), 0))))=0,"",MAX(_xlfn.BYCOL('Prematch Backend 6A'!135:135, _xlfn.LAMBDA(_xlpm.ARRAY,IF(_xlpm.ARRAY="teleOp", COLUMN(_xlpm.ARRAY), 0)))))</f>
        <v/>
      </c>
      <c r="B135" t="str" cm="1">
        <f t="array" ref="B135">IF(A135="","",_xlfn.CHOOSECOLS('Prematch Backend 2A'!135:135,_xlfn.MAKEARRAY(1,A135-2,_xlfn.LAMBDA(_xlpm.r,_xlpm.c,_xlpm.c))))</f>
        <v/>
      </c>
    </row>
    <row r="136" spans="1:2" x14ac:dyDescent="0.2">
      <c r="A136" t="str" cm="1">
        <f t="array" ref="A136">IF(MAX(_xlfn.BYCOL('Prematch Backend 6A'!136:136, _xlfn.LAMBDA(_xlpm.ARRAY,IF(_xlpm.ARRAY="teleOp", COLUMN(_xlpm.ARRAY), 0))))=0,"",MAX(_xlfn.BYCOL('Prematch Backend 6A'!136:136, _xlfn.LAMBDA(_xlpm.ARRAY,IF(_xlpm.ARRAY="teleOp", COLUMN(_xlpm.ARRAY), 0)))))</f>
        <v/>
      </c>
      <c r="B136" t="str" cm="1">
        <f t="array" ref="B136">IF(A136="","",_xlfn.CHOOSECOLS('Prematch Backend 2A'!136:136,_xlfn.MAKEARRAY(1,A136-2,_xlfn.LAMBDA(_xlpm.r,_xlpm.c,_xlpm.c))))</f>
        <v/>
      </c>
    </row>
    <row r="137" spans="1:2" x14ac:dyDescent="0.2">
      <c r="A137" t="str" cm="1">
        <f t="array" ref="A137">IF(MAX(_xlfn.BYCOL('Prematch Backend 6A'!137:137, _xlfn.LAMBDA(_xlpm.ARRAY,IF(_xlpm.ARRAY="teleOp", COLUMN(_xlpm.ARRAY), 0))))=0,"",MAX(_xlfn.BYCOL('Prematch Backend 6A'!137:137, _xlfn.LAMBDA(_xlpm.ARRAY,IF(_xlpm.ARRAY="teleOp", COLUMN(_xlpm.ARRAY), 0)))))</f>
        <v/>
      </c>
      <c r="B137" t="str" cm="1">
        <f t="array" ref="B137">IF(A137="","",_xlfn.CHOOSECOLS('Prematch Backend 2A'!137:137,_xlfn.MAKEARRAY(1,A137-2,_xlfn.LAMBDA(_xlpm.r,_xlpm.c,_xlpm.c))))</f>
        <v/>
      </c>
    </row>
    <row r="138" spans="1:2" x14ac:dyDescent="0.2">
      <c r="A138" t="str" cm="1">
        <f t="array" ref="A138">IF(MAX(_xlfn.BYCOL('Prematch Backend 6A'!138:138, _xlfn.LAMBDA(_xlpm.ARRAY,IF(_xlpm.ARRAY="teleOp", COLUMN(_xlpm.ARRAY), 0))))=0,"",MAX(_xlfn.BYCOL('Prematch Backend 6A'!138:138, _xlfn.LAMBDA(_xlpm.ARRAY,IF(_xlpm.ARRAY="teleOp", COLUMN(_xlpm.ARRAY), 0)))))</f>
        <v/>
      </c>
      <c r="B138" t="str" cm="1">
        <f t="array" ref="B138">IF(A138="","",_xlfn.CHOOSECOLS('Prematch Backend 2A'!138:138,_xlfn.MAKEARRAY(1,A138-2,_xlfn.LAMBDA(_xlpm.r,_xlpm.c,_xlpm.c))))</f>
        <v/>
      </c>
    </row>
    <row r="139" spans="1:2" x14ac:dyDescent="0.2">
      <c r="A139" t="str" cm="1">
        <f t="array" ref="A139">IF(MAX(_xlfn.BYCOL('Prematch Backend 6A'!139:139, _xlfn.LAMBDA(_xlpm.ARRAY,IF(_xlpm.ARRAY="teleOp", COLUMN(_xlpm.ARRAY), 0))))=0,"",MAX(_xlfn.BYCOL('Prematch Backend 6A'!139:139, _xlfn.LAMBDA(_xlpm.ARRAY,IF(_xlpm.ARRAY="teleOp", COLUMN(_xlpm.ARRAY), 0)))))</f>
        <v/>
      </c>
      <c r="B139" t="str" cm="1">
        <f t="array" ref="B139">IF(A139="","",_xlfn.CHOOSECOLS('Prematch Backend 2A'!139:139,_xlfn.MAKEARRAY(1,A139-2,_xlfn.LAMBDA(_xlpm.r,_xlpm.c,_xlpm.c))))</f>
        <v/>
      </c>
    </row>
    <row r="140" spans="1:2" x14ac:dyDescent="0.2">
      <c r="A140" t="str" cm="1">
        <f t="array" ref="A140">IF(MAX(_xlfn.BYCOL('Prematch Backend 6A'!140:140, _xlfn.LAMBDA(_xlpm.ARRAY,IF(_xlpm.ARRAY="teleOp", COLUMN(_xlpm.ARRAY), 0))))=0,"",MAX(_xlfn.BYCOL('Prematch Backend 6A'!140:140, _xlfn.LAMBDA(_xlpm.ARRAY,IF(_xlpm.ARRAY="teleOp", COLUMN(_xlpm.ARRAY), 0)))))</f>
        <v/>
      </c>
      <c r="B140" t="str" cm="1">
        <f t="array" ref="B140">IF(A140="","",_xlfn.CHOOSECOLS('Prematch Backend 2A'!140:140,_xlfn.MAKEARRAY(1,A140-2,_xlfn.LAMBDA(_xlpm.r,_xlpm.c,_xlpm.c))))</f>
        <v/>
      </c>
    </row>
    <row r="141" spans="1:2" x14ac:dyDescent="0.2">
      <c r="B141" t="str" cm="1">
        <f t="array" ref="B141">IF(A141="","",_xlfn.CHOOSECOLS('Prematch Backend 2A'!141:141,_xlfn.MAKEARRAY(1,A141-2,_xlfn.LAMBDA(_xlpm.r,_xlpm.c,_xlpm.c))))</f>
        <v/>
      </c>
    </row>
    <row r="142" spans="1:2" x14ac:dyDescent="0.2">
      <c r="B142" t="str" cm="1">
        <f t="array" ref="B142">IF(A142="","",_xlfn.CHOOSECOLS('Prematch Backend 2A'!142:142,_xlfn.MAKEARRAY(1,A142-2,_xlfn.LAMBDA(_xlpm.r,_xlpm.c,_xlpm.c))))</f>
        <v/>
      </c>
    </row>
    <row r="143" spans="1:2" x14ac:dyDescent="0.2">
      <c r="B143" t="str" cm="1">
        <f t="array" ref="B143">IF(A143="","",_xlfn.CHOOSECOLS('Prematch Backend 2A'!143:143,_xlfn.MAKEARRAY(1,A143-2,_xlfn.LAMBDA(_xlpm.r,_xlpm.c,_xlpm.c))))</f>
        <v/>
      </c>
    </row>
    <row r="144" spans="1:2" x14ac:dyDescent="0.2">
      <c r="B144" t="str" cm="1">
        <f t="array" ref="B144">IF(A144="","",_xlfn.CHOOSECOLS('Prematch Backend 2A'!144:144,_xlfn.MAKEARRAY(1,A144-2,_xlfn.LAMBDA(_xlpm.r,_xlpm.c,_xlpm.c))))</f>
        <v/>
      </c>
    </row>
    <row r="145" spans="2:2" x14ac:dyDescent="0.2">
      <c r="B145" t="str" cm="1">
        <f t="array" ref="B145">IF(A145="","",_xlfn.CHOOSECOLS('Prematch Backend 2A'!145:145,_xlfn.MAKEARRAY(1,A145-2,_xlfn.LAMBDA(_xlpm.r,_xlpm.c,_xlpm.c))))</f>
        <v/>
      </c>
    </row>
    <row r="146" spans="2:2" x14ac:dyDescent="0.2">
      <c r="B146" t="str" cm="1">
        <f t="array" ref="B146">IF(A146="","",_xlfn.CHOOSECOLS('Prematch Backend 2A'!146:146,_xlfn.MAKEARRAY(1,A146-2,_xlfn.LAMBDA(_xlpm.r,_xlpm.c,_xlpm.c))))</f>
        <v/>
      </c>
    </row>
    <row r="147" spans="2:2" x14ac:dyDescent="0.2">
      <c r="B147" t="str" cm="1">
        <f t="array" ref="B147">IF(A147="","",_xlfn.CHOOSECOLS('Prematch Backend 2A'!147:147,_xlfn.MAKEARRAY(1,A147-2,_xlfn.LAMBDA(_xlpm.r,_xlpm.c,_xlpm.c))))</f>
        <v/>
      </c>
    </row>
    <row r="148" spans="2:2" x14ac:dyDescent="0.2">
      <c r="B148" t="str" cm="1">
        <f t="array" ref="B148">IF(A148="","",_xlfn.CHOOSECOLS('Prematch Backend 2A'!148:148,_xlfn.MAKEARRAY(1,A148-2,_xlfn.LAMBDA(_xlpm.r,_xlpm.c,_xlpm.c))))</f>
        <v/>
      </c>
    </row>
    <row r="149" spans="2:2" x14ac:dyDescent="0.2">
      <c r="B149" t="str" cm="1">
        <f t="array" ref="B149">IF(A149="","",_xlfn.CHOOSECOLS('Prematch Backend 2A'!149:149,_xlfn.MAKEARRAY(1,A149-2,_xlfn.LAMBDA(_xlpm.r,_xlpm.c,_xlpm.c))))</f>
        <v/>
      </c>
    </row>
    <row r="150" spans="2:2" x14ac:dyDescent="0.2">
      <c r="B150" t="str" cm="1">
        <f t="array" ref="B150">IF(A150="","",_xlfn.CHOOSECOLS('Prematch Backend 2A'!150:150,_xlfn.MAKEARRAY(1,A150-2,_xlfn.LAMBDA(_xlpm.r,_xlpm.c,_xlpm.c))))</f>
        <v/>
      </c>
    </row>
    <row r="151" spans="2:2" x14ac:dyDescent="0.2">
      <c r="B151" t="str" cm="1">
        <f t="array" ref="B151">IF(A151="","",_xlfn.CHOOSECOLS('Prematch Backend 2A'!151:151,_xlfn.MAKEARRAY(1,A151-2,_xlfn.LAMBDA(_xlpm.r,_xlpm.c,_xlpm.c))))</f>
        <v/>
      </c>
    </row>
    <row r="152" spans="2:2" x14ac:dyDescent="0.2">
      <c r="B152" t="str" cm="1">
        <f t="array" ref="B152">IF(A152="","",_xlfn.CHOOSECOLS('Prematch Backend 2A'!152:152,_xlfn.MAKEARRAY(1,A152-2,_xlfn.LAMBDA(_xlpm.r,_xlpm.c,_xlpm.c))))</f>
        <v/>
      </c>
    </row>
    <row r="153" spans="2:2" x14ac:dyDescent="0.2">
      <c r="B153" t="str" cm="1">
        <f t="array" ref="B153">IF(A153="","",_xlfn.CHOOSECOLS('Prematch Backend 2A'!153:153,_xlfn.MAKEARRAY(1,A153-2,_xlfn.LAMBDA(_xlpm.r,_xlpm.c,_xlpm.c))))</f>
        <v/>
      </c>
    </row>
    <row r="154" spans="2:2" x14ac:dyDescent="0.2">
      <c r="B154" t="str" cm="1">
        <f t="array" ref="B154">IF(A154="","",_xlfn.CHOOSECOLS('Prematch Backend 2A'!154:154,_xlfn.MAKEARRAY(1,A154-2,_xlfn.LAMBDA(_xlpm.r,_xlpm.c,_xlpm.c))))</f>
        <v/>
      </c>
    </row>
    <row r="155" spans="2:2" x14ac:dyDescent="0.2">
      <c r="B155" t="str" cm="1">
        <f t="array" ref="B155">IF(A155="","",_xlfn.CHOOSECOLS('Prematch Backend 2A'!155:155,_xlfn.MAKEARRAY(1,A155-2,_xlfn.LAMBDA(_xlpm.r,_xlpm.c,_xlpm.c))))</f>
        <v/>
      </c>
    </row>
    <row r="156" spans="2:2" x14ac:dyDescent="0.2">
      <c r="B156" t="str" cm="1">
        <f t="array" ref="B156">IF(A156="","",_xlfn.CHOOSECOLS('Prematch Backend 2A'!156:156,_xlfn.MAKEARRAY(1,A156-2,_xlfn.LAMBDA(_xlpm.r,_xlpm.c,_xlpm.c))))</f>
        <v/>
      </c>
    </row>
    <row r="157" spans="2:2" x14ac:dyDescent="0.2">
      <c r="B157" t="str" cm="1">
        <f t="array" ref="B157">IF(A157="","",_xlfn.CHOOSECOLS('Prematch Backend 2A'!157:157,_xlfn.MAKEARRAY(1,A157-2,_xlfn.LAMBDA(_xlpm.r,_xlpm.c,_xlpm.c))))</f>
        <v/>
      </c>
    </row>
    <row r="158" spans="2:2" x14ac:dyDescent="0.2">
      <c r="B158" t="str" cm="1">
        <f t="array" ref="B158">IF(A158="","",_xlfn.CHOOSECOLS('Prematch Backend 2A'!158:158,_xlfn.MAKEARRAY(1,A158-2,_xlfn.LAMBDA(_xlpm.r,_xlpm.c,_xlpm.c))))</f>
        <v/>
      </c>
    </row>
    <row r="159" spans="2:2" x14ac:dyDescent="0.2">
      <c r="B159" t="str" cm="1">
        <f t="array" ref="B159">IF(A159="","",_xlfn.CHOOSECOLS('Prematch Backend 2A'!159:159,_xlfn.MAKEARRAY(1,A159-2,_xlfn.LAMBDA(_xlpm.r,_xlpm.c,_xlpm.c))))</f>
        <v/>
      </c>
    </row>
    <row r="160" spans="2:2" x14ac:dyDescent="0.2">
      <c r="B160" t="str" cm="1">
        <f t="array" ref="B160">IF(A160="","",_xlfn.CHOOSECOLS('Prematch Backend 2A'!160:160,_xlfn.MAKEARRAY(1,A160-2,_xlfn.LAMBDA(_xlpm.r,_xlpm.c,_xlpm.c))))</f>
        <v/>
      </c>
    </row>
    <row r="161" spans="2:2" x14ac:dyDescent="0.2">
      <c r="B161" t="str" cm="1">
        <f t="array" ref="B161">IF(A161="","",_xlfn.CHOOSECOLS('Prematch Backend 2A'!161:161,_xlfn.MAKEARRAY(1,A161-2,_xlfn.LAMBDA(_xlpm.r,_xlpm.c,_xlpm.c))))</f>
        <v/>
      </c>
    </row>
    <row r="162" spans="2:2" x14ac:dyDescent="0.2">
      <c r="B162" t="str" cm="1">
        <f t="array" ref="B162">IF(A162="","",_xlfn.CHOOSECOLS('Prematch Backend 2A'!162:162,_xlfn.MAKEARRAY(1,A162-2,_xlfn.LAMBDA(_xlpm.r,_xlpm.c,_xlpm.c))))</f>
        <v/>
      </c>
    </row>
    <row r="163" spans="2:2" x14ac:dyDescent="0.2">
      <c r="B163" t="str" cm="1">
        <f t="array" ref="B163">IF(A163="","",_xlfn.CHOOSECOLS('Prematch Backend 2A'!163:163,_xlfn.MAKEARRAY(1,A163-2,_xlfn.LAMBDA(_xlpm.r,_xlpm.c,_xlpm.c))))</f>
        <v/>
      </c>
    </row>
    <row r="164" spans="2:2" x14ac:dyDescent="0.2">
      <c r="B164" t="str" cm="1">
        <f t="array" ref="B164">IF(A164="","",_xlfn.CHOOSECOLS('Prematch Backend 2A'!164:164,_xlfn.MAKEARRAY(1,A164-2,_xlfn.LAMBDA(_xlpm.r,_xlpm.c,_xlpm.c))))</f>
        <v/>
      </c>
    </row>
    <row r="165" spans="2:2" x14ac:dyDescent="0.2">
      <c r="B165" t="str" cm="1">
        <f t="array" ref="B165">IF(A165="","",_xlfn.CHOOSECOLS('Prematch Backend 2A'!165:165,_xlfn.MAKEARRAY(1,A165-2,_xlfn.LAMBDA(_xlpm.r,_xlpm.c,_xlpm.c))))</f>
        <v/>
      </c>
    </row>
    <row r="166" spans="2:2" x14ac:dyDescent="0.2">
      <c r="B166" t="str" cm="1">
        <f t="array" ref="B166">IF(A166="","",_xlfn.CHOOSECOLS('Prematch Backend 2A'!166:166,_xlfn.MAKEARRAY(1,A166-2,_xlfn.LAMBDA(_xlpm.r,_xlpm.c,_xlpm.c))))</f>
        <v/>
      </c>
    </row>
    <row r="167" spans="2:2" x14ac:dyDescent="0.2">
      <c r="B167" t="str" cm="1">
        <f t="array" ref="B167">IF(A167="","",_xlfn.CHOOSECOLS('Prematch Backend 2A'!167:167,_xlfn.MAKEARRAY(1,A167-2,_xlfn.LAMBDA(_xlpm.r,_xlpm.c,_xlpm.c))))</f>
        <v/>
      </c>
    </row>
    <row r="168" spans="2:2" x14ac:dyDescent="0.2">
      <c r="B168" t="str" cm="1">
        <f t="array" ref="B168">IF(A168="","",_xlfn.CHOOSECOLS('Prematch Backend 2A'!168:168,_xlfn.MAKEARRAY(1,A168-2,_xlfn.LAMBDA(_xlpm.r,_xlpm.c,_xlpm.c))))</f>
        <v/>
      </c>
    </row>
    <row r="169" spans="2:2" x14ac:dyDescent="0.2">
      <c r="B169" t="str" cm="1">
        <f t="array" ref="B169">IF(A169="","",_xlfn.CHOOSECOLS('Prematch Backend 2A'!169:169,_xlfn.MAKEARRAY(1,A169-2,_xlfn.LAMBDA(_xlpm.r,_xlpm.c,_xlpm.c))))</f>
        <v/>
      </c>
    </row>
    <row r="170" spans="2:2" x14ac:dyDescent="0.2">
      <c r="B170" t="str" cm="1">
        <f t="array" ref="B170">IF(A170="","",_xlfn.CHOOSECOLS('Prematch Backend 2A'!170:170,_xlfn.MAKEARRAY(1,A170-2,_xlfn.LAMBDA(_xlpm.r,_xlpm.c,_xlpm.c))))</f>
        <v/>
      </c>
    </row>
    <row r="171" spans="2:2" x14ac:dyDescent="0.2">
      <c r="B171" t="str" cm="1">
        <f t="array" ref="B171">IF(A171="","",_xlfn.CHOOSECOLS('Prematch Backend 2A'!171:171,_xlfn.MAKEARRAY(1,A171-2,_xlfn.LAMBDA(_xlpm.r,_xlpm.c,_xlpm.c))))</f>
        <v/>
      </c>
    </row>
    <row r="172" spans="2:2" x14ac:dyDescent="0.2">
      <c r="B172" t="str" cm="1">
        <f t="array" ref="B172">IF(A172="","",_xlfn.CHOOSECOLS('Prematch Backend 2A'!172:172,_xlfn.MAKEARRAY(1,A172-2,_xlfn.LAMBDA(_xlpm.r,_xlpm.c,_xlpm.c))))</f>
        <v/>
      </c>
    </row>
    <row r="173" spans="2:2" x14ac:dyDescent="0.2">
      <c r="B173" t="str" cm="1">
        <f t="array" ref="B173">IF(A173="","",_xlfn.CHOOSECOLS('Prematch Backend 2A'!173:173,_xlfn.MAKEARRAY(1,A173-2,_xlfn.LAMBDA(_xlpm.r,_xlpm.c,_xlpm.c))))</f>
        <v/>
      </c>
    </row>
    <row r="174" spans="2:2" x14ac:dyDescent="0.2">
      <c r="B174" t="str" cm="1">
        <f t="array" ref="B174">IF(A174="","",_xlfn.CHOOSECOLS('Prematch Backend 2A'!174:174,_xlfn.MAKEARRAY(1,A174-2,_xlfn.LAMBDA(_xlpm.r,_xlpm.c,_xlpm.c))))</f>
        <v/>
      </c>
    </row>
    <row r="175" spans="2:2" x14ac:dyDescent="0.2">
      <c r="B175" t="str" cm="1">
        <f t="array" ref="B175">IF(A175="","",_xlfn.CHOOSECOLS('Prematch Backend 2A'!175:175,_xlfn.MAKEARRAY(1,A175-2,_xlfn.LAMBDA(_xlpm.r,_xlpm.c,_xlpm.c))))</f>
        <v/>
      </c>
    </row>
    <row r="176" spans="2:2" x14ac:dyDescent="0.2">
      <c r="B176" t="str" cm="1">
        <f t="array" ref="B176">IF(A176="","",_xlfn.CHOOSECOLS('Prematch Backend 2A'!176:176,_xlfn.MAKEARRAY(1,A176-2,_xlfn.LAMBDA(_xlpm.r,_xlpm.c,_xlpm.c))))</f>
        <v/>
      </c>
    </row>
    <row r="177" spans="2:2" x14ac:dyDescent="0.2">
      <c r="B177" t="str" cm="1">
        <f t="array" ref="B177">IF(A177="","",_xlfn.CHOOSECOLS('Prematch Backend 2A'!177:177,_xlfn.MAKEARRAY(1,A177-2,_xlfn.LAMBDA(_xlpm.r,_xlpm.c,_xlpm.c))))</f>
        <v/>
      </c>
    </row>
    <row r="178" spans="2:2" x14ac:dyDescent="0.2">
      <c r="B178" t="str" cm="1">
        <f t="array" ref="B178">IF(A178="","",_xlfn.CHOOSECOLS('Prematch Backend 2A'!178:178,_xlfn.MAKEARRAY(1,A178-2,_xlfn.LAMBDA(_xlpm.r,_xlpm.c,_xlpm.c))))</f>
        <v/>
      </c>
    </row>
    <row r="179" spans="2:2" x14ac:dyDescent="0.2">
      <c r="B179" t="str" cm="1">
        <f t="array" ref="B179">IF(A179="","",_xlfn.CHOOSECOLS('Prematch Backend 2A'!179:179,_xlfn.MAKEARRAY(1,A179-2,_xlfn.LAMBDA(_xlpm.r,_xlpm.c,_xlpm.c))))</f>
        <v/>
      </c>
    </row>
    <row r="180" spans="2:2" x14ac:dyDescent="0.2">
      <c r="B180" t="str" cm="1">
        <f t="array" ref="B180">IF(A180="","",_xlfn.CHOOSECOLS('Prematch Backend 2A'!180:180,_xlfn.MAKEARRAY(1,A180-2,_xlfn.LAMBDA(_xlpm.r,_xlpm.c,_xlpm.c))))</f>
        <v/>
      </c>
    </row>
    <row r="181" spans="2:2" x14ac:dyDescent="0.2">
      <c r="B181" t="str" cm="1">
        <f t="array" ref="B181">IF(A181="","",_xlfn.CHOOSECOLS('Prematch Backend 2A'!181:181,_xlfn.MAKEARRAY(1,A181-2,_xlfn.LAMBDA(_xlpm.r,_xlpm.c,_xlpm.c))))</f>
        <v/>
      </c>
    </row>
    <row r="182" spans="2:2" x14ac:dyDescent="0.2">
      <c r="B182" t="str" cm="1">
        <f t="array" ref="B182">IF(A182="","",_xlfn.CHOOSECOLS('Prematch Backend 2A'!182:182,_xlfn.MAKEARRAY(1,A182-2,_xlfn.LAMBDA(_xlpm.r,_xlpm.c,_xlpm.c))))</f>
        <v/>
      </c>
    </row>
    <row r="183" spans="2:2" x14ac:dyDescent="0.2">
      <c r="B183" t="str" cm="1">
        <f t="array" ref="B183">IF(A183="","",_xlfn.CHOOSECOLS('Prematch Backend 2A'!183:183,_xlfn.MAKEARRAY(1,A183-2,_xlfn.LAMBDA(_xlpm.r,_xlpm.c,_xlpm.c))))</f>
        <v/>
      </c>
    </row>
    <row r="184" spans="2:2" x14ac:dyDescent="0.2">
      <c r="B184" t="str" cm="1">
        <f t="array" ref="B184">IF(A184="","",_xlfn.CHOOSECOLS('Prematch Backend 2A'!184:184,_xlfn.MAKEARRAY(1,A184-2,_xlfn.LAMBDA(_xlpm.r,_xlpm.c,_xlpm.c))))</f>
        <v/>
      </c>
    </row>
    <row r="185" spans="2:2" x14ac:dyDescent="0.2">
      <c r="B185" t="str" cm="1">
        <f t="array" ref="B185">IF(A185="","",_xlfn.CHOOSECOLS('Prematch Backend 2A'!185:185,_xlfn.MAKEARRAY(1,A185-2,_xlfn.LAMBDA(_xlpm.r,_xlpm.c,_xlpm.c))))</f>
        <v/>
      </c>
    </row>
    <row r="186" spans="2:2" x14ac:dyDescent="0.2">
      <c r="B186" t="str" cm="1">
        <f t="array" ref="B186">IF(A186="","",_xlfn.CHOOSECOLS('Prematch Backend 2A'!186:186,_xlfn.MAKEARRAY(1,A186-2,_xlfn.LAMBDA(_xlpm.r,_xlpm.c,_xlpm.c))))</f>
        <v/>
      </c>
    </row>
    <row r="187" spans="2:2" x14ac:dyDescent="0.2">
      <c r="B187" t="str" cm="1">
        <f t="array" ref="B187">IF(A187="","",_xlfn.CHOOSECOLS('Prematch Backend 2A'!187:187,_xlfn.MAKEARRAY(1,A187-2,_xlfn.LAMBDA(_xlpm.r,_xlpm.c,_xlpm.c))))</f>
        <v/>
      </c>
    </row>
    <row r="188" spans="2:2" x14ac:dyDescent="0.2">
      <c r="B188" t="str" cm="1">
        <f t="array" ref="B188">IF(A188="","",_xlfn.CHOOSECOLS('Prematch Backend 2A'!188:188,_xlfn.MAKEARRAY(1,A188-2,_xlfn.LAMBDA(_xlpm.r,_xlpm.c,_xlpm.c))))</f>
        <v/>
      </c>
    </row>
    <row r="189" spans="2:2" x14ac:dyDescent="0.2">
      <c r="B189" t="str" cm="1">
        <f t="array" ref="B189">IF(A189="","",_xlfn.CHOOSECOLS('Prematch Backend 2A'!189:189,_xlfn.MAKEARRAY(1,A189-2,_xlfn.LAMBDA(_xlpm.r,_xlpm.c,_xlpm.c))))</f>
        <v/>
      </c>
    </row>
    <row r="190" spans="2:2" x14ac:dyDescent="0.2">
      <c r="B190" t="str" cm="1">
        <f t="array" ref="B190">IF(A190="","",_xlfn.CHOOSECOLS('Prematch Backend 2A'!190:190,_xlfn.MAKEARRAY(1,A190-2,_xlfn.LAMBDA(_xlpm.r,_xlpm.c,_xlpm.c))))</f>
        <v/>
      </c>
    </row>
    <row r="191" spans="2:2" x14ac:dyDescent="0.2">
      <c r="B191" t="str" cm="1">
        <f t="array" ref="B191">IF(A191="","",_xlfn.CHOOSECOLS('Prematch Backend 2A'!191:191,_xlfn.MAKEARRAY(1,A191-2,_xlfn.LAMBDA(_xlpm.r,_xlpm.c,_xlpm.c))))</f>
        <v/>
      </c>
    </row>
    <row r="192" spans="2:2" x14ac:dyDescent="0.2">
      <c r="B192" t="str" cm="1">
        <f t="array" ref="B192">IF(A192="","",_xlfn.CHOOSECOLS('Prematch Backend 2A'!192:192,_xlfn.MAKEARRAY(1,A192-2,_xlfn.LAMBDA(_xlpm.r,_xlpm.c,_xlpm.c))))</f>
        <v/>
      </c>
    </row>
    <row r="193" spans="2:2" x14ac:dyDescent="0.2">
      <c r="B193" t="str" cm="1">
        <f t="array" ref="B193">IF(A193="","",_xlfn.CHOOSECOLS('Prematch Backend 2A'!193:193,_xlfn.MAKEARRAY(1,A193-2,_xlfn.LAMBDA(_xlpm.r,_xlpm.c,_xlpm.c))))</f>
        <v/>
      </c>
    </row>
    <row r="194" spans="2:2" x14ac:dyDescent="0.2">
      <c r="B194" t="str" cm="1">
        <f t="array" ref="B194">IF(A194="","",_xlfn.CHOOSECOLS('Prematch Backend 2A'!194:194,_xlfn.MAKEARRAY(1,A194-2,_xlfn.LAMBDA(_xlpm.r,_xlpm.c,_xlpm.c))))</f>
        <v/>
      </c>
    </row>
    <row r="195" spans="2:2" x14ac:dyDescent="0.2">
      <c r="B195" t="str" cm="1">
        <f t="array" ref="B195">IF(A195="","",_xlfn.CHOOSECOLS('Prematch Backend 2A'!195:195,_xlfn.MAKEARRAY(1,A195-2,_xlfn.LAMBDA(_xlpm.r,_xlpm.c,_xlpm.c))))</f>
        <v/>
      </c>
    </row>
    <row r="196" spans="2:2" x14ac:dyDescent="0.2">
      <c r="B196" t="str" cm="1">
        <f t="array" ref="B196">IF(A196="","",_xlfn.CHOOSECOLS('Prematch Backend 2A'!196:196,_xlfn.MAKEARRAY(1,A196-2,_xlfn.LAMBDA(_xlpm.r,_xlpm.c,_xlpm.c))))</f>
        <v/>
      </c>
    </row>
    <row r="197" spans="2:2" x14ac:dyDescent="0.2">
      <c r="B197" t="str" cm="1">
        <f t="array" ref="B197">IF(A197="","",_xlfn.CHOOSECOLS('Prematch Backend 2A'!197:197,_xlfn.MAKEARRAY(1,A197-2,_xlfn.LAMBDA(_xlpm.r,_xlpm.c,_xlpm.c))))</f>
        <v/>
      </c>
    </row>
    <row r="198" spans="2:2" x14ac:dyDescent="0.2">
      <c r="B198" t="str" cm="1">
        <f t="array" ref="B198">IF(A198="","",_xlfn.CHOOSECOLS('Prematch Backend 2A'!198:198,_xlfn.MAKEARRAY(1,A198-2,_xlfn.LAMBDA(_xlpm.r,_xlpm.c,_xlpm.c))))</f>
        <v/>
      </c>
    </row>
    <row r="199" spans="2:2" x14ac:dyDescent="0.2">
      <c r="B199" t="str" cm="1">
        <f t="array" ref="B199">IF(A199="","",_xlfn.CHOOSECOLS('Prematch Backend 2A'!199:199,_xlfn.MAKEARRAY(1,A199-2,_xlfn.LAMBDA(_xlpm.r,_xlpm.c,_xlpm.c))))</f>
        <v/>
      </c>
    </row>
    <row r="200" spans="2:2" x14ac:dyDescent="0.2">
      <c r="B200" t="str" cm="1">
        <f t="array" ref="B200">IF(A200="","",_xlfn.CHOOSECOLS('Prematch Backend 2A'!200:200,_xlfn.MAKEARRAY(1,A200-2,_xlfn.LAMBDA(_xlpm.r,_xlpm.c,_xlpm.c))))</f>
        <v/>
      </c>
    </row>
    <row r="201" spans="2:2" x14ac:dyDescent="0.2">
      <c r="B201" t="str" cm="1">
        <f t="array" ref="B201">IF(A201="","",_xlfn.CHOOSECOLS('Prematch Backend 2A'!201:201,_xlfn.MAKEARRAY(1,A201-2,_xlfn.LAMBDA(_xlpm.r,_xlpm.c,_xlpm.c))))</f>
        <v/>
      </c>
    </row>
    <row r="202" spans="2:2" x14ac:dyDescent="0.2">
      <c r="B202" t="str" cm="1">
        <f t="array" ref="B202">IF(A202="","",_xlfn.CHOOSECOLS('Prematch Backend 2A'!202:202,_xlfn.MAKEARRAY(1,A202-2,_xlfn.LAMBDA(_xlpm.r,_xlpm.c,_xlpm.c))))</f>
        <v/>
      </c>
    </row>
    <row r="203" spans="2:2" x14ac:dyDescent="0.2">
      <c r="B203" t="str" cm="1">
        <f t="array" ref="B203">IF(A203="","",_xlfn.CHOOSECOLS('Prematch Backend 2A'!203:203,_xlfn.MAKEARRAY(1,A203-2,_xlfn.LAMBDA(_xlpm.r,_xlpm.c,_xlpm.c))))</f>
        <v/>
      </c>
    </row>
    <row r="204" spans="2:2" x14ac:dyDescent="0.2">
      <c r="B204" t="str" cm="1">
        <f t="array" ref="B204">IF(A204="","",_xlfn.CHOOSECOLS('Prematch Backend 2A'!204:204,_xlfn.MAKEARRAY(1,A204-2,_xlfn.LAMBDA(_xlpm.r,_xlpm.c,_xlpm.c))))</f>
        <v/>
      </c>
    </row>
    <row r="205" spans="2:2" x14ac:dyDescent="0.2">
      <c r="B205" t="str" cm="1">
        <f t="array" ref="B205">IF(A205="","",_xlfn.CHOOSECOLS('Prematch Backend 2A'!205:205,_xlfn.MAKEARRAY(1,A205-2,_xlfn.LAMBDA(_xlpm.r,_xlpm.c,_xlpm.c))))</f>
        <v/>
      </c>
    </row>
    <row r="206" spans="2:2" x14ac:dyDescent="0.2">
      <c r="B206" t="str" cm="1">
        <f t="array" ref="B206">IF(A206="","",_xlfn.CHOOSECOLS('Prematch Backend 2A'!206:206,_xlfn.MAKEARRAY(1,A206-2,_xlfn.LAMBDA(_xlpm.r,_xlpm.c,_xlpm.c))))</f>
        <v/>
      </c>
    </row>
    <row r="207" spans="2:2" x14ac:dyDescent="0.2">
      <c r="B207" t="str" cm="1">
        <f t="array" ref="B207">IF(A207="","",_xlfn.CHOOSECOLS('Prematch Backend 2A'!207:207,_xlfn.MAKEARRAY(1,A207-2,_xlfn.LAMBDA(_xlpm.r,_xlpm.c,_xlpm.c))))</f>
        <v/>
      </c>
    </row>
    <row r="208" spans="2:2" x14ac:dyDescent="0.2">
      <c r="B208" t="str" cm="1">
        <f t="array" ref="B208">IF(A208="","",_xlfn.CHOOSECOLS('Prematch Backend 2A'!208:208,_xlfn.MAKEARRAY(1,A208-2,_xlfn.LAMBDA(_xlpm.r,_xlpm.c,_xlpm.c))))</f>
        <v/>
      </c>
    </row>
    <row r="209" spans="2:2" x14ac:dyDescent="0.2">
      <c r="B209" t="str" cm="1">
        <f t="array" ref="B209">IF(A209="","",_xlfn.CHOOSECOLS('Prematch Backend 2A'!209:209,_xlfn.MAKEARRAY(1,A209-2,_xlfn.LAMBDA(_xlpm.r,_xlpm.c,_xlpm.c))))</f>
        <v/>
      </c>
    </row>
    <row r="210" spans="2:2" x14ac:dyDescent="0.2">
      <c r="B210" t="str" cm="1">
        <f t="array" ref="B210">IF(A210="","",_xlfn.CHOOSECOLS('Prematch Backend 2A'!210:210,_xlfn.MAKEARRAY(1,A210-2,_xlfn.LAMBDA(_xlpm.r,_xlpm.c,_xlpm.c))))</f>
        <v/>
      </c>
    </row>
    <row r="211" spans="2:2" x14ac:dyDescent="0.2">
      <c r="B211" t="str" cm="1">
        <f t="array" ref="B211">IF(A211="","",_xlfn.CHOOSECOLS('Prematch Backend 2A'!211:211,_xlfn.MAKEARRAY(1,A211-2,_xlfn.LAMBDA(_xlpm.r,_xlpm.c,_xlpm.c))))</f>
        <v/>
      </c>
    </row>
    <row r="212" spans="2:2" x14ac:dyDescent="0.2">
      <c r="B212" t="str" cm="1">
        <f t="array" ref="B212">IF(A212="","",_xlfn.CHOOSECOLS('Prematch Backend 2A'!212:212,_xlfn.MAKEARRAY(1,A212-2,_xlfn.LAMBDA(_xlpm.r,_xlpm.c,_xlpm.c))))</f>
        <v/>
      </c>
    </row>
    <row r="213" spans="2:2" x14ac:dyDescent="0.2">
      <c r="B213" t="str" cm="1">
        <f t="array" ref="B213">IF(A213="","",_xlfn.CHOOSECOLS('Prematch Backend 2A'!213:213,_xlfn.MAKEARRAY(1,A213-2,_xlfn.LAMBDA(_xlpm.r,_xlpm.c,_xlpm.c))))</f>
        <v/>
      </c>
    </row>
    <row r="214" spans="2:2" x14ac:dyDescent="0.2">
      <c r="B214" t="str" cm="1">
        <f t="array" ref="B214">IF(A214="","",_xlfn.CHOOSECOLS('Prematch Backend 2A'!214:214,_xlfn.MAKEARRAY(1,A214-2,_xlfn.LAMBDA(_xlpm.r,_xlpm.c,_xlpm.c))))</f>
        <v/>
      </c>
    </row>
    <row r="215" spans="2:2" x14ac:dyDescent="0.2">
      <c r="B215" t="str" cm="1">
        <f t="array" ref="B215">IF(A215="","",_xlfn.CHOOSECOLS('Prematch Backend 2A'!215:215,_xlfn.MAKEARRAY(1,A215-2,_xlfn.LAMBDA(_xlpm.r,_xlpm.c,_xlpm.c))))</f>
        <v/>
      </c>
    </row>
    <row r="216" spans="2:2" x14ac:dyDescent="0.2">
      <c r="B216" t="str" cm="1">
        <f t="array" ref="B216">IF(A216="","",_xlfn.CHOOSECOLS('Prematch Backend 2A'!216:216,_xlfn.MAKEARRAY(1,A216-2,_xlfn.LAMBDA(_xlpm.r,_xlpm.c,_xlpm.c))))</f>
        <v/>
      </c>
    </row>
    <row r="217" spans="2:2" x14ac:dyDescent="0.2">
      <c r="B217" t="str" cm="1">
        <f t="array" ref="B217">IF(A217="","",_xlfn.CHOOSECOLS('Prematch Backend 2A'!217:217,_xlfn.MAKEARRAY(1,A217-2,_xlfn.LAMBDA(_xlpm.r,_xlpm.c,_xlpm.c))))</f>
        <v/>
      </c>
    </row>
    <row r="218" spans="2:2" x14ac:dyDescent="0.2">
      <c r="B218" t="str" cm="1">
        <f t="array" ref="B218">IF(A218="","",_xlfn.CHOOSECOLS('Prematch Backend 2A'!218:218,_xlfn.MAKEARRAY(1,A218-2,_xlfn.LAMBDA(_xlpm.r,_xlpm.c,_xlpm.c))))</f>
        <v/>
      </c>
    </row>
    <row r="219" spans="2:2" x14ac:dyDescent="0.2">
      <c r="B219" t="str" cm="1">
        <f t="array" ref="B219">IF(A219="","",_xlfn.CHOOSECOLS('Prematch Backend 2A'!219:219,_xlfn.MAKEARRAY(1,A219-2,_xlfn.LAMBDA(_xlpm.r,_xlpm.c,_xlpm.c))))</f>
        <v/>
      </c>
    </row>
    <row r="220" spans="2:2" x14ac:dyDescent="0.2">
      <c r="B220" t="str" cm="1">
        <f t="array" ref="B220">IF(A220="","",_xlfn.CHOOSECOLS('Prematch Backend 2A'!220:220,_xlfn.MAKEARRAY(1,A220-2,_xlfn.LAMBDA(_xlpm.r,_xlpm.c,_xlpm.c))))</f>
        <v/>
      </c>
    </row>
    <row r="221" spans="2:2" x14ac:dyDescent="0.2">
      <c r="B221" t="str" cm="1">
        <f t="array" ref="B221">IF(A221="","",_xlfn.CHOOSECOLS('Prematch Backend 2A'!221:221,_xlfn.MAKEARRAY(1,A221-2,_xlfn.LAMBDA(_xlpm.r,_xlpm.c,_xlpm.c))))</f>
        <v/>
      </c>
    </row>
    <row r="222" spans="2:2" x14ac:dyDescent="0.2">
      <c r="B222" t="str" cm="1">
        <f t="array" ref="B222">IF(A222="","",_xlfn.CHOOSECOLS('Prematch Backend 2A'!222:222,_xlfn.MAKEARRAY(1,A222-2,_xlfn.LAMBDA(_xlpm.r,_xlpm.c,_xlpm.c))))</f>
        <v/>
      </c>
    </row>
    <row r="223" spans="2:2" x14ac:dyDescent="0.2">
      <c r="B223" t="str" cm="1">
        <f t="array" ref="B223">IF(A223="","",_xlfn.CHOOSECOLS('Prematch Backend 2A'!223:223,_xlfn.MAKEARRAY(1,A223-2,_xlfn.LAMBDA(_xlpm.r,_xlpm.c,_xlpm.c))))</f>
        <v/>
      </c>
    </row>
    <row r="224" spans="2:2" x14ac:dyDescent="0.2">
      <c r="B224" t="str" cm="1">
        <f t="array" ref="B224">IF(A224="","",_xlfn.CHOOSECOLS('Prematch Backend 2A'!224:224,_xlfn.MAKEARRAY(1,A224-2,_xlfn.LAMBDA(_xlpm.r,_xlpm.c,_xlpm.c))))</f>
        <v/>
      </c>
    </row>
    <row r="225" spans="2:2" x14ac:dyDescent="0.2">
      <c r="B225" t="str" cm="1">
        <f t="array" ref="B225">IF(A225="","",_xlfn.CHOOSECOLS('Prematch Backend 2A'!225:225,_xlfn.MAKEARRAY(1,A225-2,_xlfn.LAMBDA(_xlpm.r,_xlpm.c,_xlpm.c))))</f>
        <v/>
      </c>
    </row>
    <row r="226" spans="2:2" x14ac:dyDescent="0.2">
      <c r="B226" t="str" cm="1">
        <f t="array" ref="B226">IF(A226="","",_xlfn.CHOOSECOLS('Prematch Backend 2A'!226:226,_xlfn.MAKEARRAY(1,A226-2,_xlfn.LAMBDA(_xlpm.r,_xlpm.c,_xlpm.c))))</f>
        <v/>
      </c>
    </row>
    <row r="227" spans="2:2" x14ac:dyDescent="0.2">
      <c r="B227" t="str" cm="1">
        <f t="array" ref="B227">IF(A227="","",_xlfn.CHOOSECOLS('Prematch Backend 2A'!227:227,_xlfn.MAKEARRAY(1,A227-2,_xlfn.LAMBDA(_xlpm.r,_xlpm.c,_xlpm.c))))</f>
        <v/>
      </c>
    </row>
    <row r="228" spans="2:2" x14ac:dyDescent="0.2">
      <c r="B228" t="str" cm="1">
        <f t="array" ref="B228">IF(A228="","",_xlfn.CHOOSECOLS('Prematch Backend 2A'!228:228,_xlfn.MAKEARRAY(1,A228-2,_xlfn.LAMBDA(_xlpm.r,_xlpm.c,_xlpm.c))))</f>
        <v/>
      </c>
    </row>
    <row r="229" spans="2:2" x14ac:dyDescent="0.2">
      <c r="B229" t="str" cm="1">
        <f t="array" ref="B229">IF(A229="","",_xlfn.CHOOSECOLS('Prematch Backend 2A'!229:229,_xlfn.MAKEARRAY(1,A229-2,_xlfn.LAMBDA(_xlpm.r,_xlpm.c,_xlpm.c))))</f>
        <v/>
      </c>
    </row>
    <row r="230" spans="2:2" x14ac:dyDescent="0.2">
      <c r="B230" t="str" cm="1">
        <f t="array" ref="B230">IF(A230="","",_xlfn.CHOOSECOLS('Prematch Backend 2A'!230:230,_xlfn.MAKEARRAY(1,A230-2,_xlfn.LAMBDA(_xlpm.r,_xlpm.c,_xlpm.c))))</f>
        <v/>
      </c>
    </row>
    <row r="231" spans="2:2" x14ac:dyDescent="0.2">
      <c r="B231" t="str" cm="1">
        <f t="array" ref="B231">IF(A231="","",_xlfn.CHOOSECOLS('Prematch Backend 2A'!231:231,_xlfn.MAKEARRAY(1,A231-2,_xlfn.LAMBDA(_xlpm.r,_xlpm.c,_xlpm.c))))</f>
        <v/>
      </c>
    </row>
    <row r="232" spans="2:2" x14ac:dyDescent="0.2">
      <c r="B232" t="str" cm="1">
        <f t="array" ref="B232">IF(A232="","",_xlfn.CHOOSECOLS('Prematch Backend 2A'!232:232,_xlfn.MAKEARRAY(1,A232-2,_xlfn.LAMBDA(_xlpm.r,_xlpm.c,_xlpm.c))))</f>
        <v/>
      </c>
    </row>
    <row r="233" spans="2:2" x14ac:dyDescent="0.2">
      <c r="B233" t="str" cm="1">
        <f t="array" ref="B233">IF(A233="","",_xlfn.CHOOSECOLS('Prematch Backend 2A'!233:233,_xlfn.MAKEARRAY(1,A233-2,_xlfn.LAMBDA(_xlpm.r,_xlpm.c,_xlpm.c))))</f>
        <v/>
      </c>
    </row>
    <row r="234" spans="2:2" x14ac:dyDescent="0.2">
      <c r="B234" t="str" cm="1">
        <f t="array" ref="B234">IF(A234="","",_xlfn.CHOOSECOLS('Prematch Backend 2A'!234:234,_xlfn.MAKEARRAY(1,A234-2,_xlfn.LAMBDA(_xlpm.r,_xlpm.c,_xlpm.c))))</f>
        <v/>
      </c>
    </row>
    <row r="235" spans="2:2" x14ac:dyDescent="0.2">
      <c r="B235" t="str" cm="1">
        <f t="array" ref="B235">IF(A235="","",_xlfn.CHOOSECOLS('Prematch Backend 2A'!235:235,_xlfn.MAKEARRAY(1,A235-2,_xlfn.LAMBDA(_xlpm.r,_xlpm.c,_xlpm.c))))</f>
        <v/>
      </c>
    </row>
    <row r="236" spans="2:2" x14ac:dyDescent="0.2">
      <c r="B236" t="str" cm="1">
        <f t="array" ref="B236">IF(A236="","",_xlfn.CHOOSECOLS('Prematch Backend 2A'!236:236,_xlfn.MAKEARRAY(1,A236-2,_xlfn.LAMBDA(_xlpm.r,_xlpm.c,_xlpm.c))))</f>
        <v/>
      </c>
    </row>
    <row r="237" spans="2:2" x14ac:dyDescent="0.2">
      <c r="B237" t="str" cm="1">
        <f t="array" ref="B237">IF(A237="","",_xlfn.CHOOSECOLS('Prematch Backend 2A'!237:237,_xlfn.MAKEARRAY(1,A237-2,_xlfn.LAMBDA(_xlpm.r,_xlpm.c,_xlpm.c))))</f>
        <v/>
      </c>
    </row>
    <row r="238" spans="2:2" x14ac:dyDescent="0.2">
      <c r="B238" t="str" cm="1">
        <f t="array" ref="B238">IF(A238="","",_xlfn.CHOOSECOLS('Prematch Backend 2A'!238:238,_xlfn.MAKEARRAY(1,A238-2,_xlfn.LAMBDA(_xlpm.r,_xlpm.c,_xlpm.c))))</f>
        <v/>
      </c>
    </row>
    <row r="239" spans="2:2" x14ac:dyDescent="0.2">
      <c r="B239" t="str" cm="1">
        <f t="array" ref="B239">IF(A239="","",_xlfn.CHOOSECOLS('Prematch Backend 2A'!239:239,_xlfn.MAKEARRAY(1,A239-2,_xlfn.LAMBDA(_xlpm.r,_xlpm.c,_xlpm.c))))</f>
        <v/>
      </c>
    </row>
    <row r="240" spans="2:2" x14ac:dyDescent="0.2">
      <c r="B240" t="str" cm="1">
        <f t="array" ref="B240">IF(A240="","",_xlfn.CHOOSECOLS('Prematch Backend 2A'!240:240,_xlfn.MAKEARRAY(1,A240-2,_xlfn.LAMBDA(_xlpm.r,_xlpm.c,_xlpm.c))))</f>
        <v/>
      </c>
    </row>
    <row r="241" spans="2:2" x14ac:dyDescent="0.2">
      <c r="B241" t="str" cm="1">
        <f t="array" ref="B241">IF(A241="","",_xlfn.CHOOSECOLS('Prematch Backend 2A'!241:241,_xlfn.MAKEARRAY(1,A241-2,_xlfn.LAMBDA(_xlpm.r,_xlpm.c,_xlpm.c))))</f>
        <v/>
      </c>
    </row>
    <row r="242" spans="2:2" x14ac:dyDescent="0.2">
      <c r="B242" t="str" cm="1">
        <f t="array" ref="B242">IF(A242="","",_xlfn.CHOOSECOLS('Prematch Backend 2A'!242:242,_xlfn.MAKEARRAY(1,A242-2,_xlfn.LAMBDA(_xlpm.r,_xlpm.c,_xlpm.c))))</f>
        <v/>
      </c>
    </row>
    <row r="243" spans="2:2" x14ac:dyDescent="0.2">
      <c r="B243" t="str" cm="1">
        <f t="array" ref="B243">IF(A243="","",_xlfn.CHOOSECOLS('Prematch Backend 2A'!243:243,_xlfn.MAKEARRAY(1,A243-2,_xlfn.LAMBDA(_xlpm.r,_xlpm.c,_xlpm.c))))</f>
        <v/>
      </c>
    </row>
    <row r="244" spans="2:2" x14ac:dyDescent="0.2">
      <c r="B244" t="str" cm="1">
        <f t="array" ref="B244">IF(A244="","",_xlfn.CHOOSECOLS('Prematch Backend 2A'!244:244,_xlfn.MAKEARRAY(1,A244-2,_xlfn.LAMBDA(_xlpm.r,_xlpm.c,_xlpm.c))))</f>
        <v/>
      </c>
    </row>
    <row r="245" spans="2:2" x14ac:dyDescent="0.2">
      <c r="B245" t="str" cm="1">
        <f t="array" ref="B245">IF(A245="","",_xlfn.CHOOSECOLS('Prematch Backend 2A'!245:245,_xlfn.MAKEARRAY(1,A245-2,_xlfn.LAMBDA(_xlpm.r,_xlpm.c,_xlpm.c))))</f>
        <v/>
      </c>
    </row>
    <row r="246" spans="2:2" x14ac:dyDescent="0.2">
      <c r="B246" t="str" cm="1">
        <f t="array" ref="B246">IF(A246="","",_xlfn.CHOOSECOLS('Prematch Backend 2A'!246:246,_xlfn.MAKEARRAY(1,A246-2,_xlfn.LAMBDA(_xlpm.r,_xlpm.c,_xlpm.c))))</f>
        <v/>
      </c>
    </row>
    <row r="247" spans="2:2" x14ac:dyDescent="0.2">
      <c r="B247" t="str" cm="1">
        <f t="array" ref="B247">IF(A247="","",_xlfn.CHOOSECOLS('Prematch Backend 2A'!247:247,_xlfn.MAKEARRAY(1,A247-2,_xlfn.LAMBDA(_xlpm.r,_xlpm.c,_xlpm.c))))</f>
        <v/>
      </c>
    </row>
    <row r="248" spans="2:2" x14ac:dyDescent="0.2">
      <c r="B248" t="str" cm="1">
        <f t="array" ref="B248">IF(A248="","",_xlfn.CHOOSECOLS('Prematch Backend 2A'!248:248,_xlfn.MAKEARRAY(1,A248-2,_xlfn.LAMBDA(_xlpm.r,_xlpm.c,_xlpm.c))))</f>
        <v/>
      </c>
    </row>
    <row r="249" spans="2:2" x14ac:dyDescent="0.2">
      <c r="B249" t="str" cm="1">
        <f t="array" ref="B249">IF(A249="","",_xlfn.CHOOSECOLS('Prematch Backend 2A'!249:249,_xlfn.MAKEARRAY(1,A249-2,_xlfn.LAMBDA(_xlpm.r,_xlpm.c,_xlpm.c))))</f>
        <v/>
      </c>
    </row>
    <row r="250" spans="2:2" x14ac:dyDescent="0.2">
      <c r="B250" t="str" cm="1">
        <f t="array" ref="B250">IF(A250="","",_xlfn.CHOOSECOLS('Prematch Backend 2A'!250:250,_xlfn.MAKEARRAY(1,A250-2,_xlfn.LAMBDA(_xlpm.r,_xlpm.c,_xlpm.c))))</f>
        <v/>
      </c>
    </row>
    <row r="251" spans="2:2" x14ac:dyDescent="0.2">
      <c r="B251" t="str" cm="1">
        <f t="array" ref="B251">IF(A251="","",_xlfn.CHOOSECOLS('Prematch Backend 2A'!251:251,_xlfn.MAKEARRAY(1,A251-2,_xlfn.LAMBDA(_xlpm.r,_xlpm.c,_xlpm.c))))</f>
        <v/>
      </c>
    </row>
    <row r="252" spans="2:2" x14ac:dyDescent="0.2">
      <c r="B252" t="str" cm="1">
        <f t="array" ref="B252">IF(A252="","",_xlfn.CHOOSECOLS('Prematch Backend 2A'!252:252,_xlfn.MAKEARRAY(1,A252-2,_xlfn.LAMBDA(_xlpm.r,_xlpm.c,_xlpm.c))))</f>
        <v/>
      </c>
    </row>
    <row r="253" spans="2:2" x14ac:dyDescent="0.2">
      <c r="B253" t="str" cm="1">
        <f t="array" ref="B253">IF(A253="","",_xlfn.CHOOSECOLS('Prematch Backend 2A'!253:253,_xlfn.MAKEARRAY(1,A253-2,_xlfn.LAMBDA(_xlpm.r,_xlpm.c,_xlpm.c))))</f>
        <v/>
      </c>
    </row>
    <row r="254" spans="2:2" x14ac:dyDescent="0.2">
      <c r="B254" t="str" cm="1">
        <f t="array" ref="B254">IF(A254="","",_xlfn.CHOOSECOLS('Prematch Backend 2A'!254:254,_xlfn.MAKEARRAY(1,A254-2,_xlfn.LAMBDA(_xlpm.r,_xlpm.c,_xlpm.c))))</f>
        <v/>
      </c>
    </row>
    <row r="255" spans="2:2" x14ac:dyDescent="0.2">
      <c r="B255" t="str" cm="1">
        <f t="array" ref="B255">IF(A255="","",_xlfn.CHOOSECOLS('Prematch Backend 2A'!255:255,_xlfn.MAKEARRAY(1,A255-2,_xlfn.LAMBDA(_xlpm.r,_xlpm.c,_xlpm.c))))</f>
        <v/>
      </c>
    </row>
    <row r="256" spans="2:2" x14ac:dyDescent="0.2">
      <c r="B256" t="str" cm="1">
        <f t="array" ref="B256">IF(A256="","",_xlfn.CHOOSECOLS('Prematch Backend 2A'!256:256,_xlfn.MAKEARRAY(1,A256-2,_xlfn.LAMBDA(_xlpm.r,_xlpm.c,_xlpm.c))))</f>
        <v/>
      </c>
    </row>
    <row r="257" spans="2:2" x14ac:dyDescent="0.2">
      <c r="B257" t="str" cm="1">
        <f t="array" ref="B257">IF(A257="","",_xlfn.CHOOSECOLS('Prematch Backend 2A'!257:257,_xlfn.MAKEARRAY(1,A257-2,_xlfn.LAMBDA(_xlpm.r,_xlpm.c,_xlpm.c))))</f>
        <v/>
      </c>
    </row>
    <row r="258" spans="2:2" x14ac:dyDescent="0.2">
      <c r="B258" t="str" cm="1">
        <f t="array" ref="B258">IF(A258="","",_xlfn.CHOOSECOLS('Prematch Backend 2A'!258:258,_xlfn.MAKEARRAY(1,A258-2,_xlfn.LAMBDA(_xlpm.r,_xlpm.c,_xlpm.c))))</f>
        <v/>
      </c>
    </row>
    <row r="259" spans="2:2" x14ac:dyDescent="0.2">
      <c r="B259" t="str" cm="1">
        <f t="array" ref="B259">IF(A259="","",_xlfn.CHOOSECOLS('Prematch Backend 2A'!259:259,_xlfn.MAKEARRAY(1,A259-2,_xlfn.LAMBDA(_xlpm.r,_xlpm.c,_xlpm.c))))</f>
        <v/>
      </c>
    </row>
    <row r="260" spans="2:2" x14ac:dyDescent="0.2">
      <c r="B260" t="str" cm="1">
        <f t="array" ref="B260">IF(A260="","",_xlfn.CHOOSECOLS('Prematch Backend 2A'!260:260,_xlfn.MAKEARRAY(1,A260-2,_xlfn.LAMBDA(_xlpm.r,_xlpm.c,_xlpm.c))))</f>
        <v/>
      </c>
    </row>
    <row r="261" spans="2:2" x14ac:dyDescent="0.2">
      <c r="B261" t="str" cm="1">
        <f t="array" ref="B261">IF(A261="","",_xlfn.CHOOSECOLS('Prematch Backend 2A'!261:261,_xlfn.MAKEARRAY(1,A261-2,_xlfn.LAMBDA(_xlpm.r,_xlpm.c,_xlpm.c))))</f>
        <v/>
      </c>
    </row>
    <row r="262" spans="2:2" x14ac:dyDescent="0.2">
      <c r="B262" t="str" cm="1">
        <f t="array" ref="B262">IF(A262="","",_xlfn.CHOOSECOLS('Prematch Backend 2A'!262:262,_xlfn.MAKEARRAY(1,A262-2,_xlfn.LAMBDA(_xlpm.r,_xlpm.c,_xlpm.c))))</f>
        <v/>
      </c>
    </row>
    <row r="263" spans="2:2" x14ac:dyDescent="0.2">
      <c r="B263" t="str" cm="1">
        <f t="array" ref="B263">IF(A263="","",_xlfn.CHOOSECOLS('Prematch Backend 2A'!263:263,_xlfn.MAKEARRAY(1,A263-2,_xlfn.LAMBDA(_xlpm.r,_xlpm.c,_xlpm.c))))</f>
        <v/>
      </c>
    </row>
    <row r="264" spans="2:2" x14ac:dyDescent="0.2">
      <c r="B264" t="str" cm="1">
        <f t="array" ref="B264">IF(A264="","",_xlfn.CHOOSECOLS('Prematch Backend 2A'!264:264,_xlfn.MAKEARRAY(1,A264-2,_xlfn.LAMBDA(_xlpm.r,_xlpm.c,_xlpm.c))))</f>
        <v/>
      </c>
    </row>
    <row r="265" spans="2:2" x14ac:dyDescent="0.2">
      <c r="B265" t="str" cm="1">
        <f t="array" ref="B265">IF(A265="","",_xlfn.CHOOSECOLS('Prematch Backend 2A'!265:265,_xlfn.MAKEARRAY(1,A265-2,_xlfn.LAMBDA(_xlpm.r,_xlpm.c,_xlpm.c))))</f>
        <v/>
      </c>
    </row>
    <row r="266" spans="2:2" x14ac:dyDescent="0.2">
      <c r="B266" t="str" cm="1">
        <f t="array" ref="B266">IF(A266="","",_xlfn.CHOOSECOLS('Prematch Backend 2A'!266:266,_xlfn.MAKEARRAY(1,A266-2,_xlfn.LAMBDA(_xlpm.r,_xlpm.c,_xlpm.c))))</f>
        <v/>
      </c>
    </row>
    <row r="267" spans="2:2" x14ac:dyDescent="0.2">
      <c r="B267" t="str" cm="1">
        <f t="array" ref="B267">IF(A267="","",_xlfn.CHOOSECOLS('Prematch Backend 2A'!267:267,_xlfn.MAKEARRAY(1,A267-2,_xlfn.LAMBDA(_xlpm.r,_xlpm.c,_xlpm.c))))</f>
        <v/>
      </c>
    </row>
    <row r="268" spans="2:2" x14ac:dyDescent="0.2">
      <c r="B268" t="str" cm="1">
        <f t="array" ref="B268">IF(A268="","",_xlfn.CHOOSECOLS('Prematch Backend 2A'!268:268,_xlfn.MAKEARRAY(1,A268-2,_xlfn.LAMBDA(_xlpm.r,_xlpm.c,_xlpm.c))))</f>
        <v/>
      </c>
    </row>
    <row r="269" spans="2:2" x14ac:dyDescent="0.2">
      <c r="B269" t="str" cm="1">
        <f t="array" ref="B269">IF(A269="","",_xlfn.CHOOSECOLS('Prematch Backend 2A'!269:269,_xlfn.MAKEARRAY(1,A269-2,_xlfn.LAMBDA(_xlpm.r,_xlpm.c,_xlpm.c))))</f>
        <v/>
      </c>
    </row>
    <row r="270" spans="2:2" x14ac:dyDescent="0.2">
      <c r="B270" t="str" cm="1">
        <f t="array" ref="B270">IF(A270="","",_xlfn.CHOOSECOLS('Prematch Backend 2A'!270:270,_xlfn.MAKEARRAY(1,A270-2,_xlfn.LAMBDA(_xlpm.r,_xlpm.c,_xlpm.c))))</f>
        <v/>
      </c>
    </row>
    <row r="271" spans="2:2" x14ac:dyDescent="0.2">
      <c r="B271" t="str" cm="1">
        <f t="array" ref="B271">IF(A271="","",_xlfn.CHOOSECOLS('Prematch Backend 2A'!271:271,_xlfn.MAKEARRAY(1,A271-2,_xlfn.LAMBDA(_xlpm.r,_xlpm.c,_xlpm.c))))</f>
        <v/>
      </c>
    </row>
    <row r="272" spans="2:2" x14ac:dyDescent="0.2">
      <c r="B272" t="str" cm="1">
        <f t="array" ref="B272">IF(A272="","",_xlfn.CHOOSECOLS('Prematch Backend 2A'!272:272,_xlfn.MAKEARRAY(1,A272-2,_xlfn.LAMBDA(_xlpm.r,_xlpm.c,_xlpm.c))))</f>
        <v/>
      </c>
    </row>
    <row r="273" spans="2:2" x14ac:dyDescent="0.2">
      <c r="B273" t="str" cm="1">
        <f t="array" ref="B273">IF(A273="","",_xlfn.CHOOSECOLS('Prematch Backend 2A'!273:273,_xlfn.MAKEARRAY(1,A273-2,_xlfn.LAMBDA(_xlpm.r,_xlpm.c,_xlpm.c))))</f>
        <v/>
      </c>
    </row>
    <row r="274" spans="2:2" x14ac:dyDescent="0.2">
      <c r="B274" t="str" cm="1">
        <f t="array" ref="B274">IF(A274="","",_xlfn.CHOOSECOLS('Prematch Backend 2A'!274:274,_xlfn.MAKEARRAY(1,A274-2,_xlfn.LAMBDA(_xlpm.r,_xlpm.c,_xlpm.c))))</f>
        <v/>
      </c>
    </row>
    <row r="275" spans="2:2" x14ac:dyDescent="0.2">
      <c r="B275" t="str" cm="1">
        <f t="array" ref="B275">IF(A275="","",_xlfn.CHOOSECOLS('Prematch Backend 2A'!275:275,_xlfn.MAKEARRAY(1,A275-2,_xlfn.LAMBDA(_xlpm.r,_xlpm.c,_xlpm.c))))</f>
        <v/>
      </c>
    </row>
    <row r="276" spans="2:2" x14ac:dyDescent="0.2">
      <c r="B276" t="str" cm="1">
        <f t="array" ref="B276">IF(A276="","",_xlfn.CHOOSECOLS('Prematch Backend 2A'!276:276,_xlfn.MAKEARRAY(1,A276-2,_xlfn.LAMBDA(_xlpm.r,_xlpm.c,_xlpm.c))))</f>
        <v/>
      </c>
    </row>
    <row r="277" spans="2:2" x14ac:dyDescent="0.2">
      <c r="B277" t="str" cm="1">
        <f t="array" ref="B277">IF(A277="","",_xlfn.CHOOSECOLS('Prematch Backend 2A'!277:277,_xlfn.MAKEARRAY(1,A277-2,_xlfn.LAMBDA(_xlpm.r,_xlpm.c,_xlpm.c))))</f>
        <v/>
      </c>
    </row>
    <row r="278" spans="2:2" x14ac:dyDescent="0.2">
      <c r="B278" t="str" cm="1">
        <f t="array" ref="B278">IF(A278="","",_xlfn.CHOOSECOLS('Prematch Backend 2A'!278:278,_xlfn.MAKEARRAY(1,A278-2,_xlfn.LAMBDA(_xlpm.r,_xlpm.c,_xlpm.c))))</f>
        <v/>
      </c>
    </row>
    <row r="279" spans="2:2" x14ac:dyDescent="0.2">
      <c r="B279" t="str" cm="1">
        <f t="array" ref="B279">IF(A279="","",_xlfn.CHOOSECOLS('Prematch Backend 2A'!279:279,_xlfn.MAKEARRAY(1,A279-2,_xlfn.LAMBDA(_xlpm.r,_xlpm.c,_xlpm.c))))</f>
        <v/>
      </c>
    </row>
    <row r="280" spans="2:2" x14ac:dyDescent="0.2">
      <c r="B280" t="str" cm="1">
        <f t="array" ref="B280">IF(A280="","",_xlfn.CHOOSECOLS('Prematch Backend 2A'!280:280,_xlfn.MAKEARRAY(1,A280-2,_xlfn.LAMBDA(_xlpm.r,_xlpm.c,_xlpm.c))))</f>
        <v/>
      </c>
    </row>
    <row r="281" spans="2:2" x14ac:dyDescent="0.2">
      <c r="B281" t="str" cm="1">
        <f t="array" ref="B281">IF(A281="","",_xlfn.CHOOSECOLS('Prematch Backend 2A'!281:281,_xlfn.MAKEARRAY(1,A281-2,_xlfn.LAMBDA(_xlpm.r,_xlpm.c,_xlpm.c))))</f>
        <v/>
      </c>
    </row>
    <row r="282" spans="2:2" x14ac:dyDescent="0.2">
      <c r="B282" t="str" cm="1">
        <f t="array" ref="B282">IF(A282="","",_xlfn.CHOOSECOLS('Prematch Backend 2A'!282:282,_xlfn.MAKEARRAY(1,A282-2,_xlfn.LAMBDA(_xlpm.r,_xlpm.c,_xlpm.c))))</f>
        <v/>
      </c>
    </row>
    <row r="283" spans="2:2" x14ac:dyDescent="0.2">
      <c r="B283" t="str" cm="1">
        <f t="array" ref="B283">IF(A283="","",_xlfn.CHOOSECOLS('Prematch Backend 2A'!283:283,_xlfn.MAKEARRAY(1,A283-2,_xlfn.LAMBDA(_xlpm.r,_xlpm.c,_xlpm.c))))</f>
        <v/>
      </c>
    </row>
    <row r="284" spans="2:2" x14ac:dyDescent="0.2">
      <c r="B284" t="str" cm="1">
        <f t="array" ref="B284">IF(A284="","",_xlfn.CHOOSECOLS('Prematch Backend 2A'!284:284,_xlfn.MAKEARRAY(1,A284-2,_xlfn.LAMBDA(_xlpm.r,_xlpm.c,_xlpm.c))))</f>
        <v/>
      </c>
    </row>
    <row r="285" spans="2:2" x14ac:dyDescent="0.2">
      <c r="B285" t="str" cm="1">
        <f t="array" ref="B285">IF(A285="","",_xlfn.CHOOSECOLS('Prematch Backend 2A'!285:285,_xlfn.MAKEARRAY(1,A285-2,_xlfn.LAMBDA(_xlpm.r,_xlpm.c,_xlpm.c))))</f>
        <v/>
      </c>
    </row>
    <row r="286" spans="2:2" x14ac:dyDescent="0.2">
      <c r="B286" t="str" cm="1">
        <f t="array" ref="B286">IF(A286="","",_xlfn.CHOOSECOLS('Prematch Backend 2A'!286:286,_xlfn.MAKEARRAY(1,A286-2,_xlfn.LAMBDA(_xlpm.r,_xlpm.c,_xlpm.c))))</f>
        <v/>
      </c>
    </row>
    <row r="287" spans="2:2" x14ac:dyDescent="0.2">
      <c r="B287" t="str" cm="1">
        <f t="array" ref="B287">IF(A287="","",_xlfn.CHOOSECOLS('Prematch Backend 2A'!287:287,_xlfn.MAKEARRAY(1,A287-2,_xlfn.LAMBDA(_xlpm.r,_xlpm.c,_xlpm.c))))</f>
        <v/>
      </c>
    </row>
    <row r="288" spans="2:2" x14ac:dyDescent="0.2">
      <c r="B288" t="str" cm="1">
        <f t="array" ref="B288">IF(A288="","",_xlfn.CHOOSECOLS('Prematch Backend 2A'!288:288,_xlfn.MAKEARRAY(1,A288-2,_xlfn.LAMBDA(_xlpm.r,_xlpm.c,_xlpm.c))))</f>
        <v/>
      </c>
    </row>
    <row r="289" spans="2:2" x14ac:dyDescent="0.2">
      <c r="B289" t="str" cm="1">
        <f t="array" ref="B289">IF(A289="","",_xlfn.CHOOSECOLS('Prematch Backend 2A'!289:289,_xlfn.MAKEARRAY(1,A289-2,_xlfn.LAMBDA(_xlpm.r,_xlpm.c,_xlpm.c))))</f>
        <v/>
      </c>
    </row>
    <row r="290" spans="2:2" x14ac:dyDescent="0.2">
      <c r="B290" t="str" cm="1">
        <f t="array" ref="B290">IF(A290="","",_xlfn.CHOOSECOLS('Prematch Backend 2A'!290:290,_xlfn.MAKEARRAY(1,A290-2,_xlfn.LAMBDA(_xlpm.r,_xlpm.c,_xlpm.c))))</f>
        <v/>
      </c>
    </row>
    <row r="291" spans="2:2" x14ac:dyDescent="0.2">
      <c r="B291" t="str" cm="1">
        <f t="array" ref="B291">IF(A291="","",_xlfn.CHOOSECOLS('Prematch Backend 2A'!291:291,_xlfn.MAKEARRAY(1,A291-2,_xlfn.LAMBDA(_xlpm.r,_xlpm.c,_xlpm.c))))</f>
        <v/>
      </c>
    </row>
    <row r="292" spans="2:2" x14ac:dyDescent="0.2">
      <c r="B292" t="str" cm="1">
        <f t="array" ref="B292">IF(A292="","",_xlfn.CHOOSECOLS('Prematch Backend 2A'!292:292,_xlfn.MAKEARRAY(1,A292-2,_xlfn.LAMBDA(_xlpm.r,_xlpm.c,_xlpm.c))))</f>
        <v/>
      </c>
    </row>
    <row r="293" spans="2:2" x14ac:dyDescent="0.2">
      <c r="B293" t="str" cm="1">
        <f t="array" ref="B293">IF(A293="","",_xlfn.CHOOSECOLS('Prematch Backend 2A'!293:293,_xlfn.MAKEARRAY(1,A293-2,_xlfn.LAMBDA(_xlpm.r,_xlpm.c,_xlpm.c))))</f>
        <v/>
      </c>
    </row>
    <row r="294" spans="2:2" x14ac:dyDescent="0.2">
      <c r="B294" t="str" cm="1">
        <f t="array" ref="B294">IF(A294="","",_xlfn.CHOOSECOLS('Prematch Backend 2A'!294:294,_xlfn.MAKEARRAY(1,A294-2,_xlfn.LAMBDA(_xlpm.r,_xlpm.c,_xlpm.c))))</f>
        <v/>
      </c>
    </row>
    <row r="295" spans="2:2" x14ac:dyDescent="0.2">
      <c r="B295" t="str" cm="1">
        <f t="array" ref="B295">IF(A295="","",_xlfn.CHOOSECOLS('Prematch Backend 2A'!295:295,_xlfn.MAKEARRAY(1,A295-2,_xlfn.LAMBDA(_xlpm.r,_xlpm.c,_xlpm.c))))</f>
        <v/>
      </c>
    </row>
    <row r="296" spans="2:2" x14ac:dyDescent="0.2">
      <c r="B296" t="str" cm="1">
        <f t="array" ref="B296">IF(A296="","",_xlfn.CHOOSECOLS('Prematch Backend 2A'!296:296,_xlfn.MAKEARRAY(1,A296-2,_xlfn.LAMBDA(_xlpm.r,_xlpm.c,_xlpm.c))))</f>
        <v/>
      </c>
    </row>
    <row r="297" spans="2:2" x14ac:dyDescent="0.2">
      <c r="B297" t="str" cm="1">
        <f t="array" ref="B297">IF(A297="","",_xlfn.CHOOSECOLS('Prematch Backend 2A'!297:297,_xlfn.MAKEARRAY(1,A297-2,_xlfn.LAMBDA(_xlpm.r,_xlpm.c,_xlpm.c))))</f>
        <v/>
      </c>
    </row>
    <row r="298" spans="2:2" x14ac:dyDescent="0.2">
      <c r="B298" t="str" cm="1">
        <f t="array" ref="B298">IF(A298="","",_xlfn.CHOOSECOLS('Prematch Backend 2A'!298:298,_xlfn.MAKEARRAY(1,A298-2,_xlfn.LAMBDA(_xlpm.r,_xlpm.c,_xlpm.c))))</f>
        <v/>
      </c>
    </row>
    <row r="299" spans="2:2" x14ac:dyDescent="0.2">
      <c r="B299" t="str" cm="1">
        <f t="array" ref="B299">IF(A299="","",_xlfn.CHOOSECOLS('Prematch Backend 2A'!299:299,_xlfn.MAKEARRAY(1,A299-2,_xlfn.LAMBDA(_xlpm.r,_xlpm.c,_xlpm.c))))</f>
        <v/>
      </c>
    </row>
    <row r="300" spans="2:2" x14ac:dyDescent="0.2">
      <c r="B300" t="str" cm="1">
        <f t="array" ref="B300">IF(A300="","",_xlfn.CHOOSECOLS('Prematch Backend 2A'!300:300,_xlfn.MAKEARRAY(1,A300-2,_xlfn.LAMBDA(_xlpm.r,_xlpm.c,_xlpm.c))))</f>
        <v/>
      </c>
    </row>
    <row r="301" spans="2:2" x14ac:dyDescent="0.2">
      <c r="B301" t="str" cm="1">
        <f t="array" ref="B301">IF(A301="","",_xlfn.CHOOSECOLS('Prematch Backend 2A'!301:301,_xlfn.MAKEARRAY(1,A301-2,_xlfn.LAMBDA(_xlpm.r,_xlpm.c,_xlpm.c))))</f>
        <v/>
      </c>
    </row>
    <row r="302" spans="2:2" x14ac:dyDescent="0.2">
      <c r="B302" t="str" cm="1">
        <f t="array" ref="B302">IF(A302="","",_xlfn.CHOOSECOLS('Prematch Backend 2A'!302:302,_xlfn.MAKEARRAY(1,A302-2,_xlfn.LAMBDA(_xlpm.r,_xlpm.c,_xlpm.c))))</f>
        <v/>
      </c>
    </row>
    <row r="303" spans="2:2" x14ac:dyDescent="0.2">
      <c r="B303" t="str" cm="1">
        <f t="array" ref="B303">IF(A303="","",_xlfn.CHOOSECOLS('Prematch Backend 2A'!303:303,_xlfn.MAKEARRAY(1,A303-2,_xlfn.LAMBDA(_xlpm.r,_xlpm.c,_xlpm.c))))</f>
        <v/>
      </c>
    </row>
    <row r="304" spans="2:2" x14ac:dyDescent="0.2">
      <c r="B304" t="str" cm="1">
        <f t="array" ref="B304">IF(A304="","",_xlfn.CHOOSECOLS('Prematch Backend 2A'!304:304,_xlfn.MAKEARRAY(1,A304-2,_xlfn.LAMBDA(_xlpm.r,_xlpm.c,_xlpm.c))))</f>
        <v/>
      </c>
    </row>
    <row r="305" spans="2:2" x14ac:dyDescent="0.2">
      <c r="B305" t="str" cm="1">
        <f t="array" ref="B305">IF(A305="","",_xlfn.CHOOSECOLS('Prematch Backend 2A'!305:305,_xlfn.MAKEARRAY(1,A305-2,_xlfn.LAMBDA(_xlpm.r,_xlpm.c,_xlpm.c))))</f>
        <v/>
      </c>
    </row>
    <row r="306" spans="2:2" x14ac:dyDescent="0.2">
      <c r="B306" t="str" cm="1">
        <f t="array" ref="B306">IF(A306="","",_xlfn.CHOOSECOLS('Prematch Backend 2A'!306:306,_xlfn.MAKEARRAY(1,A306-2,_xlfn.LAMBDA(_xlpm.r,_xlpm.c,_xlpm.c))))</f>
        <v/>
      </c>
    </row>
    <row r="307" spans="2:2" x14ac:dyDescent="0.2">
      <c r="B307" t="str" cm="1">
        <f t="array" ref="B307">IF(A307="","",_xlfn.CHOOSECOLS('Prematch Backend 2A'!307:307,_xlfn.MAKEARRAY(1,A307-2,_xlfn.LAMBDA(_xlpm.r,_xlpm.c,_xlpm.c))))</f>
        <v/>
      </c>
    </row>
    <row r="308" spans="2:2" x14ac:dyDescent="0.2">
      <c r="B308" t="str" cm="1">
        <f t="array" ref="B308">IF(A308="","",_xlfn.CHOOSECOLS('Prematch Backend 2A'!308:308,_xlfn.MAKEARRAY(1,A308-2,_xlfn.LAMBDA(_xlpm.r,_xlpm.c,_xlpm.c))))</f>
        <v/>
      </c>
    </row>
    <row r="309" spans="2:2" x14ac:dyDescent="0.2">
      <c r="B309" t="str" cm="1">
        <f t="array" ref="B309">IF(A309="","",_xlfn.CHOOSECOLS('Prematch Backend 2A'!309:309,_xlfn.MAKEARRAY(1,A309-2,_xlfn.LAMBDA(_xlpm.r,_xlpm.c,_xlpm.c))))</f>
        <v/>
      </c>
    </row>
    <row r="310" spans="2:2" x14ac:dyDescent="0.2">
      <c r="B310" t="str" cm="1">
        <f t="array" ref="B310">IF(A310="","",_xlfn.CHOOSECOLS('Prematch Backend 2A'!310:310,_xlfn.MAKEARRAY(1,A310-2,_xlfn.LAMBDA(_xlpm.r,_xlpm.c,_xlpm.c))))</f>
        <v/>
      </c>
    </row>
    <row r="311" spans="2:2" x14ac:dyDescent="0.2">
      <c r="B311" t="str" cm="1">
        <f t="array" ref="B311">IF(A311="","",_xlfn.CHOOSECOLS('Prematch Backend 2A'!311:311,_xlfn.MAKEARRAY(1,A311-2,_xlfn.LAMBDA(_xlpm.r,_xlpm.c,_xlpm.c))))</f>
        <v/>
      </c>
    </row>
    <row r="312" spans="2:2" x14ac:dyDescent="0.2">
      <c r="B312" t="str" cm="1">
        <f t="array" ref="B312">IF(A312="","",_xlfn.CHOOSECOLS('Prematch Backend 2A'!312:312,_xlfn.MAKEARRAY(1,A312-2,_xlfn.LAMBDA(_xlpm.r,_xlpm.c,_xlpm.c))))</f>
        <v/>
      </c>
    </row>
    <row r="313" spans="2:2" x14ac:dyDescent="0.2">
      <c r="B313" t="str" cm="1">
        <f t="array" ref="B313">IF(A313="","",_xlfn.CHOOSECOLS('Prematch Backend 2A'!313:313,_xlfn.MAKEARRAY(1,A313-2,_xlfn.LAMBDA(_xlpm.r,_xlpm.c,_xlpm.c))))</f>
        <v/>
      </c>
    </row>
    <row r="314" spans="2:2" x14ac:dyDescent="0.2">
      <c r="B314" t="str" cm="1">
        <f t="array" ref="B314">IF(A314="","",_xlfn.CHOOSECOLS('Prematch Backend 2A'!314:314,_xlfn.MAKEARRAY(1,A314-2,_xlfn.LAMBDA(_xlpm.r,_xlpm.c,_xlpm.c))))</f>
        <v/>
      </c>
    </row>
    <row r="315" spans="2:2" x14ac:dyDescent="0.2">
      <c r="B315" t="str" cm="1">
        <f t="array" ref="B315">IF(A315="","",_xlfn.CHOOSECOLS('Prematch Backend 2A'!315:315,_xlfn.MAKEARRAY(1,A315-2,_xlfn.LAMBDA(_xlpm.r,_xlpm.c,_xlpm.c))))</f>
        <v/>
      </c>
    </row>
    <row r="316" spans="2:2" x14ac:dyDescent="0.2">
      <c r="B316" t="str" cm="1">
        <f t="array" ref="B316">IF(A316="","",_xlfn.CHOOSECOLS('Prematch Backend 2A'!316:316,_xlfn.MAKEARRAY(1,A316-2,_xlfn.LAMBDA(_xlpm.r,_xlpm.c,_xlpm.c))))</f>
        <v/>
      </c>
    </row>
    <row r="317" spans="2:2" x14ac:dyDescent="0.2">
      <c r="B317" t="str" cm="1">
        <f t="array" ref="B317">IF(A317="","",_xlfn.CHOOSECOLS('Prematch Backend 2A'!317:317,_xlfn.MAKEARRAY(1,A317-2,_xlfn.LAMBDA(_xlpm.r,_xlpm.c,_xlpm.c))))</f>
        <v/>
      </c>
    </row>
    <row r="318" spans="2:2" x14ac:dyDescent="0.2">
      <c r="B318" t="str" cm="1">
        <f t="array" ref="B318">IF(A318="","",_xlfn.CHOOSECOLS('Prematch Backend 2A'!318:318,_xlfn.MAKEARRAY(1,A318-2,_xlfn.LAMBDA(_xlpm.r,_xlpm.c,_xlpm.c))))</f>
        <v/>
      </c>
    </row>
    <row r="319" spans="2:2" x14ac:dyDescent="0.2">
      <c r="B319" t="str" cm="1">
        <f t="array" ref="B319">IF(A319="","",_xlfn.CHOOSECOLS('Prematch Backend 2A'!319:319,_xlfn.MAKEARRAY(1,A319-2,_xlfn.LAMBDA(_xlpm.r,_xlpm.c,_xlpm.c))))</f>
        <v/>
      </c>
    </row>
    <row r="320" spans="2:2" x14ac:dyDescent="0.2">
      <c r="B320" t="str" cm="1">
        <f t="array" ref="B320">IF(A320="","",_xlfn.CHOOSECOLS('Prematch Backend 2A'!320:320,_xlfn.MAKEARRAY(1,A320-2,_xlfn.LAMBDA(_xlpm.r,_xlpm.c,_xlpm.c))))</f>
        <v/>
      </c>
    </row>
    <row r="321" spans="2:2" x14ac:dyDescent="0.2">
      <c r="B321" t="str" cm="1">
        <f t="array" ref="B321">IF(A321="","",_xlfn.CHOOSECOLS('Prematch Backend 2A'!321:321,_xlfn.MAKEARRAY(1,A321-2,_xlfn.LAMBDA(_xlpm.r,_xlpm.c,_xlpm.c))))</f>
        <v/>
      </c>
    </row>
    <row r="322" spans="2:2" x14ac:dyDescent="0.2">
      <c r="B322" t="str" cm="1">
        <f t="array" ref="B322">IF(A322="","",_xlfn.CHOOSECOLS('Prematch Backend 2A'!322:322,_xlfn.MAKEARRAY(1,A322-2,_xlfn.LAMBDA(_xlpm.r,_xlpm.c,_xlpm.c))))</f>
        <v/>
      </c>
    </row>
    <row r="323" spans="2:2" x14ac:dyDescent="0.2">
      <c r="B323" t="str" cm="1">
        <f t="array" ref="B323">IF(A323="","",_xlfn.CHOOSECOLS('Prematch Backend 2A'!323:323,_xlfn.MAKEARRAY(1,A323-2,_xlfn.LAMBDA(_xlpm.r,_xlpm.c,_xlpm.c))))</f>
        <v/>
      </c>
    </row>
    <row r="324" spans="2:2" x14ac:dyDescent="0.2">
      <c r="B324" t="str" cm="1">
        <f t="array" ref="B324">IF(A324="","",_xlfn.CHOOSECOLS('Prematch Backend 2A'!324:324,_xlfn.MAKEARRAY(1,A324-2,_xlfn.LAMBDA(_xlpm.r,_xlpm.c,_xlpm.c))))</f>
        <v/>
      </c>
    </row>
    <row r="325" spans="2:2" x14ac:dyDescent="0.2">
      <c r="B325" t="str" cm="1">
        <f t="array" ref="B325">IF(A325="","",_xlfn.CHOOSECOLS('Prematch Backend 2A'!325:325,_xlfn.MAKEARRAY(1,A325-2,_xlfn.LAMBDA(_xlpm.r,_xlpm.c,_xlpm.c))))</f>
        <v/>
      </c>
    </row>
    <row r="326" spans="2:2" x14ac:dyDescent="0.2">
      <c r="B326" t="str" cm="1">
        <f t="array" ref="B326">IF(A326="","",_xlfn.CHOOSECOLS('Prematch Backend 2A'!326:326,_xlfn.MAKEARRAY(1,A326-2,_xlfn.LAMBDA(_xlpm.r,_xlpm.c,_xlpm.c))))</f>
        <v/>
      </c>
    </row>
    <row r="327" spans="2:2" x14ac:dyDescent="0.2">
      <c r="B327" t="str" cm="1">
        <f t="array" ref="B327">IF(A327="","",_xlfn.CHOOSECOLS('Prematch Backend 2A'!327:327,_xlfn.MAKEARRAY(1,A327-2,_xlfn.LAMBDA(_xlpm.r,_xlpm.c,_xlpm.c))))</f>
        <v/>
      </c>
    </row>
    <row r="328" spans="2:2" x14ac:dyDescent="0.2">
      <c r="B328" t="str" cm="1">
        <f t="array" ref="B328">IF(A328="","",_xlfn.CHOOSECOLS('Prematch Backend 2A'!328:328,_xlfn.MAKEARRAY(1,A328-2,_xlfn.LAMBDA(_xlpm.r,_xlpm.c,_xlpm.c))))</f>
        <v/>
      </c>
    </row>
    <row r="329" spans="2:2" x14ac:dyDescent="0.2">
      <c r="B329" t="str" cm="1">
        <f t="array" ref="B329">IF(A329="","",_xlfn.CHOOSECOLS('Prematch Backend 2A'!329:329,_xlfn.MAKEARRAY(1,A329-2,_xlfn.LAMBDA(_xlpm.r,_xlpm.c,_xlpm.c))))</f>
        <v/>
      </c>
    </row>
    <row r="330" spans="2:2" x14ac:dyDescent="0.2">
      <c r="B330" t="str" cm="1">
        <f t="array" ref="B330">IF(A330="","",_xlfn.CHOOSECOLS('Prematch Backend 2A'!330:330,_xlfn.MAKEARRAY(1,A330-2,_xlfn.LAMBDA(_xlpm.r,_xlpm.c,_xlpm.c))))</f>
        <v/>
      </c>
    </row>
    <row r="331" spans="2:2" x14ac:dyDescent="0.2">
      <c r="B331" t="str" cm="1">
        <f t="array" ref="B331">IF(A331="","",_xlfn.CHOOSECOLS('Prematch Backend 2A'!331:331,_xlfn.MAKEARRAY(1,A331-2,_xlfn.LAMBDA(_xlpm.r,_xlpm.c,_xlpm.c))))</f>
        <v/>
      </c>
    </row>
    <row r="332" spans="2:2" x14ac:dyDescent="0.2">
      <c r="B332" t="str" cm="1">
        <f t="array" ref="B332">IF(A332="","",_xlfn.CHOOSECOLS('Prematch Backend 2A'!332:332,_xlfn.MAKEARRAY(1,A332-2,_xlfn.LAMBDA(_xlpm.r,_xlpm.c,_xlpm.c))))</f>
        <v/>
      </c>
    </row>
    <row r="333" spans="2:2" x14ac:dyDescent="0.2">
      <c r="B333" t="str" cm="1">
        <f t="array" ref="B333">IF(A333="","",_xlfn.CHOOSECOLS('Prematch Backend 2A'!333:333,_xlfn.MAKEARRAY(1,A333-2,_xlfn.LAMBDA(_xlpm.r,_xlpm.c,_xlpm.c))))</f>
        <v/>
      </c>
    </row>
    <row r="334" spans="2:2" x14ac:dyDescent="0.2">
      <c r="B334" t="str" cm="1">
        <f t="array" ref="B334">IF(A334="","",_xlfn.CHOOSECOLS('Prematch Backend 2A'!334:334,_xlfn.MAKEARRAY(1,A334-2,_xlfn.LAMBDA(_xlpm.r,_xlpm.c,_xlpm.c))))</f>
        <v/>
      </c>
    </row>
    <row r="335" spans="2:2" x14ac:dyDescent="0.2">
      <c r="B335" t="str" cm="1">
        <f t="array" ref="B335">IF(A335="","",_xlfn.CHOOSECOLS('Prematch Backend 2A'!335:335,_xlfn.MAKEARRAY(1,A335-2,_xlfn.LAMBDA(_xlpm.r,_xlpm.c,_xlpm.c))))</f>
        <v/>
      </c>
    </row>
    <row r="336" spans="2:2" x14ac:dyDescent="0.2">
      <c r="B336" t="str" cm="1">
        <f t="array" ref="B336">IF(A336="","",_xlfn.CHOOSECOLS('Prematch Backend 2A'!336:336,_xlfn.MAKEARRAY(1,A336-2,_xlfn.LAMBDA(_xlpm.r,_xlpm.c,_xlpm.c))))</f>
        <v/>
      </c>
    </row>
    <row r="337" spans="2:2" x14ac:dyDescent="0.2">
      <c r="B337" t="str" cm="1">
        <f t="array" ref="B337">IF(A337="","",_xlfn.CHOOSECOLS('Prematch Backend 2A'!337:337,_xlfn.MAKEARRAY(1,A337-2,_xlfn.LAMBDA(_xlpm.r,_xlpm.c,_xlpm.c))))</f>
        <v/>
      </c>
    </row>
    <row r="338" spans="2:2" x14ac:dyDescent="0.2">
      <c r="B338" t="str" cm="1">
        <f t="array" ref="B338">IF(A338="","",_xlfn.CHOOSECOLS('Prematch Backend 2A'!338:338,_xlfn.MAKEARRAY(1,A338-2,_xlfn.LAMBDA(_xlpm.r,_xlpm.c,_xlpm.c))))</f>
        <v/>
      </c>
    </row>
    <row r="339" spans="2:2" x14ac:dyDescent="0.2">
      <c r="B339" t="str" cm="1">
        <f t="array" ref="B339">IF(A339="","",_xlfn.CHOOSECOLS('Prematch Backend 2A'!339:339,_xlfn.MAKEARRAY(1,A339-2,_xlfn.LAMBDA(_xlpm.r,_xlpm.c,_xlpm.c))))</f>
        <v/>
      </c>
    </row>
    <row r="340" spans="2:2" x14ac:dyDescent="0.2">
      <c r="B340" t="str" cm="1">
        <f t="array" ref="B340">IF(A340="","",_xlfn.CHOOSECOLS('Prematch Backend 2A'!340:340,_xlfn.MAKEARRAY(1,A340-2,_xlfn.LAMBDA(_xlpm.r,_xlpm.c,_xlpm.c))))</f>
        <v/>
      </c>
    </row>
    <row r="341" spans="2:2" x14ac:dyDescent="0.2">
      <c r="B341" t="str" cm="1">
        <f t="array" ref="B341">IF(A341="","",_xlfn.CHOOSECOLS('Prematch Backend 2A'!341:341,_xlfn.MAKEARRAY(1,A341-2,_xlfn.LAMBDA(_xlpm.r,_xlpm.c,_xlpm.c))))</f>
        <v/>
      </c>
    </row>
    <row r="342" spans="2:2" x14ac:dyDescent="0.2">
      <c r="B342" t="str" cm="1">
        <f t="array" ref="B342">IF(A342="","",_xlfn.CHOOSECOLS('Prematch Backend 2A'!342:342,_xlfn.MAKEARRAY(1,A342-2,_xlfn.LAMBDA(_xlpm.r,_xlpm.c,_xlpm.c))))</f>
        <v/>
      </c>
    </row>
    <row r="343" spans="2:2" x14ac:dyDescent="0.2">
      <c r="B343" t="str" cm="1">
        <f t="array" ref="B343">IF(A343="","",_xlfn.CHOOSECOLS('Prematch Backend 2A'!343:343,_xlfn.MAKEARRAY(1,A343-2,_xlfn.LAMBDA(_xlpm.r,_xlpm.c,_xlpm.c))))</f>
        <v/>
      </c>
    </row>
    <row r="344" spans="2:2" x14ac:dyDescent="0.2">
      <c r="B344" t="str" cm="1">
        <f t="array" ref="B344">IF(A344="","",_xlfn.CHOOSECOLS('Prematch Backend 2A'!344:344,_xlfn.MAKEARRAY(1,A344-2,_xlfn.LAMBDA(_xlpm.r,_xlpm.c,_xlpm.c))))</f>
        <v/>
      </c>
    </row>
    <row r="345" spans="2:2" x14ac:dyDescent="0.2">
      <c r="B345" t="str" cm="1">
        <f t="array" ref="B345">IF(A345="","",_xlfn.CHOOSECOLS('Prematch Backend 2A'!345:345,_xlfn.MAKEARRAY(1,A345-2,_xlfn.LAMBDA(_xlpm.r,_xlpm.c,_xlpm.c))))</f>
        <v/>
      </c>
    </row>
    <row r="346" spans="2:2" x14ac:dyDescent="0.2">
      <c r="B346" t="str" cm="1">
        <f t="array" ref="B346">IF(A346="","",_xlfn.CHOOSECOLS('Prematch Backend 2A'!346:346,_xlfn.MAKEARRAY(1,A346-2,_xlfn.LAMBDA(_xlpm.r,_xlpm.c,_xlpm.c))))</f>
        <v/>
      </c>
    </row>
    <row r="347" spans="2:2" x14ac:dyDescent="0.2">
      <c r="B347" t="str" cm="1">
        <f t="array" ref="B347">IF(A347="","",_xlfn.CHOOSECOLS('Prematch Backend 2A'!347:347,_xlfn.MAKEARRAY(1,A347-2,_xlfn.LAMBDA(_xlpm.r,_xlpm.c,_xlpm.c))))</f>
        <v/>
      </c>
    </row>
    <row r="348" spans="2:2" x14ac:dyDescent="0.2">
      <c r="B348" t="str" cm="1">
        <f t="array" ref="B348">IF(A348="","",_xlfn.CHOOSECOLS('Prematch Backend 2A'!348:348,_xlfn.MAKEARRAY(1,A348-2,_xlfn.LAMBDA(_xlpm.r,_xlpm.c,_xlpm.c))))</f>
        <v/>
      </c>
    </row>
    <row r="349" spans="2:2" x14ac:dyDescent="0.2">
      <c r="B349" t="str" cm="1">
        <f t="array" ref="B349">IF(A349="","",_xlfn.CHOOSECOLS('Prematch Backend 2A'!349:349,_xlfn.MAKEARRAY(1,A349-2,_xlfn.LAMBDA(_xlpm.r,_xlpm.c,_xlpm.c))))</f>
        <v/>
      </c>
    </row>
    <row r="350" spans="2:2" x14ac:dyDescent="0.2">
      <c r="B350" t="str" cm="1">
        <f t="array" ref="B350">IF(A350="","",_xlfn.CHOOSECOLS('Prematch Backend 2A'!350:350,_xlfn.MAKEARRAY(1,A350-2,_xlfn.LAMBDA(_xlpm.r,_xlpm.c,_xlpm.c))))</f>
        <v/>
      </c>
    </row>
    <row r="351" spans="2:2" x14ac:dyDescent="0.2">
      <c r="B351" t="str" cm="1">
        <f t="array" ref="B351">IF(A351="","",_xlfn.CHOOSECOLS('Prematch Backend 2A'!351:351,_xlfn.MAKEARRAY(1,A351-2,_xlfn.LAMBDA(_xlpm.r,_xlpm.c,_xlpm.c))))</f>
        <v/>
      </c>
    </row>
    <row r="352" spans="2:2" x14ac:dyDescent="0.2">
      <c r="B352" t="str" cm="1">
        <f t="array" ref="B352">IF(A352="","",_xlfn.CHOOSECOLS('Prematch Backend 2A'!352:352,_xlfn.MAKEARRAY(1,A352-2,_xlfn.LAMBDA(_xlpm.r,_xlpm.c,_xlpm.c))))</f>
        <v/>
      </c>
    </row>
    <row r="353" spans="2:2" x14ac:dyDescent="0.2">
      <c r="B353" t="str" cm="1">
        <f t="array" ref="B353">IF(A353="","",_xlfn.CHOOSECOLS('Prematch Backend 2A'!353:353,_xlfn.MAKEARRAY(1,A353-2,_xlfn.LAMBDA(_xlpm.r,_xlpm.c,_xlpm.c))))</f>
        <v/>
      </c>
    </row>
    <row r="354" spans="2:2" x14ac:dyDescent="0.2">
      <c r="B354" t="str" cm="1">
        <f t="array" ref="B354">IF(A354="","",_xlfn.CHOOSECOLS('Prematch Backend 2A'!354:354,_xlfn.MAKEARRAY(1,A354-2,_xlfn.LAMBDA(_xlpm.r,_xlpm.c,_xlpm.c))))</f>
        <v/>
      </c>
    </row>
    <row r="355" spans="2:2" x14ac:dyDescent="0.2">
      <c r="B355" t="str" cm="1">
        <f t="array" ref="B355">IF(A355="","",_xlfn.CHOOSECOLS('Prematch Backend 2A'!355:355,_xlfn.MAKEARRAY(1,A355-2,_xlfn.LAMBDA(_xlpm.r,_xlpm.c,_xlpm.c))))</f>
        <v/>
      </c>
    </row>
    <row r="356" spans="2:2" x14ac:dyDescent="0.2">
      <c r="B356" t="str" cm="1">
        <f t="array" ref="B356">IF(A356="","",_xlfn.CHOOSECOLS('Prematch Backend 2A'!356:356,_xlfn.MAKEARRAY(1,A356-2,_xlfn.LAMBDA(_xlpm.r,_xlpm.c,_xlpm.c))))</f>
        <v/>
      </c>
    </row>
    <row r="357" spans="2:2" x14ac:dyDescent="0.2">
      <c r="B357" t="str" cm="1">
        <f t="array" ref="B357">IF(A357="","",_xlfn.CHOOSECOLS('Prematch Backend 2A'!357:357,_xlfn.MAKEARRAY(1,A357-2,_xlfn.LAMBDA(_xlpm.r,_xlpm.c,_xlpm.c))))</f>
        <v/>
      </c>
    </row>
    <row r="358" spans="2:2" x14ac:dyDescent="0.2">
      <c r="B358" t="str" cm="1">
        <f t="array" ref="B358">IF(A358="","",_xlfn.CHOOSECOLS('Prematch Backend 2A'!358:358,_xlfn.MAKEARRAY(1,A358-2,_xlfn.LAMBDA(_xlpm.r,_xlpm.c,_xlpm.c))))</f>
        <v/>
      </c>
    </row>
    <row r="359" spans="2:2" x14ac:dyDescent="0.2">
      <c r="B359" t="str" cm="1">
        <f t="array" ref="B359">IF(A359="","",_xlfn.CHOOSECOLS('Prematch Backend 2A'!359:359,_xlfn.MAKEARRAY(1,A359-2,_xlfn.LAMBDA(_xlpm.r,_xlpm.c,_xlpm.c))))</f>
        <v/>
      </c>
    </row>
    <row r="360" spans="2:2" x14ac:dyDescent="0.2">
      <c r="B360" t="str" cm="1">
        <f t="array" ref="B360">IF(A360="","",_xlfn.CHOOSECOLS('Prematch Backend 2A'!360:360,_xlfn.MAKEARRAY(1,A360-2,_xlfn.LAMBDA(_xlpm.r,_xlpm.c,_xlpm.c))))</f>
        <v/>
      </c>
    </row>
    <row r="361" spans="2:2" x14ac:dyDescent="0.2">
      <c r="B361" t="str" cm="1">
        <f t="array" ref="B361">IF(A361="","",_xlfn.CHOOSECOLS('Prematch Backend 2A'!361:361,_xlfn.MAKEARRAY(1,A361-2,_xlfn.LAMBDA(_xlpm.r,_xlpm.c,_xlpm.c))))</f>
        <v/>
      </c>
    </row>
    <row r="362" spans="2:2" x14ac:dyDescent="0.2">
      <c r="B362" t="str" cm="1">
        <f t="array" ref="B362">IF(A362="","",_xlfn.CHOOSECOLS('Prematch Backend 2A'!362:362,_xlfn.MAKEARRAY(1,A362-2,_xlfn.LAMBDA(_xlpm.r,_xlpm.c,_xlpm.c))))</f>
        <v/>
      </c>
    </row>
    <row r="363" spans="2:2" x14ac:dyDescent="0.2">
      <c r="B363" t="str" cm="1">
        <f t="array" ref="B363">IF(A363="","",_xlfn.CHOOSECOLS('Prematch Backend 2A'!363:363,_xlfn.MAKEARRAY(1,A363-2,_xlfn.LAMBDA(_xlpm.r,_xlpm.c,_xlpm.c))))</f>
        <v/>
      </c>
    </row>
    <row r="364" spans="2:2" x14ac:dyDescent="0.2">
      <c r="B364" t="str" cm="1">
        <f t="array" ref="B364">IF(A364="","",_xlfn.CHOOSECOLS('Prematch Backend 2A'!364:364,_xlfn.MAKEARRAY(1,A364-2,_xlfn.LAMBDA(_xlpm.r,_xlpm.c,_xlpm.c))))</f>
        <v/>
      </c>
    </row>
    <row r="365" spans="2:2" x14ac:dyDescent="0.2">
      <c r="B365" t="str" cm="1">
        <f t="array" ref="B365">IF(A365="","",_xlfn.CHOOSECOLS('Prematch Backend 2A'!365:365,_xlfn.MAKEARRAY(1,A365-2,_xlfn.LAMBDA(_xlpm.r,_xlpm.c,_xlpm.c))))</f>
        <v/>
      </c>
    </row>
    <row r="366" spans="2:2" x14ac:dyDescent="0.2">
      <c r="B366" t="str" cm="1">
        <f t="array" ref="B366">IF(A366="","",_xlfn.CHOOSECOLS('Prematch Backend 2A'!366:366,_xlfn.MAKEARRAY(1,A366-2,_xlfn.LAMBDA(_xlpm.r,_xlpm.c,_xlpm.c))))</f>
        <v/>
      </c>
    </row>
    <row r="367" spans="2:2" x14ac:dyDescent="0.2">
      <c r="B367" t="str" cm="1">
        <f t="array" ref="B367">IF(A367="","",_xlfn.CHOOSECOLS('Prematch Backend 2A'!367:367,_xlfn.MAKEARRAY(1,A367-2,_xlfn.LAMBDA(_xlpm.r,_xlpm.c,_xlpm.c))))</f>
        <v/>
      </c>
    </row>
    <row r="368" spans="2:2" x14ac:dyDescent="0.2">
      <c r="B368" t="str" cm="1">
        <f t="array" ref="B368">IF(A368="","",_xlfn.CHOOSECOLS('Prematch Backend 2A'!368:368,_xlfn.MAKEARRAY(1,A368-2,_xlfn.LAMBDA(_xlpm.r,_xlpm.c,_xlpm.c))))</f>
        <v/>
      </c>
    </row>
    <row r="369" spans="2:2" x14ac:dyDescent="0.2">
      <c r="B369" t="str" cm="1">
        <f t="array" ref="B369">IF(A369="","",_xlfn.CHOOSECOLS('Prematch Backend 2A'!369:369,_xlfn.MAKEARRAY(1,A369-2,_xlfn.LAMBDA(_xlpm.r,_xlpm.c,_xlpm.c))))</f>
        <v/>
      </c>
    </row>
    <row r="370" spans="2:2" x14ac:dyDescent="0.2">
      <c r="B370" t="str" cm="1">
        <f t="array" ref="B370">IF(A370="","",_xlfn.CHOOSECOLS('Prematch Backend 2A'!370:370,_xlfn.MAKEARRAY(1,A370-2,_xlfn.LAMBDA(_xlpm.r,_xlpm.c,_xlpm.c))))</f>
        <v/>
      </c>
    </row>
    <row r="371" spans="2:2" x14ac:dyDescent="0.2">
      <c r="B371" t="str" cm="1">
        <f t="array" ref="B371">IF(A371="","",_xlfn.CHOOSECOLS('Prematch Backend 2A'!371:371,_xlfn.MAKEARRAY(1,A371-2,_xlfn.LAMBDA(_xlpm.r,_xlpm.c,_xlpm.c))))</f>
        <v/>
      </c>
    </row>
    <row r="372" spans="2:2" x14ac:dyDescent="0.2">
      <c r="B372" t="str" cm="1">
        <f t="array" ref="B372">IF(A372="","",_xlfn.CHOOSECOLS('Prematch Backend 2A'!372:372,_xlfn.MAKEARRAY(1,A372-2,_xlfn.LAMBDA(_xlpm.r,_xlpm.c,_xlpm.c))))</f>
        <v/>
      </c>
    </row>
    <row r="373" spans="2:2" x14ac:dyDescent="0.2">
      <c r="B373" t="str" cm="1">
        <f t="array" ref="B373">IF(A373="","",_xlfn.CHOOSECOLS('Prematch Backend 2A'!373:373,_xlfn.MAKEARRAY(1,A373-2,_xlfn.LAMBDA(_xlpm.r,_xlpm.c,_xlpm.c))))</f>
        <v/>
      </c>
    </row>
    <row r="374" spans="2:2" x14ac:dyDescent="0.2">
      <c r="B374" t="str" cm="1">
        <f t="array" ref="B374">IF(A374="","",_xlfn.CHOOSECOLS('Prematch Backend 2A'!374:374,_xlfn.MAKEARRAY(1,A374-2,_xlfn.LAMBDA(_xlpm.r,_xlpm.c,_xlpm.c))))</f>
        <v/>
      </c>
    </row>
    <row r="375" spans="2:2" x14ac:dyDescent="0.2">
      <c r="B375" t="str" cm="1">
        <f t="array" ref="B375">IF(A375="","",_xlfn.CHOOSECOLS('Prematch Backend 2A'!375:375,_xlfn.MAKEARRAY(1,A375-2,_xlfn.LAMBDA(_xlpm.r,_xlpm.c,_xlpm.c))))</f>
        <v/>
      </c>
    </row>
    <row r="376" spans="2:2" x14ac:dyDescent="0.2">
      <c r="B376" t="str" cm="1">
        <f t="array" ref="B376">IF(A376="","",_xlfn.CHOOSECOLS('Prematch Backend 2A'!376:376,_xlfn.MAKEARRAY(1,A376-2,_xlfn.LAMBDA(_xlpm.r,_xlpm.c,_xlpm.c))))</f>
        <v/>
      </c>
    </row>
    <row r="377" spans="2:2" x14ac:dyDescent="0.2">
      <c r="B377" t="str" cm="1">
        <f t="array" ref="B377">IF(A377="","",_xlfn.CHOOSECOLS('Prematch Backend 2A'!377:377,_xlfn.MAKEARRAY(1,A377-2,_xlfn.LAMBDA(_xlpm.r,_xlpm.c,_xlpm.c))))</f>
        <v/>
      </c>
    </row>
    <row r="378" spans="2:2" x14ac:dyDescent="0.2">
      <c r="B378" t="str" cm="1">
        <f t="array" ref="B378">IF(A378="","",_xlfn.CHOOSECOLS('Prematch Backend 2A'!378:378,_xlfn.MAKEARRAY(1,A378-2,_xlfn.LAMBDA(_xlpm.r,_xlpm.c,_xlpm.c))))</f>
        <v/>
      </c>
    </row>
    <row r="379" spans="2:2" x14ac:dyDescent="0.2">
      <c r="B379" t="str" cm="1">
        <f t="array" ref="B379">IF(A379="","",_xlfn.CHOOSECOLS('Prematch Backend 2A'!379:379,_xlfn.MAKEARRAY(1,A379-2,_xlfn.LAMBDA(_xlpm.r,_xlpm.c,_xlpm.c))))</f>
        <v/>
      </c>
    </row>
    <row r="380" spans="2:2" x14ac:dyDescent="0.2">
      <c r="B380" t="str" cm="1">
        <f t="array" ref="B380">IF(A380="","",_xlfn.CHOOSECOLS('Prematch Backend 2A'!380:380,_xlfn.MAKEARRAY(1,A380-2,_xlfn.LAMBDA(_xlpm.r,_xlpm.c,_xlpm.c))))</f>
        <v/>
      </c>
    </row>
    <row r="381" spans="2:2" x14ac:dyDescent="0.2">
      <c r="B381" t="str" cm="1">
        <f t="array" ref="B381">IF(A381="","",_xlfn.CHOOSECOLS('Prematch Backend 2A'!381:381,_xlfn.MAKEARRAY(1,A381-2,_xlfn.LAMBDA(_xlpm.r,_xlpm.c,_xlpm.c))))</f>
        <v/>
      </c>
    </row>
    <row r="382" spans="2:2" x14ac:dyDescent="0.2">
      <c r="B382" t="str" cm="1">
        <f t="array" ref="B382">IF(A382="","",_xlfn.CHOOSECOLS('Prematch Backend 2A'!382:382,_xlfn.MAKEARRAY(1,A382-2,_xlfn.LAMBDA(_xlpm.r,_xlpm.c,_xlpm.c))))</f>
        <v/>
      </c>
    </row>
    <row r="383" spans="2:2" x14ac:dyDescent="0.2">
      <c r="B383" t="str" cm="1">
        <f t="array" ref="B383">IF(A383="","",_xlfn.CHOOSECOLS('Prematch Backend 2A'!383:383,_xlfn.MAKEARRAY(1,A383-2,_xlfn.LAMBDA(_xlpm.r,_xlpm.c,_xlpm.c))))</f>
        <v/>
      </c>
    </row>
    <row r="384" spans="2:2" x14ac:dyDescent="0.2">
      <c r="B384" t="str" cm="1">
        <f t="array" ref="B384">IF(A384="","",_xlfn.CHOOSECOLS('Prematch Backend 2A'!384:384,_xlfn.MAKEARRAY(1,A384-2,_xlfn.LAMBDA(_xlpm.r,_xlpm.c,_xlpm.c))))</f>
        <v/>
      </c>
    </row>
    <row r="385" spans="2:2" x14ac:dyDescent="0.2">
      <c r="B385" t="str" cm="1">
        <f t="array" ref="B385">IF(A385="","",_xlfn.CHOOSECOLS('Prematch Backend 2A'!385:385,_xlfn.MAKEARRAY(1,A385-2,_xlfn.LAMBDA(_xlpm.r,_xlpm.c,_xlpm.c))))</f>
        <v/>
      </c>
    </row>
    <row r="386" spans="2:2" x14ac:dyDescent="0.2">
      <c r="B386" t="str" cm="1">
        <f t="array" ref="B386">IF(A386="","",_xlfn.CHOOSECOLS('Prematch Backend 2A'!386:386,_xlfn.MAKEARRAY(1,A386-2,_xlfn.LAMBDA(_xlpm.r,_xlpm.c,_xlpm.c))))</f>
        <v/>
      </c>
    </row>
    <row r="387" spans="2:2" x14ac:dyDescent="0.2">
      <c r="B387" t="str" cm="1">
        <f t="array" ref="B387">IF(A387="","",_xlfn.CHOOSECOLS('Prematch Backend 2A'!387:387,_xlfn.MAKEARRAY(1,A387-2,_xlfn.LAMBDA(_xlpm.r,_xlpm.c,_xlpm.c))))</f>
        <v/>
      </c>
    </row>
    <row r="388" spans="2:2" x14ac:dyDescent="0.2">
      <c r="B388" t="str" cm="1">
        <f t="array" ref="B388">IF(A388="","",_xlfn.CHOOSECOLS('Prematch Backend 2A'!388:388,_xlfn.MAKEARRAY(1,A388-2,_xlfn.LAMBDA(_xlpm.r,_xlpm.c,_xlpm.c))))</f>
        <v/>
      </c>
    </row>
    <row r="389" spans="2:2" x14ac:dyDescent="0.2">
      <c r="B389" t="str" cm="1">
        <f t="array" ref="B389">IF(A389="","",_xlfn.CHOOSECOLS('Prematch Backend 2A'!389:389,_xlfn.MAKEARRAY(1,A389-2,_xlfn.LAMBDA(_xlpm.r,_xlpm.c,_xlpm.c))))</f>
        <v/>
      </c>
    </row>
    <row r="390" spans="2:2" x14ac:dyDescent="0.2">
      <c r="B390" t="str" cm="1">
        <f t="array" ref="B390">IF(A390="","",_xlfn.CHOOSECOLS('Prematch Backend 2A'!390:390,_xlfn.MAKEARRAY(1,A390-2,_xlfn.LAMBDA(_xlpm.r,_xlpm.c,_xlpm.c))))</f>
        <v/>
      </c>
    </row>
    <row r="391" spans="2:2" x14ac:dyDescent="0.2">
      <c r="B391" t="str" cm="1">
        <f t="array" ref="B391">IF(A391="","",_xlfn.CHOOSECOLS('Prematch Backend 2A'!391:391,_xlfn.MAKEARRAY(1,A391-2,_xlfn.LAMBDA(_xlpm.r,_xlpm.c,_xlpm.c))))</f>
        <v/>
      </c>
    </row>
    <row r="392" spans="2:2" x14ac:dyDescent="0.2">
      <c r="B392" t="str" cm="1">
        <f t="array" ref="B392">IF(A392="","",_xlfn.CHOOSECOLS('Prematch Backend 2A'!392:392,_xlfn.MAKEARRAY(1,A392-2,_xlfn.LAMBDA(_xlpm.r,_xlpm.c,_xlpm.c))))</f>
        <v/>
      </c>
    </row>
    <row r="393" spans="2:2" x14ac:dyDescent="0.2">
      <c r="B393" t="str" cm="1">
        <f t="array" ref="B393">IF(A393="","",_xlfn.CHOOSECOLS('Prematch Backend 2A'!393:393,_xlfn.MAKEARRAY(1,A393-2,_xlfn.LAMBDA(_xlpm.r,_xlpm.c,_xlpm.c))))</f>
        <v/>
      </c>
    </row>
    <row r="394" spans="2:2" x14ac:dyDescent="0.2">
      <c r="B394" t="str" cm="1">
        <f t="array" ref="B394">IF(A394="","",_xlfn.CHOOSECOLS('Prematch Backend 2A'!394:394,_xlfn.MAKEARRAY(1,A394-2,_xlfn.LAMBDA(_xlpm.r,_xlpm.c,_xlpm.c))))</f>
        <v/>
      </c>
    </row>
    <row r="395" spans="2:2" x14ac:dyDescent="0.2">
      <c r="B395" t="str" cm="1">
        <f t="array" ref="B395">IF(A395="","",_xlfn.CHOOSECOLS('Prematch Backend 2A'!395:395,_xlfn.MAKEARRAY(1,A395-2,_xlfn.LAMBDA(_xlpm.r,_xlpm.c,_xlpm.c))))</f>
        <v/>
      </c>
    </row>
    <row r="396" spans="2:2" x14ac:dyDescent="0.2">
      <c r="B396" t="str" cm="1">
        <f t="array" ref="B396">IF(A396="","",_xlfn.CHOOSECOLS('Prematch Backend 2A'!396:396,_xlfn.MAKEARRAY(1,A396-2,_xlfn.LAMBDA(_xlpm.r,_xlpm.c,_xlpm.c))))</f>
        <v/>
      </c>
    </row>
    <row r="397" spans="2:2" x14ac:dyDescent="0.2">
      <c r="B397" t="str" cm="1">
        <f t="array" ref="B397">IF(A397="","",_xlfn.CHOOSECOLS('Prematch Backend 2A'!397:397,_xlfn.MAKEARRAY(1,A397-2,_xlfn.LAMBDA(_xlpm.r,_xlpm.c,_xlpm.c))))</f>
        <v/>
      </c>
    </row>
    <row r="398" spans="2:2" x14ac:dyDescent="0.2">
      <c r="B398" t="str" cm="1">
        <f t="array" ref="B398">IF(A398="","",_xlfn.CHOOSECOLS('Prematch Backend 2A'!398:398,_xlfn.MAKEARRAY(1,A398-2,_xlfn.LAMBDA(_xlpm.r,_xlpm.c,_xlpm.c))))</f>
        <v/>
      </c>
    </row>
    <row r="399" spans="2:2" x14ac:dyDescent="0.2">
      <c r="B399" t="str" cm="1">
        <f t="array" ref="B399">IF(A399="","",_xlfn.CHOOSECOLS('Prematch Backend 2A'!399:399,_xlfn.MAKEARRAY(1,A399-2,_xlfn.LAMBDA(_xlpm.r,_xlpm.c,_xlpm.c))))</f>
        <v/>
      </c>
    </row>
    <row r="400" spans="2:2" x14ac:dyDescent="0.2">
      <c r="B400" t="str" cm="1">
        <f t="array" ref="B400">IF(A400="","",_xlfn.CHOOSECOLS('Prematch Backend 2A'!400:400,_xlfn.MAKEARRAY(1,A400-2,_xlfn.LAMBDA(_xlpm.r,_xlpm.c,_xlpm.c))))</f>
        <v/>
      </c>
    </row>
    <row r="401" spans="2:2" x14ac:dyDescent="0.2">
      <c r="B401" t="str" cm="1">
        <f t="array" ref="B401">IF(A401="","",_xlfn.CHOOSECOLS('Prematch Backend 2A'!401:401,_xlfn.MAKEARRAY(1,A401-2,_xlfn.LAMBDA(_xlpm.r,_xlpm.c,_xlpm.c))))</f>
        <v/>
      </c>
    </row>
    <row r="402" spans="2:2" x14ac:dyDescent="0.2">
      <c r="B402" t="str" cm="1">
        <f t="array" ref="B402">IF(A402="","",_xlfn.CHOOSECOLS('Prematch Backend 2A'!402:402,_xlfn.MAKEARRAY(1,A402-2,_xlfn.LAMBDA(_xlpm.r,_xlpm.c,_xlpm.c))))</f>
        <v/>
      </c>
    </row>
    <row r="403" spans="2:2" x14ac:dyDescent="0.2">
      <c r="B403" t="str" cm="1">
        <f t="array" ref="B403">IF(A403="","",_xlfn.CHOOSECOLS('Prematch Backend 2A'!403:403,_xlfn.MAKEARRAY(1,A403-2,_xlfn.LAMBDA(_xlpm.r,_xlpm.c,_xlpm.c))))</f>
        <v/>
      </c>
    </row>
    <row r="404" spans="2:2" x14ac:dyDescent="0.2">
      <c r="B404" t="str" cm="1">
        <f t="array" ref="B404">IF(A404="","",_xlfn.CHOOSECOLS('Prematch Backend 2A'!404:404,_xlfn.MAKEARRAY(1,A404-2,_xlfn.LAMBDA(_xlpm.r,_xlpm.c,_xlpm.c))))</f>
        <v/>
      </c>
    </row>
    <row r="405" spans="2:2" x14ac:dyDescent="0.2">
      <c r="B405" t="str" cm="1">
        <f t="array" ref="B405">IF(A405="","",_xlfn.CHOOSECOLS('Prematch Backend 2A'!405:405,_xlfn.MAKEARRAY(1,A405-2,_xlfn.LAMBDA(_xlpm.r,_xlpm.c,_xlpm.c))))</f>
        <v/>
      </c>
    </row>
    <row r="406" spans="2:2" x14ac:dyDescent="0.2">
      <c r="B406" t="str" cm="1">
        <f t="array" ref="B406">IF(A406="","",_xlfn.CHOOSECOLS('Prematch Backend 2A'!406:406,_xlfn.MAKEARRAY(1,A406-2,_xlfn.LAMBDA(_xlpm.r,_xlpm.c,_xlpm.c))))</f>
        <v/>
      </c>
    </row>
    <row r="407" spans="2:2" x14ac:dyDescent="0.2">
      <c r="B407" t="str" cm="1">
        <f t="array" ref="B407">IF(A407="","",_xlfn.CHOOSECOLS('Prematch Backend 2A'!407:407,_xlfn.MAKEARRAY(1,A407-2,_xlfn.LAMBDA(_xlpm.r,_xlpm.c,_xlpm.c))))</f>
        <v/>
      </c>
    </row>
    <row r="408" spans="2:2" x14ac:dyDescent="0.2">
      <c r="B408" t="str" cm="1">
        <f t="array" ref="B408">IF(A408="","",_xlfn.CHOOSECOLS('Prematch Backend 2A'!408:408,_xlfn.MAKEARRAY(1,A408-2,_xlfn.LAMBDA(_xlpm.r,_xlpm.c,_xlpm.c))))</f>
        <v/>
      </c>
    </row>
    <row r="409" spans="2:2" x14ac:dyDescent="0.2">
      <c r="B409" t="str" cm="1">
        <f t="array" ref="B409">IF(A409="","",_xlfn.CHOOSECOLS('Prematch Backend 2A'!409:409,_xlfn.MAKEARRAY(1,A409-2,_xlfn.LAMBDA(_xlpm.r,_xlpm.c,_xlpm.c))))</f>
        <v/>
      </c>
    </row>
    <row r="410" spans="2:2" x14ac:dyDescent="0.2">
      <c r="B410" t="str" cm="1">
        <f t="array" ref="B410">IF(A410="","",_xlfn.CHOOSECOLS('Prematch Backend 2A'!410:410,_xlfn.MAKEARRAY(1,A410-2,_xlfn.LAMBDA(_xlpm.r,_xlpm.c,_xlpm.c))))</f>
        <v/>
      </c>
    </row>
    <row r="411" spans="2:2" x14ac:dyDescent="0.2">
      <c r="B411" t="str" cm="1">
        <f t="array" ref="B411">IF(A411="","",_xlfn.CHOOSECOLS('Prematch Backend 2A'!411:411,_xlfn.MAKEARRAY(1,A411-2,_xlfn.LAMBDA(_xlpm.r,_xlpm.c,_xlpm.c))))</f>
        <v/>
      </c>
    </row>
    <row r="412" spans="2:2" x14ac:dyDescent="0.2">
      <c r="B412" t="str" cm="1">
        <f t="array" ref="B412">IF(A412="","",_xlfn.CHOOSECOLS('Prematch Backend 2A'!412:412,_xlfn.MAKEARRAY(1,A412-2,_xlfn.LAMBDA(_xlpm.r,_xlpm.c,_xlpm.c))))</f>
        <v/>
      </c>
    </row>
    <row r="413" spans="2:2" x14ac:dyDescent="0.2">
      <c r="B413" t="str" cm="1">
        <f t="array" ref="B413">IF(A413="","",_xlfn.CHOOSECOLS('Prematch Backend 2A'!413:413,_xlfn.MAKEARRAY(1,A413-2,_xlfn.LAMBDA(_xlpm.r,_xlpm.c,_xlpm.c))))</f>
        <v/>
      </c>
    </row>
    <row r="414" spans="2:2" x14ac:dyDescent="0.2">
      <c r="B414" t="str" cm="1">
        <f t="array" ref="B414">IF(A414="","",_xlfn.CHOOSECOLS('Prematch Backend 2A'!414:414,_xlfn.MAKEARRAY(1,A414-2,_xlfn.LAMBDA(_xlpm.r,_xlpm.c,_xlpm.c))))</f>
        <v/>
      </c>
    </row>
    <row r="415" spans="2:2" x14ac:dyDescent="0.2">
      <c r="B415" t="str" cm="1">
        <f t="array" ref="B415">IF(A415="","",_xlfn.CHOOSECOLS('Prematch Backend 2A'!415:415,_xlfn.MAKEARRAY(1,A415-2,_xlfn.LAMBDA(_xlpm.r,_xlpm.c,_xlpm.c))))</f>
        <v/>
      </c>
    </row>
    <row r="416" spans="2:2" x14ac:dyDescent="0.2">
      <c r="B416" t="str" cm="1">
        <f t="array" ref="B416">IF(A416="","",_xlfn.CHOOSECOLS('Prematch Backend 2A'!416:416,_xlfn.MAKEARRAY(1,A416-2,_xlfn.LAMBDA(_xlpm.r,_xlpm.c,_xlpm.c))))</f>
        <v/>
      </c>
    </row>
    <row r="417" spans="2:2" x14ac:dyDescent="0.2">
      <c r="B417" t="str" cm="1">
        <f t="array" ref="B417">IF(A417="","",_xlfn.CHOOSECOLS('Prematch Backend 2A'!417:417,_xlfn.MAKEARRAY(1,A417-2,_xlfn.LAMBDA(_xlpm.r,_xlpm.c,_xlpm.c))))</f>
        <v/>
      </c>
    </row>
    <row r="418" spans="2:2" x14ac:dyDescent="0.2">
      <c r="B418" t="str" cm="1">
        <f t="array" ref="B418">IF(A418="","",_xlfn.CHOOSECOLS('Prematch Backend 2A'!418:418,_xlfn.MAKEARRAY(1,A418-2,_xlfn.LAMBDA(_xlpm.r,_xlpm.c,_xlpm.c))))</f>
        <v/>
      </c>
    </row>
    <row r="419" spans="2:2" x14ac:dyDescent="0.2">
      <c r="B419" t="str" cm="1">
        <f t="array" ref="B419">IF(A419="","",_xlfn.CHOOSECOLS('Prematch Backend 2A'!419:419,_xlfn.MAKEARRAY(1,A419-2,_xlfn.LAMBDA(_xlpm.r,_xlpm.c,_xlpm.c))))</f>
        <v/>
      </c>
    </row>
    <row r="420" spans="2:2" x14ac:dyDescent="0.2">
      <c r="B420" t="str" cm="1">
        <f t="array" ref="B420">IF(A420="","",_xlfn.CHOOSECOLS('Prematch Backend 2A'!420:420,_xlfn.MAKEARRAY(1,A420-2,_xlfn.LAMBDA(_xlpm.r,_xlpm.c,_xlpm.c))))</f>
        <v/>
      </c>
    </row>
    <row r="421" spans="2:2" x14ac:dyDescent="0.2">
      <c r="B421" t="str" cm="1">
        <f t="array" ref="B421">IF(A421="","",_xlfn.CHOOSECOLS('Prematch Backend 2A'!421:421,_xlfn.MAKEARRAY(1,A421-2,_xlfn.LAMBDA(_xlpm.r,_xlpm.c,_xlpm.c))))</f>
        <v/>
      </c>
    </row>
    <row r="422" spans="2:2" x14ac:dyDescent="0.2">
      <c r="B422" t="str" cm="1">
        <f t="array" ref="B422">IF(A422="","",_xlfn.CHOOSECOLS('Prematch Backend 2A'!422:422,_xlfn.MAKEARRAY(1,A422-2,_xlfn.LAMBDA(_xlpm.r,_xlpm.c,_xlpm.c))))</f>
        <v/>
      </c>
    </row>
    <row r="423" spans="2:2" x14ac:dyDescent="0.2">
      <c r="B423" t="str" cm="1">
        <f t="array" ref="B423">IF(A423="","",_xlfn.CHOOSECOLS('Prematch Backend 2A'!423:423,_xlfn.MAKEARRAY(1,A423-2,_xlfn.LAMBDA(_xlpm.r,_xlpm.c,_xlpm.c))))</f>
        <v/>
      </c>
    </row>
    <row r="424" spans="2:2" x14ac:dyDescent="0.2">
      <c r="B424" t="str" cm="1">
        <f t="array" ref="B424">IF(A424="","",_xlfn.CHOOSECOLS('Prematch Backend 2A'!424:424,_xlfn.MAKEARRAY(1,A424-2,_xlfn.LAMBDA(_xlpm.r,_xlpm.c,_xlpm.c))))</f>
        <v/>
      </c>
    </row>
    <row r="425" spans="2:2" x14ac:dyDescent="0.2">
      <c r="B425" t="str" cm="1">
        <f t="array" ref="B425">IF(A425="","",_xlfn.CHOOSECOLS('Prematch Backend 2A'!425:425,_xlfn.MAKEARRAY(1,A425-2,_xlfn.LAMBDA(_xlpm.r,_xlpm.c,_xlpm.c))))</f>
        <v/>
      </c>
    </row>
    <row r="426" spans="2:2" x14ac:dyDescent="0.2">
      <c r="B426" t="str" cm="1">
        <f t="array" ref="B426">IF(A426="","",_xlfn.CHOOSECOLS('Prematch Backend 2A'!426:426,_xlfn.MAKEARRAY(1,A426-2,_xlfn.LAMBDA(_xlpm.r,_xlpm.c,_xlpm.c))))</f>
        <v/>
      </c>
    </row>
    <row r="427" spans="2:2" x14ac:dyDescent="0.2">
      <c r="B427" t="str" cm="1">
        <f t="array" ref="B427">IF(A427="","",_xlfn.CHOOSECOLS('Prematch Backend 2A'!427:427,_xlfn.MAKEARRAY(1,A427-2,_xlfn.LAMBDA(_xlpm.r,_xlpm.c,_xlpm.c))))</f>
        <v/>
      </c>
    </row>
    <row r="428" spans="2:2" x14ac:dyDescent="0.2">
      <c r="B428" t="str" cm="1">
        <f t="array" ref="B428">IF(A428="","",_xlfn.CHOOSECOLS('Prematch Backend 2A'!428:428,_xlfn.MAKEARRAY(1,A428-2,_xlfn.LAMBDA(_xlpm.r,_xlpm.c,_xlpm.c))))</f>
        <v/>
      </c>
    </row>
    <row r="429" spans="2:2" x14ac:dyDescent="0.2">
      <c r="B429" t="str" cm="1">
        <f t="array" ref="B429">IF(A429="","",_xlfn.CHOOSECOLS('Prematch Backend 2A'!429:429,_xlfn.MAKEARRAY(1,A429-2,_xlfn.LAMBDA(_xlpm.r,_xlpm.c,_xlpm.c))))</f>
        <v/>
      </c>
    </row>
    <row r="430" spans="2:2" x14ac:dyDescent="0.2">
      <c r="B430" t="str" cm="1">
        <f t="array" ref="B430">IF(A430="","",_xlfn.CHOOSECOLS('Prematch Backend 2A'!430:430,_xlfn.MAKEARRAY(1,A430-2,_xlfn.LAMBDA(_xlpm.r,_xlpm.c,_xlpm.c))))</f>
        <v/>
      </c>
    </row>
    <row r="431" spans="2:2" x14ac:dyDescent="0.2">
      <c r="B431" t="str" cm="1">
        <f t="array" ref="B431">IF(A431="","",_xlfn.CHOOSECOLS('Prematch Backend 2A'!431:431,_xlfn.MAKEARRAY(1,A431-2,_xlfn.LAMBDA(_xlpm.r,_xlpm.c,_xlpm.c))))</f>
        <v/>
      </c>
    </row>
    <row r="432" spans="2:2" x14ac:dyDescent="0.2">
      <c r="B432" t="str" cm="1">
        <f t="array" ref="B432">IF(A432="","",_xlfn.CHOOSECOLS('Prematch Backend 2A'!432:432,_xlfn.MAKEARRAY(1,A432-2,_xlfn.LAMBDA(_xlpm.r,_xlpm.c,_xlpm.c))))</f>
        <v/>
      </c>
    </row>
    <row r="433" spans="2:2" x14ac:dyDescent="0.2">
      <c r="B433" t="str" cm="1">
        <f t="array" ref="B433">IF(A433="","",_xlfn.CHOOSECOLS('Prematch Backend 2A'!433:433,_xlfn.MAKEARRAY(1,A433-2,_xlfn.LAMBDA(_xlpm.r,_xlpm.c,_xlpm.c))))</f>
        <v/>
      </c>
    </row>
    <row r="434" spans="2:2" x14ac:dyDescent="0.2">
      <c r="B434" t="str" cm="1">
        <f t="array" ref="B434">IF(A434="","",_xlfn.CHOOSECOLS('Prematch Backend 2A'!434:434,_xlfn.MAKEARRAY(1,A434-2,_xlfn.LAMBDA(_xlpm.r,_xlpm.c,_xlpm.c))))</f>
        <v/>
      </c>
    </row>
    <row r="435" spans="2:2" x14ac:dyDescent="0.2">
      <c r="B435" t="str" cm="1">
        <f t="array" ref="B435">IF(A435="","",_xlfn.CHOOSECOLS('Prematch Backend 2A'!435:435,_xlfn.MAKEARRAY(1,A435-2,_xlfn.LAMBDA(_xlpm.r,_xlpm.c,_xlpm.c))))</f>
        <v/>
      </c>
    </row>
    <row r="436" spans="2:2" x14ac:dyDescent="0.2">
      <c r="B436" t="str" cm="1">
        <f t="array" ref="B436">IF(A436="","",_xlfn.CHOOSECOLS('Prematch Backend 2A'!436:436,_xlfn.MAKEARRAY(1,A436-2,_xlfn.LAMBDA(_xlpm.r,_xlpm.c,_xlpm.c))))</f>
        <v/>
      </c>
    </row>
    <row r="437" spans="2:2" x14ac:dyDescent="0.2">
      <c r="B437" t="str" cm="1">
        <f t="array" ref="B437">IF(A437="","",_xlfn.CHOOSECOLS('Prematch Backend 2A'!437:437,_xlfn.MAKEARRAY(1,A437-2,_xlfn.LAMBDA(_xlpm.r,_xlpm.c,_xlpm.c))))</f>
        <v/>
      </c>
    </row>
    <row r="438" spans="2:2" x14ac:dyDescent="0.2">
      <c r="B438" t="str" cm="1">
        <f t="array" ref="B438">IF(A438="","",_xlfn.CHOOSECOLS('Prematch Backend 2A'!438:438,_xlfn.MAKEARRAY(1,A438-2,_xlfn.LAMBDA(_xlpm.r,_xlpm.c,_xlpm.c))))</f>
        <v/>
      </c>
    </row>
    <row r="439" spans="2:2" x14ac:dyDescent="0.2">
      <c r="B439" t="str" cm="1">
        <f t="array" ref="B439">IF(A439="","",_xlfn.CHOOSECOLS('Prematch Backend 2A'!439:439,_xlfn.MAKEARRAY(1,A439-2,_xlfn.LAMBDA(_xlpm.r,_xlpm.c,_xlpm.c))))</f>
        <v/>
      </c>
    </row>
    <row r="440" spans="2:2" x14ac:dyDescent="0.2">
      <c r="B440" t="str" cm="1">
        <f t="array" ref="B440">IF(A440="","",_xlfn.CHOOSECOLS('Prematch Backend 2A'!440:440,_xlfn.MAKEARRAY(1,A440-2,_xlfn.LAMBDA(_xlpm.r,_xlpm.c,_xlpm.c))))</f>
        <v/>
      </c>
    </row>
    <row r="441" spans="2:2" x14ac:dyDescent="0.2">
      <c r="B441" t="str" cm="1">
        <f t="array" ref="B441">IF(A441="","",_xlfn.CHOOSECOLS('Prematch Backend 2A'!441:441,_xlfn.MAKEARRAY(1,A441-2,_xlfn.LAMBDA(_xlpm.r,_xlpm.c,_xlpm.c))))</f>
        <v/>
      </c>
    </row>
    <row r="442" spans="2:2" x14ac:dyDescent="0.2">
      <c r="B442" t="str" cm="1">
        <f t="array" ref="B442">IF(A442="","",_xlfn.CHOOSECOLS('Prematch Backend 2A'!442:442,_xlfn.MAKEARRAY(1,A442-2,_xlfn.LAMBDA(_xlpm.r,_xlpm.c,_xlpm.c))))</f>
        <v/>
      </c>
    </row>
    <row r="443" spans="2:2" x14ac:dyDescent="0.2">
      <c r="B443" t="str" cm="1">
        <f t="array" ref="B443">IF(A443="","",_xlfn.CHOOSECOLS('Prematch Backend 2A'!443:443,_xlfn.MAKEARRAY(1,A443-2,_xlfn.LAMBDA(_xlpm.r,_xlpm.c,_xlpm.c))))</f>
        <v/>
      </c>
    </row>
    <row r="444" spans="2:2" x14ac:dyDescent="0.2">
      <c r="B444" t="str" cm="1">
        <f t="array" ref="B444">IF(A444="","",_xlfn.CHOOSECOLS('Prematch Backend 2A'!444:444,_xlfn.MAKEARRAY(1,A444-2,_xlfn.LAMBDA(_xlpm.r,_xlpm.c,_xlpm.c))))</f>
        <v/>
      </c>
    </row>
    <row r="445" spans="2:2" x14ac:dyDescent="0.2">
      <c r="B445" t="str" cm="1">
        <f t="array" ref="B445">IF(A445="","",_xlfn.CHOOSECOLS('Prematch Backend 2A'!445:445,_xlfn.MAKEARRAY(1,A445-2,_xlfn.LAMBDA(_xlpm.r,_xlpm.c,_xlpm.c))))</f>
        <v/>
      </c>
    </row>
    <row r="446" spans="2:2" x14ac:dyDescent="0.2">
      <c r="B446" t="str" cm="1">
        <f t="array" ref="B446">IF(A446="","",_xlfn.CHOOSECOLS('Prematch Backend 2A'!446:446,_xlfn.MAKEARRAY(1,A446-2,_xlfn.LAMBDA(_xlpm.r,_xlpm.c,_xlpm.c))))</f>
        <v/>
      </c>
    </row>
    <row r="447" spans="2:2" x14ac:dyDescent="0.2">
      <c r="B447" t="str" cm="1">
        <f t="array" ref="B447">IF(A447="","",_xlfn.CHOOSECOLS('Prematch Backend 2A'!447:447,_xlfn.MAKEARRAY(1,A447-2,_xlfn.LAMBDA(_xlpm.r,_xlpm.c,_xlpm.c))))</f>
        <v/>
      </c>
    </row>
    <row r="448" spans="2:2" x14ac:dyDescent="0.2">
      <c r="B448" t="str" cm="1">
        <f t="array" ref="B448">IF(A448="","",_xlfn.CHOOSECOLS('Prematch Backend 2A'!448:448,_xlfn.MAKEARRAY(1,A448-2,_xlfn.LAMBDA(_xlpm.r,_xlpm.c,_xlpm.c))))</f>
        <v/>
      </c>
    </row>
    <row r="449" spans="2:2" x14ac:dyDescent="0.2">
      <c r="B449" t="str" cm="1">
        <f t="array" ref="B449">IF(A449="","",_xlfn.CHOOSECOLS('Prematch Backend 2A'!449:449,_xlfn.MAKEARRAY(1,A449-2,_xlfn.LAMBDA(_xlpm.r,_xlpm.c,_xlpm.c))))</f>
        <v/>
      </c>
    </row>
    <row r="450" spans="2:2" x14ac:dyDescent="0.2">
      <c r="B450" t="str" cm="1">
        <f t="array" ref="B450">IF(A450="","",_xlfn.CHOOSECOLS('Prematch Backend 2A'!450:450,_xlfn.MAKEARRAY(1,A450-2,_xlfn.LAMBDA(_xlpm.r,_xlpm.c,_xlpm.c))))</f>
        <v/>
      </c>
    </row>
    <row r="451" spans="2:2" x14ac:dyDescent="0.2">
      <c r="B451" t="str" cm="1">
        <f t="array" ref="B451">IF(A451="","",_xlfn.CHOOSECOLS('Prematch Backend 2A'!451:451,_xlfn.MAKEARRAY(1,A451-2,_xlfn.LAMBDA(_xlpm.r,_xlpm.c,_xlpm.c))))</f>
        <v/>
      </c>
    </row>
    <row r="452" spans="2:2" x14ac:dyDescent="0.2">
      <c r="B452" t="str" cm="1">
        <f t="array" ref="B452">IF(A452="","",_xlfn.CHOOSECOLS('Prematch Backend 2A'!452:452,_xlfn.MAKEARRAY(1,A452-2,_xlfn.LAMBDA(_xlpm.r,_xlpm.c,_xlpm.c))))</f>
        <v/>
      </c>
    </row>
    <row r="453" spans="2:2" x14ac:dyDescent="0.2">
      <c r="B453" t="str" cm="1">
        <f t="array" ref="B453">IF(A453="","",_xlfn.CHOOSECOLS('Prematch Backend 2A'!453:453,_xlfn.MAKEARRAY(1,A453-2,_xlfn.LAMBDA(_xlpm.r,_xlpm.c,_xlpm.c))))</f>
        <v/>
      </c>
    </row>
    <row r="454" spans="2:2" x14ac:dyDescent="0.2">
      <c r="B454" t="str" cm="1">
        <f t="array" ref="B454">IF(A454="","",_xlfn.CHOOSECOLS('Prematch Backend 2A'!454:454,_xlfn.MAKEARRAY(1,A454-2,_xlfn.LAMBDA(_xlpm.r,_xlpm.c,_xlpm.c))))</f>
        <v/>
      </c>
    </row>
    <row r="455" spans="2:2" x14ac:dyDescent="0.2">
      <c r="B455" t="str" cm="1">
        <f t="array" ref="B455">IF(A455="","",_xlfn.CHOOSECOLS('Prematch Backend 2A'!455:455,_xlfn.MAKEARRAY(1,A455-2,_xlfn.LAMBDA(_xlpm.r,_xlpm.c,_xlpm.c))))</f>
        <v/>
      </c>
    </row>
    <row r="456" spans="2:2" x14ac:dyDescent="0.2">
      <c r="B456" t="str" cm="1">
        <f t="array" ref="B456">IF(A456="","",_xlfn.CHOOSECOLS('Prematch Backend 2A'!456:456,_xlfn.MAKEARRAY(1,A456-2,_xlfn.LAMBDA(_xlpm.r,_xlpm.c,_xlpm.c))))</f>
        <v/>
      </c>
    </row>
    <row r="457" spans="2:2" x14ac:dyDescent="0.2">
      <c r="B457" t="str" cm="1">
        <f t="array" ref="B457">IF(A457="","",_xlfn.CHOOSECOLS('Prematch Backend 2A'!457:457,_xlfn.MAKEARRAY(1,A457-2,_xlfn.LAMBDA(_xlpm.r,_xlpm.c,_xlpm.c))))</f>
        <v/>
      </c>
    </row>
    <row r="458" spans="2:2" x14ac:dyDescent="0.2">
      <c r="B458" t="str" cm="1">
        <f t="array" ref="B458">IF(A458="","",_xlfn.CHOOSECOLS('Prematch Backend 2A'!458:458,_xlfn.MAKEARRAY(1,A458-2,_xlfn.LAMBDA(_xlpm.r,_xlpm.c,_xlpm.c))))</f>
        <v/>
      </c>
    </row>
    <row r="459" spans="2:2" x14ac:dyDescent="0.2">
      <c r="B459" t="str" cm="1">
        <f t="array" ref="B459">IF(A459="","",_xlfn.CHOOSECOLS('Prematch Backend 2A'!459:459,_xlfn.MAKEARRAY(1,A459-2,_xlfn.LAMBDA(_xlpm.r,_xlpm.c,_xlpm.c))))</f>
        <v/>
      </c>
    </row>
    <row r="460" spans="2:2" x14ac:dyDescent="0.2">
      <c r="B460" t="str" cm="1">
        <f t="array" ref="B460">IF(A460="","",_xlfn.CHOOSECOLS('Prematch Backend 2A'!460:460,_xlfn.MAKEARRAY(1,A460-2,_xlfn.LAMBDA(_xlpm.r,_xlpm.c,_xlpm.c))))</f>
        <v/>
      </c>
    </row>
    <row r="461" spans="2:2" x14ac:dyDescent="0.2">
      <c r="B461" t="str" cm="1">
        <f t="array" ref="B461">IF(A461="","",_xlfn.CHOOSECOLS('Prematch Backend 2A'!461:461,_xlfn.MAKEARRAY(1,A461-2,_xlfn.LAMBDA(_xlpm.r,_xlpm.c,_xlpm.c))))</f>
        <v/>
      </c>
    </row>
    <row r="462" spans="2:2" x14ac:dyDescent="0.2">
      <c r="B462" t="str" cm="1">
        <f t="array" ref="B462">IF(A462="","",_xlfn.CHOOSECOLS('Prematch Backend 2A'!462:462,_xlfn.MAKEARRAY(1,A462-2,_xlfn.LAMBDA(_xlpm.r,_xlpm.c,_xlpm.c))))</f>
        <v/>
      </c>
    </row>
    <row r="463" spans="2:2" x14ac:dyDescent="0.2">
      <c r="B463" t="str" cm="1">
        <f t="array" ref="B463">IF(A463="","",_xlfn.CHOOSECOLS('Prematch Backend 2A'!463:463,_xlfn.MAKEARRAY(1,A463-2,_xlfn.LAMBDA(_xlpm.r,_xlpm.c,_xlpm.c))))</f>
        <v/>
      </c>
    </row>
    <row r="464" spans="2:2" x14ac:dyDescent="0.2">
      <c r="B464" t="str" cm="1">
        <f t="array" ref="B464">IF(A464="","",_xlfn.CHOOSECOLS('Prematch Backend 2A'!464:464,_xlfn.MAKEARRAY(1,A464-2,_xlfn.LAMBDA(_xlpm.r,_xlpm.c,_xlpm.c))))</f>
        <v/>
      </c>
    </row>
    <row r="465" spans="2:2" x14ac:dyDescent="0.2">
      <c r="B465" t="str" cm="1">
        <f t="array" ref="B465">IF(A465="","",_xlfn.CHOOSECOLS('Prematch Backend 2A'!465:465,_xlfn.MAKEARRAY(1,A465-2,_xlfn.LAMBDA(_xlpm.r,_xlpm.c,_xlpm.c))))</f>
        <v/>
      </c>
    </row>
    <row r="466" spans="2:2" x14ac:dyDescent="0.2">
      <c r="B466" t="str" cm="1">
        <f t="array" ref="B466">IF(A466="","",_xlfn.CHOOSECOLS('Prematch Backend 2A'!466:466,_xlfn.MAKEARRAY(1,A466-2,_xlfn.LAMBDA(_xlpm.r,_xlpm.c,_xlpm.c))))</f>
        <v/>
      </c>
    </row>
    <row r="467" spans="2:2" x14ac:dyDescent="0.2">
      <c r="B467" t="str" cm="1">
        <f t="array" ref="B467">IF(A467="","",_xlfn.CHOOSECOLS('Prematch Backend 2A'!467:467,_xlfn.MAKEARRAY(1,A467-2,_xlfn.LAMBDA(_xlpm.r,_xlpm.c,_xlpm.c))))</f>
        <v/>
      </c>
    </row>
    <row r="468" spans="2:2" x14ac:dyDescent="0.2">
      <c r="B468" t="str" cm="1">
        <f t="array" ref="B468">IF(A468="","",_xlfn.CHOOSECOLS('Prematch Backend 2A'!468:468,_xlfn.MAKEARRAY(1,A468-2,_xlfn.LAMBDA(_xlpm.r,_xlpm.c,_xlpm.c))))</f>
        <v/>
      </c>
    </row>
    <row r="469" spans="2:2" x14ac:dyDescent="0.2">
      <c r="B469" t="str" cm="1">
        <f t="array" ref="B469">IF(A469="","",_xlfn.CHOOSECOLS('Prematch Backend 2A'!469:469,_xlfn.MAKEARRAY(1,A469-2,_xlfn.LAMBDA(_xlpm.r,_xlpm.c,_xlpm.c))))</f>
        <v/>
      </c>
    </row>
    <row r="470" spans="2:2" x14ac:dyDescent="0.2">
      <c r="B470" t="str" cm="1">
        <f t="array" ref="B470">IF(A470="","",_xlfn.CHOOSECOLS('Prematch Backend 2A'!470:470,_xlfn.MAKEARRAY(1,A470-2,_xlfn.LAMBDA(_xlpm.r,_xlpm.c,_xlpm.c))))</f>
        <v/>
      </c>
    </row>
    <row r="471" spans="2:2" x14ac:dyDescent="0.2">
      <c r="B471" t="str" cm="1">
        <f t="array" ref="B471">IF(A471="","",_xlfn.CHOOSECOLS('Prematch Backend 2A'!471:471,_xlfn.MAKEARRAY(1,A471-2,_xlfn.LAMBDA(_xlpm.r,_xlpm.c,_xlpm.c))))</f>
        <v/>
      </c>
    </row>
    <row r="472" spans="2:2" x14ac:dyDescent="0.2">
      <c r="B472" t="str" cm="1">
        <f t="array" ref="B472">IF(A472="","",_xlfn.CHOOSECOLS('Prematch Backend 2A'!472:472,_xlfn.MAKEARRAY(1,A472-2,_xlfn.LAMBDA(_xlpm.r,_xlpm.c,_xlpm.c))))</f>
        <v/>
      </c>
    </row>
    <row r="473" spans="2:2" x14ac:dyDescent="0.2">
      <c r="B473" t="str" cm="1">
        <f t="array" ref="B473">IF(A473="","",_xlfn.CHOOSECOLS('Prematch Backend 2A'!473:473,_xlfn.MAKEARRAY(1,A473-2,_xlfn.LAMBDA(_xlpm.r,_xlpm.c,_xlpm.c))))</f>
        <v/>
      </c>
    </row>
    <row r="474" spans="2:2" x14ac:dyDescent="0.2">
      <c r="B474" t="str" cm="1">
        <f t="array" ref="B474">IF(A474="","",_xlfn.CHOOSECOLS('Prematch Backend 2A'!474:474,_xlfn.MAKEARRAY(1,A474-2,_xlfn.LAMBDA(_xlpm.r,_xlpm.c,_xlpm.c))))</f>
        <v/>
      </c>
    </row>
    <row r="475" spans="2:2" x14ac:dyDescent="0.2">
      <c r="B475" t="str" cm="1">
        <f t="array" ref="B475">IF(A475="","",_xlfn.CHOOSECOLS('Prematch Backend 2A'!475:475,_xlfn.MAKEARRAY(1,A475-2,_xlfn.LAMBDA(_xlpm.r,_xlpm.c,_xlpm.c))))</f>
        <v/>
      </c>
    </row>
    <row r="476" spans="2:2" x14ac:dyDescent="0.2">
      <c r="B476" t="str" cm="1">
        <f t="array" ref="B476">IF(A476="","",_xlfn.CHOOSECOLS('Prematch Backend 2A'!476:476,_xlfn.MAKEARRAY(1,A476-2,_xlfn.LAMBDA(_xlpm.r,_xlpm.c,_xlpm.c))))</f>
        <v/>
      </c>
    </row>
    <row r="477" spans="2:2" x14ac:dyDescent="0.2">
      <c r="B477" t="str" cm="1">
        <f t="array" ref="B477">IF(A477="","",_xlfn.CHOOSECOLS('Prematch Backend 2A'!477:477,_xlfn.MAKEARRAY(1,A477-2,_xlfn.LAMBDA(_xlpm.r,_xlpm.c,_xlpm.c))))</f>
        <v/>
      </c>
    </row>
    <row r="478" spans="2:2" x14ac:dyDescent="0.2">
      <c r="B478" t="str" cm="1">
        <f t="array" ref="B478">IF(A478="","",_xlfn.CHOOSECOLS('Prematch Backend 2A'!478:478,_xlfn.MAKEARRAY(1,A478-2,_xlfn.LAMBDA(_xlpm.r,_xlpm.c,_xlpm.c))))</f>
        <v/>
      </c>
    </row>
    <row r="479" spans="2:2" x14ac:dyDescent="0.2">
      <c r="B479" t="str" cm="1">
        <f t="array" ref="B479">IF(A479="","",_xlfn.CHOOSECOLS('Prematch Backend 2A'!479:479,_xlfn.MAKEARRAY(1,A479-2,_xlfn.LAMBDA(_xlpm.r,_xlpm.c,_xlpm.c))))</f>
        <v/>
      </c>
    </row>
    <row r="480" spans="2:2" x14ac:dyDescent="0.2">
      <c r="B480" t="str" cm="1">
        <f t="array" ref="B480">IF(A480="","",_xlfn.CHOOSECOLS('Prematch Backend 2A'!480:480,_xlfn.MAKEARRAY(1,A480-2,_xlfn.LAMBDA(_xlpm.r,_xlpm.c,_xlpm.c))))</f>
        <v/>
      </c>
    </row>
    <row r="481" spans="2:2" x14ac:dyDescent="0.2">
      <c r="B481" t="str" cm="1">
        <f t="array" ref="B481">IF(A481="","",_xlfn.CHOOSECOLS('Prematch Backend 2A'!481:481,_xlfn.MAKEARRAY(1,A481-2,_xlfn.LAMBDA(_xlpm.r,_xlpm.c,_xlpm.c))))</f>
        <v/>
      </c>
    </row>
    <row r="482" spans="2:2" x14ac:dyDescent="0.2">
      <c r="B482" t="str" cm="1">
        <f t="array" ref="B482">IF(A482="","",_xlfn.CHOOSECOLS('Prematch Backend 2A'!482:482,_xlfn.MAKEARRAY(1,A482-2,_xlfn.LAMBDA(_xlpm.r,_xlpm.c,_xlpm.c))))</f>
        <v/>
      </c>
    </row>
    <row r="483" spans="2:2" x14ac:dyDescent="0.2">
      <c r="B483" t="str" cm="1">
        <f t="array" ref="B483">IF(A483="","",_xlfn.CHOOSECOLS('Prematch Backend 2A'!483:483,_xlfn.MAKEARRAY(1,A483-2,_xlfn.LAMBDA(_xlpm.r,_xlpm.c,_xlpm.c))))</f>
        <v/>
      </c>
    </row>
    <row r="484" spans="2:2" x14ac:dyDescent="0.2">
      <c r="B484" t="str" cm="1">
        <f t="array" ref="B484">IF(A484="","",_xlfn.CHOOSECOLS('Prematch Backend 2A'!484:484,_xlfn.MAKEARRAY(1,A484-2,_xlfn.LAMBDA(_xlpm.r,_xlpm.c,_xlpm.c))))</f>
        <v/>
      </c>
    </row>
    <row r="485" spans="2:2" x14ac:dyDescent="0.2">
      <c r="B485" t="str" cm="1">
        <f t="array" ref="B485">IF(A485="","",_xlfn.CHOOSECOLS('Prematch Backend 2A'!485:485,_xlfn.MAKEARRAY(1,A485-2,_xlfn.LAMBDA(_xlpm.r,_xlpm.c,_xlpm.c))))</f>
        <v/>
      </c>
    </row>
    <row r="486" spans="2:2" x14ac:dyDescent="0.2">
      <c r="B486" t="str" cm="1">
        <f t="array" ref="B486">IF(A486="","",_xlfn.CHOOSECOLS('Prematch Backend 2A'!486:486,_xlfn.MAKEARRAY(1,A486-2,_xlfn.LAMBDA(_xlpm.r,_xlpm.c,_xlpm.c))))</f>
        <v/>
      </c>
    </row>
    <row r="487" spans="2:2" x14ac:dyDescent="0.2">
      <c r="B487" t="str" cm="1">
        <f t="array" ref="B487">IF(A487="","",_xlfn.CHOOSECOLS('Prematch Backend 2A'!487:487,_xlfn.MAKEARRAY(1,A487-2,_xlfn.LAMBDA(_xlpm.r,_xlpm.c,_xlpm.c))))</f>
        <v/>
      </c>
    </row>
    <row r="488" spans="2:2" x14ac:dyDescent="0.2">
      <c r="B488" t="str" cm="1">
        <f t="array" ref="B488">IF(A488="","",_xlfn.CHOOSECOLS('Prematch Backend 2A'!488:488,_xlfn.MAKEARRAY(1,A488-2,_xlfn.LAMBDA(_xlpm.r,_xlpm.c,_xlpm.c))))</f>
        <v/>
      </c>
    </row>
    <row r="489" spans="2:2" x14ac:dyDescent="0.2">
      <c r="B489" t="str" cm="1">
        <f t="array" ref="B489">IF(A489="","",_xlfn.CHOOSECOLS('Prematch Backend 2A'!489:489,_xlfn.MAKEARRAY(1,A489-2,_xlfn.LAMBDA(_xlpm.r,_xlpm.c,_xlpm.c))))</f>
        <v/>
      </c>
    </row>
    <row r="490" spans="2:2" x14ac:dyDescent="0.2">
      <c r="B490" t="str" cm="1">
        <f t="array" ref="B490">IF(A490="","",_xlfn.CHOOSECOLS('Prematch Backend 2A'!490:490,_xlfn.MAKEARRAY(1,A490-2,_xlfn.LAMBDA(_xlpm.r,_xlpm.c,_xlpm.c))))</f>
        <v/>
      </c>
    </row>
    <row r="491" spans="2:2" x14ac:dyDescent="0.2">
      <c r="B491" t="str" cm="1">
        <f t="array" ref="B491">IF(A491="","",_xlfn.CHOOSECOLS('Prematch Backend 2A'!491:491,_xlfn.MAKEARRAY(1,A491-2,_xlfn.LAMBDA(_xlpm.r,_xlpm.c,_xlpm.c))))</f>
        <v/>
      </c>
    </row>
    <row r="492" spans="2:2" x14ac:dyDescent="0.2">
      <c r="B492" t="str" cm="1">
        <f t="array" ref="B492">IF(A492="","",_xlfn.CHOOSECOLS('Prematch Backend 2A'!492:492,_xlfn.MAKEARRAY(1,A492-2,_xlfn.LAMBDA(_xlpm.r,_xlpm.c,_xlpm.c))))</f>
        <v/>
      </c>
    </row>
    <row r="493" spans="2:2" x14ac:dyDescent="0.2">
      <c r="B493" t="str" cm="1">
        <f t="array" ref="B493">IF(A493="","",_xlfn.CHOOSECOLS('Prematch Backend 2A'!493:493,_xlfn.MAKEARRAY(1,A493-2,_xlfn.LAMBDA(_xlpm.r,_xlpm.c,_xlpm.c))))</f>
        <v/>
      </c>
    </row>
    <row r="494" spans="2:2" x14ac:dyDescent="0.2">
      <c r="B494" t="str" cm="1">
        <f t="array" ref="B494">IF(A494="","",_xlfn.CHOOSECOLS('Prematch Backend 2A'!494:494,_xlfn.MAKEARRAY(1,A494-2,_xlfn.LAMBDA(_xlpm.r,_xlpm.c,_xlpm.c))))</f>
        <v/>
      </c>
    </row>
    <row r="495" spans="2:2" x14ac:dyDescent="0.2">
      <c r="B495" t="str" cm="1">
        <f t="array" ref="B495">IF(A495="","",_xlfn.CHOOSECOLS('Prematch Backend 2A'!495:495,_xlfn.MAKEARRAY(1,A495-2,_xlfn.LAMBDA(_xlpm.r,_xlpm.c,_xlpm.c))))</f>
        <v/>
      </c>
    </row>
    <row r="496" spans="2:2" x14ac:dyDescent="0.2">
      <c r="B496" t="str" cm="1">
        <f t="array" ref="B496">IF(A496="","",_xlfn.CHOOSECOLS('Prematch Backend 2A'!496:496,_xlfn.MAKEARRAY(1,A496-2,_xlfn.LAMBDA(_xlpm.r,_xlpm.c,_xlpm.c))))</f>
        <v/>
      </c>
    </row>
    <row r="497" spans="2:2" x14ac:dyDescent="0.2">
      <c r="B497" t="str" cm="1">
        <f t="array" ref="B497">IF(A497="","",_xlfn.CHOOSECOLS('Prematch Backend 2A'!497:497,_xlfn.MAKEARRAY(1,A497-2,_xlfn.LAMBDA(_xlpm.r,_xlpm.c,_xlpm.c))))</f>
        <v/>
      </c>
    </row>
    <row r="498" spans="2:2" x14ac:dyDescent="0.2">
      <c r="B498" t="str" cm="1">
        <f t="array" ref="B498">IF(A498="","",_xlfn.CHOOSECOLS('Prematch Backend 2A'!498:498,_xlfn.MAKEARRAY(1,A498-2,_xlfn.LAMBDA(_xlpm.r,_xlpm.c,_xlpm.c))))</f>
        <v/>
      </c>
    </row>
    <row r="499" spans="2:2" x14ac:dyDescent="0.2">
      <c r="B499" t="str" cm="1">
        <f t="array" ref="B499">IF(A499="","",_xlfn.CHOOSECOLS('Prematch Backend 2A'!499:499,_xlfn.MAKEARRAY(1,A499-2,_xlfn.LAMBDA(_xlpm.r,_xlpm.c,_xlpm.c))))</f>
        <v/>
      </c>
    </row>
    <row r="500" spans="2:2" x14ac:dyDescent="0.2">
      <c r="B500" t="str" cm="1">
        <f t="array" ref="B500">IF(A500="","",_xlfn.CHOOSECOLS('Prematch Backend 2A'!500:500,_xlfn.MAKEARRAY(1,A500-2,_xlfn.LAMBDA(_xlpm.r,_xlpm.c,_xlpm.c))))</f>
        <v/>
      </c>
    </row>
    <row r="501" spans="2:2" x14ac:dyDescent="0.2">
      <c r="B501" t="str" cm="1">
        <f t="array" ref="B501">IF(A501="","",_xlfn.CHOOSECOLS('Prematch Backend 2A'!501:501,_xlfn.MAKEARRAY(1,A501-2,_xlfn.LAMBDA(_xlpm.r,_xlpm.c,_xlpm.c))))</f>
        <v/>
      </c>
    </row>
    <row r="502" spans="2:2" x14ac:dyDescent="0.2">
      <c r="B502" t="str" cm="1">
        <f t="array" ref="B502">IF(A502="","",_xlfn.CHOOSECOLS('Prematch Backend 2A'!502:502,_xlfn.MAKEARRAY(1,A502-2,_xlfn.LAMBDA(_xlpm.r,_xlpm.c,_xlpm.c))))</f>
        <v/>
      </c>
    </row>
    <row r="503" spans="2:2" x14ac:dyDescent="0.2">
      <c r="B503" t="str" cm="1">
        <f t="array" ref="B503">IF(A503="","",_xlfn.CHOOSECOLS('Prematch Backend 2A'!503:503,_xlfn.MAKEARRAY(1,A503-2,_xlfn.LAMBDA(_xlpm.r,_xlpm.c,_xlpm.c))))</f>
        <v/>
      </c>
    </row>
    <row r="504" spans="2:2" x14ac:dyDescent="0.2">
      <c r="B504" t="str" cm="1">
        <f t="array" ref="B504">IF(A504="","",_xlfn.CHOOSECOLS('Prematch Backend 2A'!504:504,_xlfn.MAKEARRAY(1,A504-2,_xlfn.LAMBDA(_xlpm.r,_xlpm.c,_xlpm.c))))</f>
        <v/>
      </c>
    </row>
    <row r="505" spans="2:2" x14ac:dyDescent="0.2">
      <c r="B505" t="str" cm="1">
        <f t="array" ref="B505">IF(A505="","",_xlfn.CHOOSECOLS('Prematch Backend 2A'!505:505,_xlfn.MAKEARRAY(1,A505-2,_xlfn.LAMBDA(_xlpm.r,_xlpm.c,_xlpm.c))))</f>
        <v/>
      </c>
    </row>
    <row r="506" spans="2:2" x14ac:dyDescent="0.2">
      <c r="B506" t="str" cm="1">
        <f t="array" ref="B506">IF(A506="","",_xlfn.CHOOSECOLS('Prematch Backend 2A'!506:506,_xlfn.MAKEARRAY(1,A506-2,_xlfn.LAMBDA(_xlpm.r,_xlpm.c,_xlpm.c))))</f>
        <v/>
      </c>
    </row>
    <row r="507" spans="2:2" x14ac:dyDescent="0.2">
      <c r="B507" t="str" cm="1">
        <f t="array" ref="B507">IF(A507="","",_xlfn.CHOOSECOLS('Prematch Backend 2A'!507:507,_xlfn.MAKEARRAY(1,A507-2,_xlfn.LAMBDA(_xlpm.r,_xlpm.c,_xlpm.c))))</f>
        <v/>
      </c>
    </row>
    <row r="508" spans="2:2" x14ac:dyDescent="0.2">
      <c r="B508" t="str" cm="1">
        <f t="array" ref="B508">IF(A508="","",_xlfn.CHOOSECOLS('Prematch Backend 2A'!508:508,_xlfn.MAKEARRAY(1,A508-2,_xlfn.LAMBDA(_xlpm.r,_xlpm.c,_xlpm.c))))</f>
        <v/>
      </c>
    </row>
    <row r="509" spans="2:2" x14ac:dyDescent="0.2">
      <c r="B509" t="str" cm="1">
        <f t="array" ref="B509">IF(A509="","",_xlfn.CHOOSECOLS('Prematch Backend 2A'!509:509,_xlfn.MAKEARRAY(1,A509-2,_xlfn.LAMBDA(_xlpm.r,_xlpm.c,_xlpm.c))))</f>
        <v/>
      </c>
    </row>
    <row r="510" spans="2:2" x14ac:dyDescent="0.2">
      <c r="B510" t="str" cm="1">
        <f t="array" ref="B510">IF(A510="","",_xlfn.CHOOSECOLS('Prematch Backend 2A'!510:510,_xlfn.MAKEARRAY(1,A510-2,_xlfn.LAMBDA(_xlpm.r,_xlpm.c,_xlpm.c))))</f>
        <v/>
      </c>
    </row>
    <row r="511" spans="2:2" x14ac:dyDescent="0.2">
      <c r="B511" t="str" cm="1">
        <f t="array" ref="B511">IF(A511="","",_xlfn.CHOOSECOLS('Prematch Backend 2A'!511:511,_xlfn.MAKEARRAY(1,A511-2,_xlfn.LAMBDA(_xlpm.r,_xlpm.c,_xlpm.c))))</f>
        <v/>
      </c>
    </row>
    <row r="512" spans="2:2" x14ac:dyDescent="0.2">
      <c r="B512" t="str" cm="1">
        <f t="array" ref="B512">IF(A512="","",_xlfn.CHOOSECOLS('Prematch Backend 2A'!512:512,_xlfn.MAKEARRAY(1,A512-2,_xlfn.LAMBDA(_xlpm.r,_xlpm.c,_xlpm.c))))</f>
        <v/>
      </c>
    </row>
    <row r="513" spans="2:2" x14ac:dyDescent="0.2">
      <c r="B513" t="str" cm="1">
        <f t="array" ref="B513">IF(A513="","",_xlfn.CHOOSECOLS('Prematch Backend 2A'!513:513,_xlfn.MAKEARRAY(1,A513-2,_xlfn.LAMBDA(_xlpm.r,_xlpm.c,_xlpm.c))))</f>
        <v/>
      </c>
    </row>
    <row r="514" spans="2:2" x14ac:dyDescent="0.2">
      <c r="B514" t="str" cm="1">
        <f t="array" ref="B514">IF(A514="","",_xlfn.CHOOSECOLS('Prematch Backend 2A'!514:514,_xlfn.MAKEARRAY(1,A514-2,_xlfn.LAMBDA(_xlpm.r,_xlpm.c,_xlpm.c))))</f>
        <v/>
      </c>
    </row>
    <row r="515" spans="2:2" x14ac:dyDescent="0.2">
      <c r="B515" t="str" cm="1">
        <f t="array" ref="B515">IF(A515="","",_xlfn.CHOOSECOLS('Prematch Backend 2A'!515:515,_xlfn.MAKEARRAY(1,A515-2,_xlfn.LAMBDA(_xlpm.r,_xlpm.c,_xlpm.c))))</f>
        <v/>
      </c>
    </row>
    <row r="516" spans="2:2" x14ac:dyDescent="0.2">
      <c r="B516" t="str" cm="1">
        <f t="array" ref="B516">IF(A516="","",_xlfn.CHOOSECOLS('Prematch Backend 2A'!516:516,_xlfn.MAKEARRAY(1,A516-2,_xlfn.LAMBDA(_xlpm.r,_xlpm.c,_xlpm.c))))</f>
        <v/>
      </c>
    </row>
    <row r="517" spans="2:2" x14ac:dyDescent="0.2">
      <c r="B517" t="str" cm="1">
        <f t="array" ref="B517">IF(A517="","",_xlfn.CHOOSECOLS('Prematch Backend 2A'!517:517,_xlfn.MAKEARRAY(1,A517-2,_xlfn.LAMBDA(_xlpm.r,_xlpm.c,_xlpm.c))))</f>
        <v/>
      </c>
    </row>
    <row r="518" spans="2:2" x14ac:dyDescent="0.2">
      <c r="B518" t="str" cm="1">
        <f t="array" ref="B518">IF(A518="","",_xlfn.CHOOSECOLS('Prematch Backend 2A'!518:518,_xlfn.MAKEARRAY(1,A518-2,_xlfn.LAMBDA(_xlpm.r,_xlpm.c,_xlpm.c))))</f>
        <v/>
      </c>
    </row>
    <row r="519" spans="2:2" x14ac:dyDescent="0.2">
      <c r="B519" t="str" cm="1">
        <f t="array" ref="B519">IF(A519="","",_xlfn.CHOOSECOLS('Prematch Backend 2A'!519:519,_xlfn.MAKEARRAY(1,A519-2,_xlfn.LAMBDA(_xlpm.r,_xlpm.c,_xlpm.c))))</f>
        <v/>
      </c>
    </row>
    <row r="520" spans="2:2" x14ac:dyDescent="0.2">
      <c r="B520" t="str" cm="1">
        <f t="array" ref="B520">IF(A520="","",_xlfn.CHOOSECOLS('Prematch Backend 2A'!520:520,_xlfn.MAKEARRAY(1,A520-2,_xlfn.LAMBDA(_xlpm.r,_xlpm.c,_xlpm.c))))</f>
        <v/>
      </c>
    </row>
    <row r="521" spans="2:2" x14ac:dyDescent="0.2">
      <c r="B521" t="str" cm="1">
        <f t="array" ref="B521">IF(A521="","",_xlfn.CHOOSECOLS('Prematch Backend 2A'!521:521,_xlfn.MAKEARRAY(1,A521-2,_xlfn.LAMBDA(_xlpm.r,_xlpm.c,_xlpm.c))))</f>
        <v/>
      </c>
    </row>
    <row r="522" spans="2:2" x14ac:dyDescent="0.2">
      <c r="B522" t="str" cm="1">
        <f t="array" ref="B522">IF(A522="","",_xlfn.CHOOSECOLS('Prematch Backend 2A'!522:522,_xlfn.MAKEARRAY(1,A522-2,_xlfn.LAMBDA(_xlpm.r,_xlpm.c,_xlpm.c))))</f>
        <v/>
      </c>
    </row>
    <row r="523" spans="2:2" x14ac:dyDescent="0.2">
      <c r="B523" t="str" cm="1">
        <f t="array" ref="B523">IF(A523="","",_xlfn.CHOOSECOLS('Prematch Backend 2A'!523:523,_xlfn.MAKEARRAY(1,A523-2,_xlfn.LAMBDA(_xlpm.r,_xlpm.c,_xlpm.c))))</f>
        <v/>
      </c>
    </row>
    <row r="524" spans="2:2" x14ac:dyDescent="0.2">
      <c r="B524" t="str" cm="1">
        <f t="array" ref="B524">IF(A524="","",_xlfn.CHOOSECOLS('Prematch Backend 2A'!524:524,_xlfn.MAKEARRAY(1,A524-2,_xlfn.LAMBDA(_xlpm.r,_xlpm.c,_xlpm.c))))</f>
        <v/>
      </c>
    </row>
    <row r="525" spans="2:2" x14ac:dyDescent="0.2">
      <c r="B525" t="str" cm="1">
        <f t="array" ref="B525">IF(A525="","",_xlfn.CHOOSECOLS('Prematch Backend 2A'!525:525,_xlfn.MAKEARRAY(1,A525-2,_xlfn.LAMBDA(_xlpm.r,_xlpm.c,_xlpm.c))))</f>
        <v/>
      </c>
    </row>
    <row r="526" spans="2:2" x14ac:dyDescent="0.2">
      <c r="B526" t="str" cm="1">
        <f t="array" ref="B526">IF(A526="","",_xlfn.CHOOSECOLS('Prematch Backend 2A'!526:526,_xlfn.MAKEARRAY(1,A526-2,_xlfn.LAMBDA(_xlpm.r,_xlpm.c,_xlpm.c))))</f>
        <v/>
      </c>
    </row>
    <row r="527" spans="2:2" x14ac:dyDescent="0.2">
      <c r="B527" t="str" cm="1">
        <f t="array" ref="B527">IF(A527="","",_xlfn.CHOOSECOLS('Prematch Backend 2A'!527:527,_xlfn.MAKEARRAY(1,A527-2,_xlfn.LAMBDA(_xlpm.r,_xlpm.c,_xlpm.c))))</f>
        <v/>
      </c>
    </row>
    <row r="528" spans="2:2" x14ac:dyDescent="0.2">
      <c r="B528" t="str" cm="1">
        <f t="array" ref="B528">IF(A528="","",_xlfn.CHOOSECOLS('Prematch Backend 2A'!528:528,_xlfn.MAKEARRAY(1,A528-2,_xlfn.LAMBDA(_xlpm.r,_xlpm.c,_xlpm.c))))</f>
        <v/>
      </c>
    </row>
    <row r="529" spans="2:2" x14ac:dyDescent="0.2">
      <c r="B529" t="str" cm="1">
        <f t="array" ref="B529">IF(A529="","",_xlfn.CHOOSECOLS('Prematch Backend 2A'!529:529,_xlfn.MAKEARRAY(1,A529-2,_xlfn.LAMBDA(_xlpm.r,_xlpm.c,_xlpm.c))))</f>
        <v/>
      </c>
    </row>
    <row r="530" spans="2:2" x14ac:dyDescent="0.2">
      <c r="B530" t="str" cm="1">
        <f t="array" ref="B530">IF(A530="","",_xlfn.CHOOSECOLS('Prematch Backend 2A'!530:530,_xlfn.MAKEARRAY(1,A530-2,_xlfn.LAMBDA(_xlpm.r,_xlpm.c,_xlpm.c))))</f>
        <v/>
      </c>
    </row>
    <row r="531" spans="2:2" x14ac:dyDescent="0.2">
      <c r="B531" t="str" cm="1">
        <f t="array" ref="B531">IF(A531="","",_xlfn.CHOOSECOLS('Prematch Backend 2A'!531:531,_xlfn.MAKEARRAY(1,A531-2,_xlfn.LAMBDA(_xlpm.r,_xlpm.c,_xlpm.c))))</f>
        <v/>
      </c>
    </row>
    <row r="532" spans="2:2" x14ac:dyDescent="0.2">
      <c r="B532" t="str" cm="1">
        <f t="array" ref="B532">IF(A532="","",_xlfn.CHOOSECOLS('Prematch Backend 2A'!532:532,_xlfn.MAKEARRAY(1,A532-2,_xlfn.LAMBDA(_xlpm.r,_xlpm.c,_xlpm.c))))</f>
        <v/>
      </c>
    </row>
    <row r="533" spans="2:2" x14ac:dyDescent="0.2">
      <c r="B533" t="str" cm="1">
        <f t="array" ref="B533">IF(A533="","",_xlfn.CHOOSECOLS('Prematch Backend 2A'!533:533,_xlfn.MAKEARRAY(1,A533-2,_xlfn.LAMBDA(_xlpm.r,_xlpm.c,_xlpm.c))))</f>
        <v/>
      </c>
    </row>
    <row r="534" spans="2:2" x14ac:dyDescent="0.2">
      <c r="B534" t="str" cm="1">
        <f t="array" ref="B534">IF(A534="","",_xlfn.CHOOSECOLS('Prematch Backend 2A'!534:534,_xlfn.MAKEARRAY(1,A534-2,_xlfn.LAMBDA(_xlpm.r,_xlpm.c,_xlpm.c))))</f>
        <v/>
      </c>
    </row>
    <row r="535" spans="2:2" x14ac:dyDescent="0.2">
      <c r="B535" t="str" cm="1">
        <f t="array" ref="B535">IF(A535="","",_xlfn.CHOOSECOLS('Prematch Backend 2A'!535:535,_xlfn.MAKEARRAY(1,A535-2,_xlfn.LAMBDA(_xlpm.r,_xlpm.c,_xlpm.c))))</f>
        <v/>
      </c>
    </row>
    <row r="536" spans="2:2" x14ac:dyDescent="0.2">
      <c r="B536" t="str" cm="1">
        <f t="array" ref="B536">IF(A536="","",_xlfn.CHOOSECOLS('Prematch Backend 2A'!536:536,_xlfn.MAKEARRAY(1,A536-2,_xlfn.LAMBDA(_xlpm.r,_xlpm.c,_xlpm.c))))</f>
        <v/>
      </c>
    </row>
    <row r="537" spans="2:2" x14ac:dyDescent="0.2">
      <c r="B537" t="str" cm="1">
        <f t="array" ref="B537">IF(A537="","",_xlfn.CHOOSECOLS('Prematch Backend 2A'!537:537,_xlfn.MAKEARRAY(1,A537-2,_xlfn.LAMBDA(_xlpm.r,_xlpm.c,_xlpm.c))))</f>
        <v/>
      </c>
    </row>
    <row r="538" spans="2:2" x14ac:dyDescent="0.2">
      <c r="B538" t="str" cm="1">
        <f t="array" ref="B538">IF(A538="","",_xlfn.CHOOSECOLS('Prematch Backend 2A'!538:538,_xlfn.MAKEARRAY(1,A538-2,_xlfn.LAMBDA(_xlpm.r,_xlpm.c,_xlpm.c))))</f>
        <v/>
      </c>
    </row>
    <row r="539" spans="2:2" x14ac:dyDescent="0.2">
      <c r="B539" t="str" cm="1">
        <f t="array" ref="B539">IF(A539="","",_xlfn.CHOOSECOLS('Prematch Backend 2A'!539:539,_xlfn.MAKEARRAY(1,A539-2,_xlfn.LAMBDA(_xlpm.r,_xlpm.c,_xlpm.c))))</f>
        <v/>
      </c>
    </row>
    <row r="540" spans="2:2" x14ac:dyDescent="0.2">
      <c r="B540" t="str" cm="1">
        <f t="array" ref="B540">IF(A540="","",_xlfn.CHOOSECOLS('Prematch Backend 2A'!540:540,_xlfn.MAKEARRAY(1,A540-2,_xlfn.LAMBDA(_xlpm.r,_xlpm.c,_xlpm.c))))</f>
        <v/>
      </c>
    </row>
    <row r="541" spans="2:2" x14ac:dyDescent="0.2">
      <c r="B541" t="str" cm="1">
        <f t="array" ref="B541">IF(A541="","",_xlfn.CHOOSECOLS('Prematch Backend 2A'!541:541,_xlfn.MAKEARRAY(1,A541-2,_xlfn.LAMBDA(_xlpm.r,_xlpm.c,_xlpm.c))))</f>
        <v/>
      </c>
    </row>
    <row r="542" spans="2:2" x14ac:dyDescent="0.2">
      <c r="B542" t="str" cm="1">
        <f t="array" ref="B542">IF(A542="","",_xlfn.CHOOSECOLS('Prematch Backend 2A'!542:542,_xlfn.MAKEARRAY(1,A542-2,_xlfn.LAMBDA(_xlpm.r,_xlpm.c,_xlpm.c))))</f>
        <v/>
      </c>
    </row>
    <row r="543" spans="2:2" x14ac:dyDescent="0.2">
      <c r="B543" t="str" cm="1">
        <f t="array" ref="B543">IF(A543="","",_xlfn.CHOOSECOLS('Prematch Backend 2A'!543:543,_xlfn.MAKEARRAY(1,A543-2,_xlfn.LAMBDA(_xlpm.r,_xlpm.c,_xlpm.c))))</f>
        <v/>
      </c>
    </row>
    <row r="544" spans="2:2" x14ac:dyDescent="0.2">
      <c r="B544" t="str" cm="1">
        <f t="array" ref="B544">IF(A544="","",_xlfn.CHOOSECOLS('Prematch Backend 2A'!544:544,_xlfn.MAKEARRAY(1,A544-2,_xlfn.LAMBDA(_xlpm.r,_xlpm.c,_xlpm.c))))</f>
        <v/>
      </c>
    </row>
    <row r="545" spans="2:2" x14ac:dyDescent="0.2">
      <c r="B545" t="str" cm="1">
        <f t="array" ref="B545">IF(A545="","",_xlfn.CHOOSECOLS('Prematch Backend 2A'!545:545,_xlfn.MAKEARRAY(1,A545-2,_xlfn.LAMBDA(_xlpm.r,_xlpm.c,_xlpm.c))))</f>
        <v/>
      </c>
    </row>
    <row r="546" spans="2:2" x14ac:dyDescent="0.2">
      <c r="B546" t="str" cm="1">
        <f t="array" ref="B546">IF(A546="","",_xlfn.CHOOSECOLS('Prematch Backend 2A'!546:546,_xlfn.MAKEARRAY(1,A546-2,_xlfn.LAMBDA(_xlpm.r,_xlpm.c,_xlpm.c))))</f>
        <v/>
      </c>
    </row>
    <row r="547" spans="2:2" x14ac:dyDescent="0.2">
      <c r="B547" t="str" cm="1">
        <f t="array" ref="B547">IF(A547="","",_xlfn.CHOOSECOLS('Prematch Backend 2A'!547:547,_xlfn.MAKEARRAY(1,A547-2,_xlfn.LAMBDA(_xlpm.r,_xlpm.c,_xlpm.c))))</f>
        <v/>
      </c>
    </row>
    <row r="548" spans="2:2" x14ac:dyDescent="0.2">
      <c r="B548" t="str" cm="1">
        <f t="array" ref="B548">IF(A548="","",_xlfn.CHOOSECOLS('Prematch Backend 2A'!548:548,_xlfn.MAKEARRAY(1,A548-2,_xlfn.LAMBDA(_xlpm.r,_xlpm.c,_xlpm.c))))</f>
        <v/>
      </c>
    </row>
    <row r="549" spans="2:2" x14ac:dyDescent="0.2">
      <c r="B549" t="str" cm="1">
        <f t="array" ref="B549">IF(A549="","",_xlfn.CHOOSECOLS('Prematch Backend 2A'!549:549,_xlfn.MAKEARRAY(1,A549-2,_xlfn.LAMBDA(_xlpm.r,_xlpm.c,_xlpm.c))))</f>
        <v/>
      </c>
    </row>
    <row r="550" spans="2:2" x14ac:dyDescent="0.2">
      <c r="B550" t="str" cm="1">
        <f t="array" ref="B550">IF(A550="","",_xlfn.CHOOSECOLS('Prematch Backend 2A'!550:550,_xlfn.MAKEARRAY(1,A550-2,_xlfn.LAMBDA(_xlpm.r,_xlpm.c,_xlpm.c))))</f>
        <v/>
      </c>
    </row>
    <row r="551" spans="2:2" x14ac:dyDescent="0.2">
      <c r="B551" t="str" cm="1">
        <f t="array" ref="B551">IF(A551="","",_xlfn.CHOOSECOLS('Prematch Backend 2A'!551:551,_xlfn.MAKEARRAY(1,A551-2,_xlfn.LAMBDA(_xlpm.r,_xlpm.c,_xlpm.c))))</f>
        <v/>
      </c>
    </row>
    <row r="552" spans="2:2" x14ac:dyDescent="0.2">
      <c r="B552" t="str" cm="1">
        <f t="array" ref="B552">IF(A552="","",_xlfn.CHOOSECOLS('Prematch Backend 2A'!552:552,_xlfn.MAKEARRAY(1,A552-2,_xlfn.LAMBDA(_xlpm.r,_xlpm.c,_xlpm.c))))</f>
        <v/>
      </c>
    </row>
    <row r="553" spans="2:2" x14ac:dyDescent="0.2">
      <c r="B553" t="str" cm="1">
        <f t="array" ref="B553">IF(A553="","",_xlfn.CHOOSECOLS('Prematch Backend 2A'!553:553,_xlfn.MAKEARRAY(1,A553-2,_xlfn.LAMBDA(_xlpm.r,_xlpm.c,_xlpm.c))))</f>
        <v/>
      </c>
    </row>
    <row r="554" spans="2:2" x14ac:dyDescent="0.2">
      <c r="B554" t="str" cm="1">
        <f t="array" ref="B554">IF(A554="","",_xlfn.CHOOSECOLS('Prematch Backend 2A'!554:554,_xlfn.MAKEARRAY(1,A554-2,_xlfn.LAMBDA(_xlpm.r,_xlpm.c,_xlpm.c))))</f>
        <v/>
      </c>
    </row>
    <row r="555" spans="2:2" x14ac:dyDescent="0.2">
      <c r="B555" t="str" cm="1">
        <f t="array" ref="B555">IF(A555="","",_xlfn.CHOOSECOLS('Prematch Backend 2A'!555:555,_xlfn.MAKEARRAY(1,A555-2,_xlfn.LAMBDA(_xlpm.r,_xlpm.c,_xlpm.c))))</f>
        <v/>
      </c>
    </row>
    <row r="556" spans="2:2" x14ac:dyDescent="0.2">
      <c r="B556" t="str" cm="1">
        <f t="array" ref="B556">IF(A556="","",_xlfn.CHOOSECOLS('Prematch Backend 2A'!556:556,_xlfn.MAKEARRAY(1,A556-2,_xlfn.LAMBDA(_xlpm.r,_xlpm.c,_xlpm.c))))</f>
        <v/>
      </c>
    </row>
    <row r="557" spans="2:2" x14ac:dyDescent="0.2">
      <c r="B557" t="str" cm="1">
        <f t="array" ref="B557">IF(A557="","",_xlfn.CHOOSECOLS('Prematch Backend 2A'!557:557,_xlfn.MAKEARRAY(1,A557-2,_xlfn.LAMBDA(_xlpm.r,_xlpm.c,_xlpm.c))))</f>
        <v/>
      </c>
    </row>
    <row r="558" spans="2:2" x14ac:dyDescent="0.2">
      <c r="B558" t="str" cm="1">
        <f t="array" ref="B558">IF(A558="","",_xlfn.CHOOSECOLS('Prematch Backend 2A'!558:558,_xlfn.MAKEARRAY(1,A558-2,_xlfn.LAMBDA(_xlpm.r,_xlpm.c,_xlpm.c))))</f>
        <v/>
      </c>
    </row>
    <row r="559" spans="2:2" x14ac:dyDescent="0.2">
      <c r="B559" t="str" cm="1">
        <f t="array" ref="B559">IF(A559="","",_xlfn.CHOOSECOLS('Prematch Backend 2A'!559:559,_xlfn.MAKEARRAY(1,A559-2,_xlfn.LAMBDA(_xlpm.r,_xlpm.c,_xlpm.c))))</f>
        <v/>
      </c>
    </row>
    <row r="560" spans="2:2" x14ac:dyDescent="0.2">
      <c r="B560" t="str" cm="1">
        <f t="array" ref="B560">IF(A560="","",_xlfn.CHOOSECOLS('Prematch Backend 2A'!560:560,_xlfn.MAKEARRAY(1,A560-2,_xlfn.LAMBDA(_xlpm.r,_xlpm.c,_xlpm.c))))</f>
        <v/>
      </c>
    </row>
    <row r="561" spans="2:2" x14ac:dyDescent="0.2">
      <c r="B561" t="str" cm="1">
        <f t="array" ref="B561">IF(A561="","",_xlfn.CHOOSECOLS('Prematch Backend 2A'!561:561,_xlfn.MAKEARRAY(1,A561-2,_xlfn.LAMBDA(_xlpm.r,_xlpm.c,_xlpm.c))))</f>
        <v/>
      </c>
    </row>
    <row r="562" spans="2:2" x14ac:dyDescent="0.2">
      <c r="B562" t="str" cm="1">
        <f t="array" ref="B562">IF(A562="","",_xlfn.CHOOSECOLS('Prematch Backend 2A'!562:562,_xlfn.MAKEARRAY(1,A562-2,_xlfn.LAMBDA(_xlpm.r,_xlpm.c,_xlpm.c))))</f>
        <v/>
      </c>
    </row>
    <row r="563" spans="2:2" x14ac:dyDescent="0.2">
      <c r="B563" t="str" cm="1">
        <f t="array" ref="B563">IF(A563="","",_xlfn.CHOOSECOLS('Prematch Backend 2A'!563:563,_xlfn.MAKEARRAY(1,A563-2,_xlfn.LAMBDA(_xlpm.r,_xlpm.c,_xlpm.c))))</f>
        <v/>
      </c>
    </row>
    <row r="564" spans="2:2" x14ac:dyDescent="0.2">
      <c r="B564" t="str" cm="1">
        <f t="array" ref="B564">IF(A564="","",_xlfn.CHOOSECOLS('Prematch Backend 2A'!564:564,_xlfn.MAKEARRAY(1,A564-2,_xlfn.LAMBDA(_xlpm.r,_xlpm.c,_xlpm.c))))</f>
        <v/>
      </c>
    </row>
    <row r="565" spans="2:2" x14ac:dyDescent="0.2">
      <c r="B565" t="str" cm="1">
        <f t="array" ref="B565">IF(A565="","",_xlfn.CHOOSECOLS('Prematch Backend 2A'!565:565,_xlfn.MAKEARRAY(1,A565-2,_xlfn.LAMBDA(_xlpm.r,_xlpm.c,_xlpm.c))))</f>
        <v/>
      </c>
    </row>
    <row r="566" spans="2:2" x14ac:dyDescent="0.2">
      <c r="B566" t="str" cm="1">
        <f t="array" ref="B566">IF(A566="","",_xlfn.CHOOSECOLS('Prematch Backend 2A'!566:566,_xlfn.MAKEARRAY(1,A566-2,_xlfn.LAMBDA(_xlpm.r,_xlpm.c,_xlpm.c))))</f>
        <v/>
      </c>
    </row>
    <row r="567" spans="2:2" x14ac:dyDescent="0.2">
      <c r="B567" t="str" cm="1">
        <f t="array" ref="B567">IF(A567="","",_xlfn.CHOOSECOLS('Prematch Backend 2A'!567:567,_xlfn.MAKEARRAY(1,A567-2,_xlfn.LAMBDA(_xlpm.r,_xlpm.c,_xlpm.c))))</f>
        <v/>
      </c>
    </row>
    <row r="568" spans="2:2" x14ac:dyDescent="0.2">
      <c r="B568" t="str" cm="1">
        <f t="array" ref="B568">IF(A568="","",_xlfn.CHOOSECOLS('Prematch Backend 2A'!568:568,_xlfn.MAKEARRAY(1,A568-2,_xlfn.LAMBDA(_xlpm.r,_xlpm.c,_xlpm.c))))</f>
        <v/>
      </c>
    </row>
    <row r="569" spans="2:2" x14ac:dyDescent="0.2">
      <c r="B569" t="str" cm="1">
        <f t="array" ref="B569">IF(A569="","",_xlfn.CHOOSECOLS('Prematch Backend 2A'!569:569,_xlfn.MAKEARRAY(1,A569-2,_xlfn.LAMBDA(_xlpm.r,_xlpm.c,_xlpm.c))))</f>
        <v/>
      </c>
    </row>
    <row r="570" spans="2:2" x14ac:dyDescent="0.2">
      <c r="B570" t="str" cm="1">
        <f t="array" ref="B570">IF(A570="","",_xlfn.CHOOSECOLS('Prematch Backend 2A'!570:570,_xlfn.MAKEARRAY(1,A570-2,_xlfn.LAMBDA(_xlpm.r,_xlpm.c,_xlpm.c))))</f>
        <v/>
      </c>
    </row>
    <row r="571" spans="2:2" x14ac:dyDescent="0.2">
      <c r="B571" t="str" cm="1">
        <f t="array" ref="B571">IF(A571="","",_xlfn.CHOOSECOLS('Prematch Backend 2A'!571:571,_xlfn.MAKEARRAY(1,A571-2,_xlfn.LAMBDA(_xlpm.r,_xlpm.c,_xlpm.c))))</f>
        <v/>
      </c>
    </row>
    <row r="572" spans="2:2" x14ac:dyDescent="0.2">
      <c r="B572" t="str" cm="1">
        <f t="array" ref="B572">IF(A572="","",_xlfn.CHOOSECOLS('Prematch Backend 2A'!572:572,_xlfn.MAKEARRAY(1,A572-2,_xlfn.LAMBDA(_xlpm.r,_xlpm.c,_xlpm.c))))</f>
        <v/>
      </c>
    </row>
    <row r="573" spans="2:2" x14ac:dyDescent="0.2">
      <c r="B573" t="str" cm="1">
        <f t="array" ref="B573">IF(A573="","",_xlfn.CHOOSECOLS('Prematch Backend 2A'!573:573,_xlfn.MAKEARRAY(1,A573-2,_xlfn.LAMBDA(_xlpm.r,_xlpm.c,_xlpm.c))))</f>
        <v/>
      </c>
    </row>
    <row r="574" spans="2:2" x14ac:dyDescent="0.2">
      <c r="B574" t="str" cm="1">
        <f t="array" ref="B574">IF(A574="","",_xlfn.CHOOSECOLS('Prematch Backend 2A'!574:574,_xlfn.MAKEARRAY(1,A574-2,_xlfn.LAMBDA(_xlpm.r,_xlpm.c,_xlpm.c))))</f>
        <v/>
      </c>
    </row>
    <row r="575" spans="2:2" x14ac:dyDescent="0.2">
      <c r="B575" t="str" cm="1">
        <f t="array" ref="B575">IF(A575="","",_xlfn.CHOOSECOLS('Prematch Backend 2A'!575:575,_xlfn.MAKEARRAY(1,A575-2,_xlfn.LAMBDA(_xlpm.r,_xlpm.c,_xlpm.c))))</f>
        <v/>
      </c>
    </row>
    <row r="576" spans="2:2" x14ac:dyDescent="0.2">
      <c r="B576" t="str" cm="1">
        <f t="array" ref="B576">IF(A576="","",_xlfn.CHOOSECOLS('Prematch Backend 2A'!576:576,_xlfn.MAKEARRAY(1,A576-2,_xlfn.LAMBDA(_xlpm.r,_xlpm.c,_xlpm.c))))</f>
        <v/>
      </c>
    </row>
    <row r="577" spans="2:2" x14ac:dyDescent="0.2">
      <c r="B577" t="str" cm="1">
        <f t="array" ref="B577">IF(A577="","",_xlfn.CHOOSECOLS('Prematch Backend 2A'!577:577,_xlfn.MAKEARRAY(1,A577-2,_xlfn.LAMBDA(_xlpm.r,_xlpm.c,_xlpm.c))))</f>
        <v/>
      </c>
    </row>
    <row r="578" spans="2:2" x14ac:dyDescent="0.2">
      <c r="B578" t="str" cm="1">
        <f t="array" ref="B578">IF(A578="","",_xlfn.CHOOSECOLS('Prematch Backend 2A'!578:578,_xlfn.MAKEARRAY(1,A578-2,_xlfn.LAMBDA(_xlpm.r,_xlpm.c,_xlpm.c))))</f>
        <v/>
      </c>
    </row>
    <row r="579" spans="2:2" x14ac:dyDescent="0.2">
      <c r="B579" t="str" cm="1">
        <f t="array" ref="B579">IF(A579="","",_xlfn.CHOOSECOLS('Prematch Backend 2A'!579:579,_xlfn.MAKEARRAY(1,A579-2,_xlfn.LAMBDA(_xlpm.r,_xlpm.c,_xlpm.c))))</f>
        <v/>
      </c>
    </row>
    <row r="580" spans="2:2" x14ac:dyDescent="0.2">
      <c r="B580" t="str" cm="1">
        <f t="array" ref="B580">IF(A580="","",_xlfn.CHOOSECOLS('Prematch Backend 2A'!580:580,_xlfn.MAKEARRAY(1,A580-2,_xlfn.LAMBDA(_xlpm.r,_xlpm.c,_xlpm.c))))</f>
        <v/>
      </c>
    </row>
    <row r="581" spans="2:2" x14ac:dyDescent="0.2">
      <c r="B581" t="str" cm="1">
        <f t="array" ref="B581">IF(A581="","",_xlfn.CHOOSECOLS('Prematch Backend 2A'!581:581,_xlfn.MAKEARRAY(1,A581-2,_xlfn.LAMBDA(_xlpm.r,_xlpm.c,_xlpm.c))))</f>
        <v/>
      </c>
    </row>
    <row r="582" spans="2:2" x14ac:dyDescent="0.2">
      <c r="B582" t="str" cm="1">
        <f t="array" ref="B582">IF(A582="","",_xlfn.CHOOSECOLS('Prematch Backend 2A'!582:582,_xlfn.MAKEARRAY(1,A582-2,_xlfn.LAMBDA(_xlpm.r,_xlpm.c,_xlpm.c))))</f>
        <v/>
      </c>
    </row>
    <row r="583" spans="2:2" x14ac:dyDescent="0.2">
      <c r="B583" t="str" cm="1">
        <f t="array" ref="B583">IF(A583="","",_xlfn.CHOOSECOLS('Prematch Backend 2A'!583:583,_xlfn.MAKEARRAY(1,A583-2,_xlfn.LAMBDA(_xlpm.r,_xlpm.c,_xlpm.c))))</f>
        <v/>
      </c>
    </row>
    <row r="584" spans="2:2" x14ac:dyDescent="0.2">
      <c r="B584" t="str" cm="1">
        <f t="array" ref="B584">IF(A584="","",_xlfn.CHOOSECOLS('Prematch Backend 2A'!584:584,_xlfn.MAKEARRAY(1,A584-2,_xlfn.LAMBDA(_xlpm.r,_xlpm.c,_xlpm.c))))</f>
        <v/>
      </c>
    </row>
    <row r="585" spans="2:2" x14ac:dyDescent="0.2">
      <c r="B585" t="str" cm="1">
        <f t="array" ref="B585">IF(A585="","",_xlfn.CHOOSECOLS('Prematch Backend 2A'!585:585,_xlfn.MAKEARRAY(1,A585-2,_xlfn.LAMBDA(_xlpm.r,_xlpm.c,_xlpm.c))))</f>
        <v/>
      </c>
    </row>
    <row r="586" spans="2:2" x14ac:dyDescent="0.2">
      <c r="B586" t="str" cm="1">
        <f t="array" ref="B586">IF(A586="","",_xlfn.CHOOSECOLS('Prematch Backend 2A'!586:586,_xlfn.MAKEARRAY(1,A586-2,_xlfn.LAMBDA(_xlpm.r,_xlpm.c,_xlpm.c))))</f>
        <v/>
      </c>
    </row>
    <row r="587" spans="2:2" x14ac:dyDescent="0.2">
      <c r="B587" t="str" cm="1">
        <f t="array" ref="B587">IF(A587="","",_xlfn.CHOOSECOLS('Prematch Backend 2A'!587:587,_xlfn.MAKEARRAY(1,A587-2,_xlfn.LAMBDA(_xlpm.r,_xlpm.c,_xlpm.c))))</f>
        <v/>
      </c>
    </row>
    <row r="588" spans="2:2" x14ac:dyDescent="0.2">
      <c r="B588" t="str" cm="1">
        <f t="array" ref="B588">IF(A588="","",_xlfn.CHOOSECOLS('Prematch Backend 2A'!588:588,_xlfn.MAKEARRAY(1,A588-2,_xlfn.LAMBDA(_xlpm.r,_xlpm.c,_xlpm.c))))</f>
        <v/>
      </c>
    </row>
    <row r="589" spans="2:2" x14ac:dyDescent="0.2">
      <c r="B589" t="str" cm="1">
        <f t="array" ref="B589">IF(A589="","",_xlfn.CHOOSECOLS('Prematch Backend 2A'!589:589,_xlfn.MAKEARRAY(1,A589-2,_xlfn.LAMBDA(_xlpm.r,_xlpm.c,_xlpm.c))))</f>
        <v/>
      </c>
    </row>
    <row r="590" spans="2:2" x14ac:dyDescent="0.2">
      <c r="B590" t="str" cm="1">
        <f t="array" ref="B590">IF(A590="","",_xlfn.CHOOSECOLS('Prematch Backend 2A'!590:590,_xlfn.MAKEARRAY(1,A590-2,_xlfn.LAMBDA(_xlpm.r,_xlpm.c,_xlpm.c))))</f>
        <v/>
      </c>
    </row>
    <row r="591" spans="2:2" x14ac:dyDescent="0.2">
      <c r="B591" t="str" cm="1">
        <f t="array" ref="B591">IF(A591="","",_xlfn.CHOOSECOLS('Prematch Backend 2A'!591:591,_xlfn.MAKEARRAY(1,A591-2,_xlfn.LAMBDA(_xlpm.r,_xlpm.c,_xlpm.c))))</f>
        <v/>
      </c>
    </row>
    <row r="592" spans="2:2" x14ac:dyDescent="0.2">
      <c r="B592" t="str" cm="1">
        <f t="array" ref="B592">IF(A592="","",_xlfn.CHOOSECOLS('Prematch Backend 2A'!592:592,_xlfn.MAKEARRAY(1,A592-2,_xlfn.LAMBDA(_xlpm.r,_xlpm.c,_xlpm.c))))</f>
        <v/>
      </c>
    </row>
    <row r="593" spans="2:2" x14ac:dyDescent="0.2">
      <c r="B593" t="str" cm="1">
        <f t="array" ref="B593">IF(A593="","",_xlfn.CHOOSECOLS('Prematch Backend 2A'!593:593,_xlfn.MAKEARRAY(1,A593-2,_xlfn.LAMBDA(_xlpm.r,_xlpm.c,_xlpm.c))))</f>
        <v/>
      </c>
    </row>
    <row r="594" spans="2:2" x14ac:dyDescent="0.2">
      <c r="B594" t="str" cm="1">
        <f t="array" ref="B594">IF(A594="","",_xlfn.CHOOSECOLS('Prematch Backend 2A'!594:594,_xlfn.MAKEARRAY(1,A594-2,_xlfn.LAMBDA(_xlpm.r,_xlpm.c,_xlpm.c))))</f>
        <v/>
      </c>
    </row>
    <row r="595" spans="2:2" x14ac:dyDescent="0.2">
      <c r="B595" t="str" cm="1">
        <f t="array" ref="B595">IF(A595="","",_xlfn.CHOOSECOLS('Prematch Backend 2A'!595:595,_xlfn.MAKEARRAY(1,A595-2,_xlfn.LAMBDA(_xlpm.r,_xlpm.c,_xlpm.c))))</f>
        <v/>
      </c>
    </row>
    <row r="596" spans="2:2" x14ac:dyDescent="0.2">
      <c r="B596" t="str" cm="1">
        <f t="array" ref="B596">IF(A596="","",_xlfn.CHOOSECOLS('Prematch Backend 2A'!596:596,_xlfn.MAKEARRAY(1,A596-2,_xlfn.LAMBDA(_xlpm.r,_xlpm.c,_xlpm.c))))</f>
        <v/>
      </c>
    </row>
    <row r="597" spans="2:2" x14ac:dyDescent="0.2">
      <c r="B597" t="str" cm="1">
        <f t="array" ref="B597">IF(A597="","",_xlfn.CHOOSECOLS('Prematch Backend 2A'!597:597,_xlfn.MAKEARRAY(1,A597-2,_xlfn.LAMBDA(_xlpm.r,_xlpm.c,_xlpm.c))))</f>
        <v/>
      </c>
    </row>
    <row r="598" spans="2:2" x14ac:dyDescent="0.2">
      <c r="B598" t="str" cm="1">
        <f t="array" ref="B598">IF(A598="","",_xlfn.CHOOSECOLS('Prematch Backend 2A'!598:598,_xlfn.MAKEARRAY(1,A598-2,_xlfn.LAMBDA(_xlpm.r,_xlpm.c,_xlpm.c))))</f>
        <v/>
      </c>
    </row>
    <row r="599" spans="2:2" x14ac:dyDescent="0.2">
      <c r="B599" t="str" cm="1">
        <f t="array" ref="B599">IF(A599="","",_xlfn.CHOOSECOLS('Prematch Backend 2A'!599:599,_xlfn.MAKEARRAY(1,A599-2,_xlfn.LAMBDA(_xlpm.r,_xlpm.c,_xlpm.c))))</f>
        <v/>
      </c>
    </row>
    <row r="600" spans="2:2" x14ac:dyDescent="0.2">
      <c r="B600" t="str" cm="1">
        <f t="array" ref="B600">IF(A600="","",_xlfn.CHOOSECOLS('Prematch Backend 2A'!600:600,_xlfn.MAKEARRAY(1,A600-2,_xlfn.LAMBDA(_xlpm.r,_xlpm.c,_xlpm.c))))</f>
        <v/>
      </c>
    </row>
    <row r="601" spans="2:2" x14ac:dyDescent="0.2">
      <c r="B601" t="str" cm="1">
        <f t="array" ref="B601">IF(A601="","",_xlfn.CHOOSECOLS('Prematch Backend 2A'!601:601,_xlfn.MAKEARRAY(1,A601-2,_xlfn.LAMBDA(_xlpm.r,_xlpm.c,_xlpm.c))))</f>
        <v/>
      </c>
    </row>
    <row r="602" spans="2:2" x14ac:dyDescent="0.2">
      <c r="B602" t="str" cm="1">
        <f t="array" ref="B602">IF(A602="","",_xlfn.CHOOSECOLS('Prematch Backend 2A'!602:602,_xlfn.MAKEARRAY(1,A602-2,_xlfn.LAMBDA(_xlpm.r,_xlpm.c,_xlpm.c))))</f>
        <v/>
      </c>
    </row>
    <row r="603" spans="2:2" x14ac:dyDescent="0.2">
      <c r="B603" t="str" cm="1">
        <f t="array" ref="B603">IF(A603="","",_xlfn.CHOOSECOLS('Prematch Backend 2A'!603:603,_xlfn.MAKEARRAY(1,A603-2,_xlfn.LAMBDA(_xlpm.r,_xlpm.c,_xlpm.c))))</f>
        <v/>
      </c>
    </row>
    <row r="604" spans="2:2" x14ac:dyDescent="0.2">
      <c r="B604" t="str" cm="1">
        <f t="array" ref="B604">IF(A604="","",_xlfn.CHOOSECOLS('Prematch Backend 2A'!604:604,_xlfn.MAKEARRAY(1,A604-2,_xlfn.LAMBDA(_xlpm.r,_xlpm.c,_xlpm.c))))</f>
        <v/>
      </c>
    </row>
    <row r="605" spans="2:2" x14ac:dyDescent="0.2">
      <c r="B605" t="str" cm="1">
        <f t="array" ref="B605">IF(A605="","",_xlfn.CHOOSECOLS('Prematch Backend 2A'!605:605,_xlfn.MAKEARRAY(1,A605-2,_xlfn.LAMBDA(_xlpm.r,_xlpm.c,_xlpm.c))))</f>
        <v/>
      </c>
    </row>
    <row r="606" spans="2:2" x14ac:dyDescent="0.2">
      <c r="B606" t="str" cm="1">
        <f t="array" ref="B606">IF(A606="","",_xlfn.CHOOSECOLS('Prematch Backend 2A'!606:606,_xlfn.MAKEARRAY(1,A606-2,_xlfn.LAMBDA(_xlpm.r,_xlpm.c,_xlpm.c))))</f>
        <v/>
      </c>
    </row>
    <row r="607" spans="2:2" x14ac:dyDescent="0.2">
      <c r="B607" t="str" cm="1">
        <f t="array" ref="B607">IF(A607="","",_xlfn.CHOOSECOLS('Prematch Backend 2A'!607:607,_xlfn.MAKEARRAY(1,A607-2,_xlfn.LAMBDA(_xlpm.r,_xlpm.c,_xlpm.c))))</f>
        <v/>
      </c>
    </row>
    <row r="608" spans="2:2" x14ac:dyDescent="0.2">
      <c r="B608" t="str" cm="1">
        <f t="array" ref="B608">IF(A608="","",_xlfn.CHOOSECOLS('Prematch Backend 2A'!608:608,_xlfn.MAKEARRAY(1,A608-2,_xlfn.LAMBDA(_xlpm.r,_xlpm.c,_xlpm.c))))</f>
        <v/>
      </c>
    </row>
    <row r="609" spans="2:2" x14ac:dyDescent="0.2">
      <c r="B609" t="str" cm="1">
        <f t="array" ref="B609">IF(A609="","",_xlfn.CHOOSECOLS('Prematch Backend 2A'!609:609,_xlfn.MAKEARRAY(1,A609-2,_xlfn.LAMBDA(_xlpm.r,_xlpm.c,_xlpm.c))))</f>
        <v/>
      </c>
    </row>
    <row r="610" spans="2:2" x14ac:dyDescent="0.2">
      <c r="B610" t="str" cm="1">
        <f t="array" ref="B610">IF(A610="","",_xlfn.CHOOSECOLS('Prematch Backend 2A'!610:610,_xlfn.MAKEARRAY(1,A610-2,_xlfn.LAMBDA(_xlpm.r,_xlpm.c,_xlpm.c))))</f>
        <v/>
      </c>
    </row>
    <row r="611" spans="2:2" x14ac:dyDescent="0.2">
      <c r="B611" t="str" cm="1">
        <f t="array" ref="B611">IF(A611="","",_xlfn.CHOOSECOLS('Prematch Backend 2A'!611:611,_xlfn.MAKEARRAY(1,A611-2,_xlfn.LAMBDA(_xlpm.r,_xlpm.c,_xlpm.c))))</f>
        <v/>
      </c>
    </row>
    <row r="612" spans="2:2" x14ac:dyDescent="0.2">
      <c r="B612" t="str" cm="1">
        <f t="array" ref="B612">IF(A612="","",_xlfn.CHOOSECOLS('Prematch Backend 2A'!612:612,_xlfn.MAKEARRAY(1,A612-2,_xlfn.LAMBDA(_xlpm.r,_xlpm.c,_xlpm.c))))</f>
        <v/>
      </c>
    </row>
    <row r="613" spans="2:2" x14ac:dyDescent="0.2">
      <c r="B613" t="str" cm="1">
        <f t="array" ref="B613">IF(A613="","",_xlfn.CHOOSECOLS('Prematch Backend 2A'!613:613,_xlfn.MAKEARRAY(1,A613-2,_xlfn.LAMBDA(_xlpm.r,_xlpm.c,_xlpm.c))))</f>
        <v/>
      </c>
    </row>
    <row r="614" spans="2:2" x14ac:dyDescent="0.2">
      <c r="B614" t="str" cm="1">
        <f t="array" ref="B614">IF(A614="","",_xlfn.CHOOSECOLS('Prematch Backend 2A'!614:614,_xlfn.MAKEARRAY(1,A614-2,_xlfn.LAMBDA(_xlpm.r,_xlpm.c,_xlpm.c))))</f>
        <v/>
      </c>
    </row>
    <row r="615" spans="2:2" x14ac:dyDescent="0.2">
      <c r="B615" t="str" cm="1">
        <f t="array" ref="B615">IF(A615="","",_xlfn.CHOOSECOLS('Prematch Backend 2A'!615:615,_xlfn.MAKEARRAY(1,A615-2,_xlfn.LAMBDA(_xlpm.r,_xlpm.c,_xlpm.c))))</f>
        <v/>
      </c>
    </row>
    <row r="616" spans="2:2" x14ac:dyDescent="0.2">
      <c r="B616" t="str" cm="1">
        <f t="array" ref="B616">IF(A616="","",_xlfn.CHOOSECOLS('Prematch Backend 2A'!616:616,_xlfn.MAKEARRAY(1,A616-2,_xlfn.LAMBDA(_xlpm.r,_xlpm.c,_xlpm.c))))</f>
        <v/>
      </c>
    </row>
    <row r="617" spans="2:2" x14ac:dyDescent="0.2">
      <c r="B617" t="str" cm="1">
        <f t="array" ref="B617">IF(A617="","",_xlfn.CHOOSECOLS('Prematch Backend 2A'!617:617,_xlfn.MAKEARRAY(1,A617-2,_xlfn.LAMBDA(_xlpm.r,_xlpm.c,_xlpm.c))))</f>
        <v/>
      </c>
    </row>
    <row r="618" spans="2:2" x14ac:dyDescent="0.2">
      <c r="B618" t="str" cm="1">
        <f t="array" ref="B618">IF(A618="","",_xlfn.CHOOSECOLS('Prematch Backend 2A'!618:618,_xlfn.MAKEARRAY(1,A618-2,_xlfn.LAMBDA(_xlpm.r,_xlpm.c,_xlpm.c))))</f>
        <v/>
      </c>
    </row>
    <row r="619" spans="2:2" x14ac:dyDescent="0.2">
      <c r="B619" t="str" cm="1">
        <f t="array" ref="B619">IF(A619="","",_xlfn.CHOOSECOLS('Prematch Backend 2A'!619:619,_xlfn.MAKEARRAY(1,A619-2,_xlfn.LAMBDA(_xlpm.r,_xlpm.c,_xlpm.c))))</f>
        <v/>
      </c>
    </row>
    <row r="620" spans="2:2" x14ac:dyDescent="0.2">
      <c r="B620" t="str" cm="1">
        <f t="array" ref="B620">IF(A620="","",_xlfn.CHOOSECOLS('Prematch Backend 2A'!620:620,_xlfn.MAKEARRAY(1,A620-2,_xlfn.LAMBDA(_xlpm.r,_xlpm.c,_xlpm.c))))</f>
        <v/>
      </c>
    </row>
    <row r="621" spans="2:2" x14ac:dyDescent="0.2">
      <c r="B621" t="str" cm="1">
        <f t="array" ref="B621">IF(A621="","",_xlfn.CHOOSECOLS('Prematch Backend 2A'!621:621,_xlfn.MAKEARRAY(1,A621-2,_xlfn.LAMBDA(_xlpm.r,_xlpm.c,_xlpm.c))))</f>
        <v/>
      </c>
    </row>
    <row r="622" spans="2:2" x14ac:dyDescent="0.2">
      <c r="B622" t="str" cm="1">
        <f t="array" ref="B622">IF(A622="","",_xlfn.CHOOSECOLS('Prematch Backend 2A'!622:622,_xlfn.MAKEARRAY(1,A622-2,_xlfn.LAMBDA(_xlpm.r,_xlpm.c,_xlpm.c))))</f>
        <v/>
      </c>
    </row>
    <row r="623" spans="2:2" x14ac:dyDescent="0.2">
      <c r="B623" t="str" cm="1">
        <f t="array" ref="B623">IF(A623="","",_xlfn.CHOOSECOLS('Prematch Backend 2A'!623:623,_xlfn.MAKEARRAY(1,A623-2,_xlfn.LAMBDA(_xlpm.r,_xlpm.c,_xlpm.c))))</f>
        <v/>
      </c>
    </row>
    <row r="624" spans="2:2" x14ac:dyDescent="0.2">
      <c r="B624" t="str" cm="1">
        <f t="array" ref="B624">IF(A624="","",_xlfn.CHOOSECOLS('Prematch Backend 2A'!624:624,_xlfn.MAKEARRAY(1,A624-2,_xlfn.LAMBDA(_xlpm.r,_xlpm.c,_xlpm.c))))</f>
        <v/>
      </c>
    </row>
    <row r="625" spans="2:2" x14ac:dyDescent="0.2">
      <c r="B625" t="str" cm="1">
        <f t="array" ref="B625">IF(A625="","",_xlfn.CHOOSECOLS('Prematch Backend 2A'!625:625,_xlfn.MAKEARRAY(1,A625-2,_xlfn.LAMBDA(_xlpm.r,_xlpm.c,_xlpm.c))))</f>
        <v/>
      </c>
    </row>
    <row r="626" spans="2:2" x14ac:dyDescent="0.2">
      <c r="B626" t="str" cm="1">
        <f t="array" ref="B626">IF(A626="","",_xlfn.CHOOSECOLS('Prematch Backend 2A'!626:626,_xlfn.MAKEARRAY(1,A626-2,_xlfn.LAMBDA(_xlpm.r,_xlpm.c,_xlpm.c))))</f>
        <v/>
      </c>
    </row>
    <row r="627" spans="2:2" x14ac:dyDescent="0.2">
      <c r="B627" t="str" cm="1">
        <f t="array" ref="B627">IF(A627="","",_xlfn.CHOOSECOLS('Prematch Backend 2A'!627:627,_xlfn.MAKEARRAY(1,A627-2,_xlfn.LAMBDA(_xlpm.r,_xlpm.c,_xlpm.c))))</f>
        <v/>
      </c>
    </row>
    <row r="628" spans="2:2" x14ac:dyDescent="0.2">
      <c r="B628" t="str" cm="1">
        <f t="array" ref="B628">IF(A628="","",_xlfn.CHOOSECOLS('Prematch Backend 2A'!628:628,_xlfn.MAKEARRAY(1,A628-2,_xlfn.LAMBDA(_xlpm.r,_xlpm.c,_xlpm.c))))</f>
        <v/>
      </c>
    </row>
    <row r="629" spans="2:2" x14ac:dyDescent="0.2">
      <c r="B629" t="str" cm="1">
        <f t="array" ref="B629">IF(A629="","",_xlfn.CHOOSECOLS('Prematch Backend 2A'!629:629,_xlfn.MAKEARRAY(1,A629-2,_xlfn.LAMBDA(_xlpm.r,_xlpm.c,_xlpm.c))))</f>
        <v/>
      </c>
    </row>
    <row r="630" spans="2:2" x14ac:dyDescent="0.2">
      <c r="B630" t="str" cm="1">
        <f t="array" ref="B630">IF(A630="","",_xlfn.CHOOSECOLS('Prematch Backend 2A'!630:630,_xlfn.MAKEARRAY(1,A630-2,_xlfn.LAMBDA(_xlpm.r,_xlpm.c,_xlpm.c))))</f>
        <v/>
      </c>
    </row>
    <row r="631" spans="2:2" x14ac:dyDescent="0.2">
      <c r="B631" t="str" cm="1">
        <f t="array" ref="B631">IF(A631="","",_xlfn.CHOOSECOLS('Prematch Backend 2A'!631:631,_xlfn.MAKEARRAY(1,A631-2,_xlfn.LAMBDA(_xlpm.r,_xlpm.c,_xlpm.c))))</f>
        <v/>
      </c>
    </row>
    <row r="632" spans="2:2" x14ac:dyDescent="0.2">
      <c r="B632" t="str" cm="1">
        <f t="array" ref="B632">IF(A632="","",_xlfn.CHOOSECOLS('Prematch Backend 2A'!632:632,_xlfn.MAKEARRAY(1,A632-2,_xlfn.LAMBDA(_xlpm.r,_xlpm.c,_xlpm.c))))</f>
        <v/>
      </c>
    </row>
    <row r="633" spans="2:2" x14ac:dyDescent="0.2">
      <c r="B633" t="str" cm="1">
        <f t="array" ref="B633">IF(A633="","",_xlfn.CHOOSECOLS('Prematch Backend 2A'!633:633,_xlfn.MAKEARRAY(1,A633-2,_xlfn.LAMBDA(_xlpm.r,_xlpm.c,_xlpm.c))))</f>
        <v/>
      </c>
    </row>
    <row r="634" spans="2:2" x14ac:dyDescent="0.2">
      <c r="B634" t="str" cm="1">
        <f t="array" ref="B634">IF(A634="","",_xlfn.CHOOSECOLS('Prematch Backend 2A'!634:634,_xlfn.MAKEARRAY(1,A634-2,_xlfn.LAMBDA(_xlpm.r,_xlpm.c,_xlpm.c))))</f>
        <v/>
      </c>
    </row>
    <row r="635" spans="2:2" x14ac:dyDescent="0.2">
      <c r="B635" t="str" cm="1">
        <f t="array" ref="B635">IF(A635="","",_xlfn.CHOOSECOLS('Prematch Backend 2A'!635:635,_xlfn.MAKEARRAY(1,A635-2,_xlfn.LAMBDA(_xlpm.r,_xlpm.c,_xlpm.c))))</f>
        <v/>
      </c>
    </row>
    <row r="636" spans="2:2" x14ac:dyDescent="0.2">
      <c r="B636" t="str" cm="1">
        <f t="array" ref="B636">IF(A636="","",_xlfn.CHOOSECOLS('Prematch Backend 2A'!636:636,_xlfn.MAKEARRAY(1,A636-2,_xlfn.LAMBDA(_xlpm.r,_xlpm.c,_xlpm.c))))</f>
        <v/>
      </c>
    </row>
    <row r="637" spans="2:2" x14ac:dyDescent="0.2">
      <c r="B637" t="str" cm="1">
        <f t="array" ref="B637">IF(A637="","",_xlfn.CHOOSECOLS('Prematch Backend 2A'!637:637,_xlfn.MAKEARRAY(1,A637-2,_xlfn.LAMBDA(_xlpm.r,_xlpm.c,_xlpm.c))))</f>
        <v/>
      </c>
    </row>
    <row r="638" spans="2:2" x14ac:dyDescent="0.2">
      <c r="B638" t="str" cm="1">
        <f t="array" ref="B638">IF(A638="","",_xlfn.CHOOSECOLS('Prematch Backend 2A'!638:638,_xlfn.MAKEARRAY(1,A638-2,_xlfn.LAMBDA(_xlpm.r,_xlpm.c,_xlpm.c))))</f>
        <v/>
      </c>
    </row>
    <row r="639" spans="2:2" x14ac:dyDescent="0.2">
      <c r="B639" t="str" cm="1">
        <f t="array" ref="B639">IF(A639="","",_xlfn.CHOOSECOLS('Prematch Backend 2A'!639:639,_xlfn.MAKEARRAY(1,A639-2,_xlfn.LAMBDA(_xlpm.r,_xlpm.c,_xlpm.c))))</f>
        <v/>
      </c>
    </row>
    <row r="640" spans="2:2" x14ac:dyDescent="0.2">
      <c r="B640" t="str" cm="1">
        <f t="array" ref="B640">IF(A640="","",_xlfn.CHOOSECOLS('Prematch Backend 2A'!640:640,_xlfn.MAKEARRAY(1,A640-2,_xlfn.LAMBDA(_xlpm.r,_xlpm.c,_xlpm.c))))</f>
        <v/>
      </c>
    </row>
    <row r="641" spans="2:2" x14ac:dyDescent="0.2">
      <c r="B641" t="str" cm="1">
        <f t="array" ref="B641">IF(A641="","",_xlfn.CHOOSECOLS('Prematch Backend 2A'!641:641,_xlfn.MAKEARRAY(1,A641-2,_xlfn.LAMBDA(_xlpm.r,_xlpm.c,_xlpm.c))))</f>
        <v/>
      </c>
    </row>
    <row r="642" spans="2:2" x14ac:dyDescent="0.2">
      <c r="B642" t="str" cm="1">
        <f t="array" ref="B642">IF(A642="","",_xlfn.CHOOSECOLS('Prematch Backend 2A'!642:642,_xlfn.MAKEARRAY(1,A642-2,_xlfn.LAMBDA(_xlpm.r,_xlpm.c,_xlpm.c))))</f>
        <v/>
      </c>
    </row>
    <row r="643" spans="2:2" x14ac:dyDescent="0.2">
      <c r="B643" t="str" cm="1">
        <f t="array" ref="B643">IF(A643="","",_xlfn.CHOOSECOLS('Prematch Backend 2A'!643:643,_xlfn.MAKEARRAY(1,A643-2,_xlfn.LAMBDA(_xlpm.r,_xlpm.c,_xlpm.c))))</f>
        <v/>
      </c>
    </row>
    <row r="644" spans="2:2" x14ac:dyDescent="0.2">
      <c r="B644" t="str" cm="1">
        <f t="array" ref="B644">IF(A644="","",_xlfn.CHOOSECOLS('Prematch Backend 2A'!644:644,_xlfn.MAKEARRAY(1,A644-2,_xlfn.LAMBDA(_xlpm.r,_xlpm.c,_xlpm.c))))</f>
        <v/>
      </c>
    </row>
    <row r="645" spans="2:2" x14ac:dyDescent="0.2">
      <c r="B645" t="str" cm="1">
        <f t="array" ref="B645">IF(A645="","",_xlfn.CHOOSECOLS('Prematch Backend 2A'!645:645,_xlfn.MAKEARRAY(1,A645-2,_xlfn.LAMBDA(_xlpm.r,_xlpm.c,_xlpm.c))))</f>
        <v/>
      </c>
    </row>
    <row r="646" spans="2:2" x14ac:dyDescent="0.2">
      <c r="B646" t="str" cm="1">
        <f t="array" ref="B646">IF(A646="","",_xlfn.CHOOSECOLS('Prematch Backend 2A'!646:646,_xlfn.MAKEARRAY(1,A646-2,_xlfn.LAMBDA(_xlpm.r,_xlpm.c,_xlpm.c))))</f>
        <v/>
      </c>
    </row>
    <row r="647" spans="2:2" x14ac:dyDescent="0.2">
      <c r="B647" t="str" cm="1">
        <f t="array" ref="B647">IF(A647="","",_xlfn.CHOOSECOLS('Prematch Backend 2A'!647:647,_xlfn.MAKEARRAY(1,A647-2,_xlfn.LAMBDA(_xlpm.r,_xlpm.c,_xlpm.c))))</f>
        <v/>
      </c>
    </row>
    <row r="648" spans="2:2" x14ac:dyDescent="0.2">
      <c r="B648" t="str" cm="1">
        <f t="array" ref="B648">IF(A648="","",_xlfn.CHOOSECOLS('Prematch Backend 2A'!648:648,_xlfn.MAKEARRAY(1,A648-2,_xlfn.LAMBDA(_xlpm.r,_xlpm.c,_xlpm.c))))</f>
        <v/>
      </c>
    </row>
    <row r="649" spans="2:2" x14ac:dyDescent="0.2">
      <c r="B649" t="str" cm="1">
        <f t="array" ref="B649">IF(A649="","",_xlfn.CHOOSECOLS('Prematch Backend 2A'!649:649,_xlfn.MAKEARRAY(1,A649-2,_xlfn.LAMBDA(_xlpm.r,_xlpm.c,_xlpm.c))))</f>
        <v/>
      </c>
    </row>
    <row r="650" spans="2:2" x14ac:dyDescent="0.2">
      <c r="B650" t="str" cm="1">
        <f t="array" ref="B650">IF(A650="","",_xlfn.CHOOSECOLS('Prematch Backend 2A'!650:650,_xlfn.MAKEARRAY(1,A650-2,_xlfn.LAMBDA(_xlpm.r,_xlpm.c,_xlpm.c))))</f>
        <v/>
      </c>
    </row>
    <row r="651" spans="2:2" x14ac:dyDescent="0.2">
      <c r="B651" t="str" cm="1">
        <f t="array" ref="B651">IF(A651="","",_xlfn.CHOOSECOLS('Prematch Backend 2A'!651:651,_xlfn.MAKEARRAY(1,A651-2,_xlfn.LAMBDA(_xlpm.r,_xlpm.c,_xlpm.c))))</f>
        <v/>
      </c>
    </row>
    <row r="652" spans="2:2" x14ac:dyDescent="0.2">
      <c r="B652" t="str" cm="1">
        <f t="array" ref="B652">IF(A652="","",_xlfn.CHOOSECOLS('Prematch Backend 2A'!652:652,_xlfn.MAKEARRAY(1,A652-2,_xlfn.LAMBDA(_xlpm.r,_xlpm.c,_xlpm.c))))</f>
        <v/>
      </c>
    </row>
    <row r="653" spans="2:2" x14ac:dyDescent="0.2">
      <c r="B653" t="str" cm="1">
        <f t="array" ref="B653">IF(A653="","",_xlfn.CHOOSECOLS('Prematch Backend 2A'!653:653,_xlfn.MAKEARRAY(1,A653-2,_xlfn.LAMBDA(_xlpm.r,_xlpm.c,_xlpm.c))))</f>
        <v/>
      </c>
    </row>
    <row r="654" spans="2:2" x14ac:dyDescent="0.2">
      <c r="B654" t="str" cm="1">
        <f t="array" ref="B654">IF(A654="","",_xlfn.CHOOSECOLS('Prematch Backend 2A'!654:654,_xlfn.MAKEARRAY(1,A654-2,_xlfn.LAMBDA(_xlpm.r,_xlpm.c,_xlpm.c))))</f>
        <v/>
      </c>
    </row>
    <row r="655" spans="2:2" x14ac:dyDescent="0.2">
      <c r="B655" t="str" cm="1">
        <f t="array" ref="B655">IF(A655="","",_xlfn.CHOOSECOLS('Prematch Backend 2A'!655:655,_xlfn.MAKEARRAY(1,A655-2,_xlfn.LAMBDA(_xlpm.r,_xlpm.c,_xlpm.c))))</f>
        <v/>
      </c>
    </row>
    <row r="656" spans="2:2" x14ac:dyDescent="0.2">
      <c r="B656" t="str" cm="1">
        <f t="array" ref="B656">IF(A656="","",_xlfn.CHOOSECOLS('Prematch Backend 2A'!656:656,_xlfn.MAKEARRAY(1,A656-2,_xlfn.LAMBDA(_xlpm.r,_xlpm.c,_xlpm.c))))</f>
        <v/>
      </c>
    </row>
    <row r="657" spans="2:2" x14ac:dyDescent="0.2">
      <c r="B657" t="str" cm="1">
        <f t="array" ref="B657">IF(A657="","",_xlfn.CHOOSECOLS('Prematch Backend 2A'!657:657,_xlfn.MAKEARRAY(1,A657-2,_xlfn.LAMBDA(_xlpm.r,_xlpm.c,_xlpm.c))))</f>
        <v/>
      </c>
    </row>
    <row r="658" spans="2:2" x14ac:dyDescent="0.2">
      <c r="B658" t="str" cm="1">
        <f t="array" ref="B658">IF(A658="","",_xlfn.CHOOSECOLS('Prematch Backend 2A'!658:658,_xlfn.MAKEARRAY(1,A658-2,_xlfn.LAMBDA(_xlpm.r,_xlpm.c,_xlpm.c))))</f>
        <v/>
      </c>
    </row>
    <row r="659" spans="2:2" x14ac:dyDescent="0.2">
      <c r="B659" t="str" cm="1">
        <f t="array" ref="B659">IF(A659="","",_xlfn.CHOOSECOLS('Prematch Backend 2A'!659:659,_xlfn.MAKEARRAY(1,A659-2,_xlfn.LAMBDA(_xlpm.r,_xlpm.c,_xlpm.c))))</f>
        <v/>
      </c>
    </row>
    <row r="660" spans="2:2" x14ac:dyDescent="0.2">
      <c r="B660" t="str" cm="1">
        <f t="array" ref="B660">IF(A660="","",_xlfn.CHOOSECOLS('Prematch Backend 2A'!660:660,_xlfn.MAKEARRAY(1,A660-2,_xlfn.LAMBDA(_xlpm.r,_xlpm.c,_xlpm.c))))</f>
        <v/>
      </c>
    </row>
    <row r="661" spans="2:2" x14ac:dyDescent="0.2">
      <c r="B661" t="str" cm="1">
        <f t="array" ref="B661">IF(A661="","",_xlfn.CHOOSECOLS('Prematch Backend 2A'!661:661,_xlfn.MAKEARRAY(1,A661-2,_xlfn.LAMBDA(_xlpm.r,_xlpm.c,_xlpm.c))))</f>
        <v/>
      </c>
    </row>
    <row r="662" spans="2:2" x14ac:dyDescent="0.2">
      <c r="B662" t="str" cm="1">
        <f t="array" ref="B662">IF(A662="","",_xlfn.CHOOSECOLS('Prematch Backend 2A'!662:662,_xlfn.MAKEARRAY(1,A662-2,_xlfn.LAMBDA(_xlpm.r,_xlpm.c,_xlpm.c))))</f>
        <v/>
      </c>
    </row>
    <row r="663" spans="2:2" x14ac:dyDescent="0.2">
      <c r="B663" t="str" cm="1">
        <f t="array" ref="B663">IF(A663="","",_xlfn.CHOOSECOLS('Prematch Backend 2A'!663:663,_xlfn.MAKEARRAY(1,A663-2,_xlfn.LAMBDA(_xlpm.r,_xlpm.c,_xlpm.c))))</f>
        <v/>
      </c>
    </row>
    <row r="664" spans="2:2" x14ac:dyDescent="0.2">
      <c r="B664" t="str" cm="1">
        <f t="array" ref="B664">IF(A664="","",_xlfn.CHOOSECOLS('Prematch Backend 2A'!664:664,_xlfn.MAKEARRAY(1,A664-2,_xlfn.LAMBDA(_xlpm.r,_xlpm.c,_xlpm.c))))</f>
        <v/>
      </c>
    </row>
    <row r="665" spans="2:2" x14ac:dyDescent="0.2">
      <c r="B665" t="str" cm="1">
        <f t="array" ref="B665">IF(A665="","",_xlfn.CHOOSECOLS('Prematch Backend 2A'!665:665,_xlfn.MAKEARRAY(1,A665-2,_xlfn.LAMBDA(_xlpm.r,_xlpm.c,_xlpm.c))))</f>
        <v/>
      </c>
    </row>
    <row r="666" spans="2:2" x14ac:dyDescent="0.2">
      <c r="B666" t="str" cm="1">
        <f t="array" ref="B666">IF(A666="","",_xlfn.CHOOSECOLS('Prematch Backend 2A'!666:666,_xlfn.MAKEARRAY(1,A666-2,_xlfn.LAMBDA(_xlpm.r,_xlpm.c,_xlpm.c))))</f>
        <v/>
      </c>
    </row>
    <row r="667" spans="2:2" x14ac:dyDescent="0.2">
      <c r="B667" t="str" cm="1">
        <f t="array" ref="B667">IF(A667="","",_xlfn.CHOOSECOLS('Prematch Backend 2A'!667:667,_xlfn.MAKEARRAY(1,A667-2,_xlfn.LAMBDA(_xlpm.r,_xlpm.c,_xlpm.c))))</f>
        <v/>
      </c>
    </row>
    <row r="668" spans="2:2" x14ac:dyDescent="0.2">
      <c r="B668" t="str" cm="1">
        <f t="array" ref="B668">IF(A668="","",_xlfn.CHOOSECOLS('Prematch Backend 2A'!668:668,_xlfn.MAKEARRAY(1,A668-2,_xlfn.LAMBDA(_xlpm.r,_xlpm.c,_xlpm.c))))</f>
        <v/>
      </c>
    </row>
    <row r="669" spans="2:2" x14ac:dyDescent="0.2">
      <c r="B669" t="str" cm="1">
        <f t="array" ref="B669">IF(A669="","",_xlfn.CHOOSECOLS('Prematch Backend 2A'!669:669,_xlfn.MAKEARRAY(1,A669-2,_xlfn.LAMBDA(_xlpm.r,_xlpm.c,_xlpm.c))))</f>
        <v/>
      </c>
    </row>
    <row r="670" spans="2:2" x14ac:dyDescent="0.2">
      <c r="B670" t="str" cm="1">
        <f t="array" ref="B670">IF(A670="","",_xlfn.CHOOSECOLS('Prematch Backend 2A'!670:670,_xlfn.MAKEARRAY(1,A670-2,_xlfn.LAMBDA(_xlpm.r,_xlpm.c,_xlpm.c))))</f>
        <v/>
      </c>
    </row>
    <row r="671" spans="2:2" x14ac:dyDescent="0.2">
      <c r="B671" t="str" cm="1">
        <f t="array" ref="B671">IF(A671="","",_xlfn.CHOOSECOLS('Prematch Backend 2A'!671:671,_xlfn.MAKEARRAY(1,A671-2,_xlfn.LAMBDA(_xlpm.r,_xlpm.c,_xlpm.c))))</f>
        <v/>
      </c>
    </row>
    <row r="672" spans="2:2" x14ac:dyDescent="0.2">
      <c r="B672" t="str" cm="1">
        <f t="array" ref="B672">IF(A672="","",_xlfn.CHOOSECOLS('Prematch Backend 2A'!672:672,_xlfn.MAKEARRAY(1,A672-2,_xlfn.LAMBDA(_xlpm.r,_xlpm.c,_xlpm.c))))</f>
        <v/>
      </c>
    </row>
    <row r="673" spans="2:2" x14ac:dyDescent="0.2">
      <c r="B673" t="str" cm="1">
        <f t="array" ref="B673">IF(A673="","",_xlfn.CHOOSECOLS('Prematch Backend 2A'!673:673,_xlfn.MAKEARRAY(1,A673-2,_xlfn.LAMBDA(_xlpm.r,_xlpm.c,_xlpm.c))))</f>
        <v/>
      </c>
    </row>
    <row r="674" spans="2:2" x14ac:dyDescent="0.2">
      <c r="B674" t="str" cm="1">
        <f t="array" ref="B674">IF(A674="","",_xlfn.CHOOSECOLS('Prematch Backend 2A'!674:674,_xlfn.MAKEARRAY(1,A674-2,_xlfn.LAMBDA(_xlpm.r,_xlpm.c,_xlpm.c))))</f>
        <v/>
      </c>
    </row>
    <row r="675" spans="2:2" x14ac:dyDescent="0.2">
      <c r="B675" t="str" cm="1">
        <f t="array" ref="B675">IF(A675="","",_xlfn.CHOOSECOLS('Prematch Backend 2A'!675:675,_xlfn.MAKEARRAY(1,A675-2,_xlfn.LAMBDA(_xlpm.r,_xlpm.c,_xlpm.c))))</f>
        <v/>
      </c>
    </row>
    <row r="676" spans="2:2" x14ac:dyDescent="0.2">
      <c r="B676" t="str" cm="1">
        <f t="array" ref="B676">IF(A676="","",_xlfn.CHOOSECOLS('Prematch Backend 2A'!676:676,_xlfn.MAKEARRAY(1,A676-2,_xlfn.LAMBDA(_xlpm.r,_xlpm.c,_xlpm.c))))</f>
        <v/>
      </c>
    </row>
    <row r="677" spans="2:2" x14ac:dyDescent="0.2">
      <c r="B677" t="str" cm="1">
        <f t="array" ref="B677">IF(A677="","",_xlfn.CHOOSECOLS('Prematch Backend 2A'!677:677,_xlfn.MAKEARRAY(1,A677-2,_xlfn.LAMBDA(_xlpm.r,_xlpm.c,_xlpm.c))))</f>
        <v/>
      </c>
    </row>
    <row r="678" spans="2:2" x14ac:dyDescent="0.2">
      <c r="B678" t="str" cm="1">
        <f t="array" ref="B678">IF(A678="","",_xlfn.CHOOSECOLS('Prematch Backend 2A'!678:678,_xlfn.MAKEARRAY(1,A678-2,_xlfn.LAMBDA(_xlpm.r,_xlpm.c,_xlpm.c))))</f>
        <v/>
      </c>
    </row>
    <row r="679" spans="2:2" x14ac:dyDescent="0.2">
      <c r="B679" t="str" cm="1">
        <f t="array" ref="B679">IF(A679="","",_xlfn.CHOOSECOLS('Prematch Backend 2A'!679:679,_xlfn.MAKEARRAY(1,A679-2,_xlfn.LAMBDA(_xlpm.r,_xlpm.c,_xlpm.c))))</f>
        <v/>
      </c>
    </row>
    <row r="680" spans="2:2" x14ac:dyDescent="0.2">
      <c r="B680" t="str" cm="1">
        <f t="array" ref="B680">IF(A680="","",_xlfn.CHOOSECOLS('Prematch Backend 2A'!680:680,_xlfn.MAKEARRAY(1,A680-2,_xlfn.LAMBDA(_xlpm.r,_xlpm.c,_xlpm.c))))</f>
        <v/>
      </c>
    </row>
    <row r="681" spans="2:2" x14ac:dyDescent="0.2">
      <c r="B681" t="str" cm="1">
        <f t="array" ref="B681">IF(A681="","",_xlfn.CHOOSECOLS('Prematch Backend 2A'!681:681,_xlfn.MAKEARRAY(1,A681-2,_xlfn.LAMBDA(_xlpm.r,_xlpm.c,_xlpm.c))))</f>
        <v/>
      </c>
    </row>
    <row r="682" spans="2:2" x14ac:dyDescent="0.2">
      <c r="B682" t="str" cm="1">
        <f t="array" ref="B682">IF(A682="","",_xlfn.CHOOSECOLS('Prematch Backend 2A'!682:682,_xlfn.MAKEARRAY(1,A682-2,_xlfn.LAMBDA(_xlpm.r,_xlpm.c,_xlpm.c))))</f>
        <v/>
      </c>
    </row>
    <row r="683" spans="2:2" x14ac:dyDescent="0.2">
      <c r="B683" t="str" cm="1">
        <f t="array" ref="B683">IF(A683="","",_xlfn.CHOOSECOLS('Prematch Backend 2A'!683:683,_xlfn.MAKEARRAY(1,A683-2,_xlfn.LAMBDA(_xlpm.r,_xlpm.c,_xlpm.c))))</f>
        <v/>
      </c>
    </row>
    <row r="684" spans="2:2" x14ac:dyDescent="0.2">
      <c r="B684" t="str" cm="1">
        <f t="array" ref="B684">IF(A684="","",_xlfn.CHOOSECOLS('Prematch Backend 2A'!684:684,_xlfn.MAKEARRAY(1,A684-2,_xlfn.LAMBDA(_xlpm.r,_xlpm.c,_xlpm.c))))</f>
        <v/>
      </c>
    </row>
    <row r="685" spans="2:2" x14ac:dyDescent="0.2">
      <c r="B685" t="str" cm="1">
        <f t="array" ref="B685">IF(A685="","",_xlfn.CHOOSECOLS('Prematch Backend 2A'!685:685,_xlfn.MAKEARRAY(1,A685-2,_xlfn.LAMBDA(_xlpm.r,_xlpm.c,_xlpm.c))))</f>
        <v/>
      </c>
    </row>
    <row r="686" spans="2:2" x14ac:dyDescent="0.2">
      <c r="B686" t="str" cm="1">
        <f t="array" ref="B686">IF(A686="","",_xlfn.CHOOSECOLS('Prematch Backend 2A'!686:686,_xlfn.MAKEARRAY(1,A686-2,_xlfn.LAMBDA(_xlpm.r,_xlpm.c,_xlpm.c))))</f>
        <v/>
      </c>
    </row>
    <row r="687" spans="2:2" x14ac:dyDescent="0.2">
      <c r="B687" t="str" cm="1">
        <f t="array" ref="B687">IF(A687="","",_xlfn.CHOOSECOLS('Prematch Backend 2A'!687:687,_xlfn.MAKEARRAY(1,A687-2,_xlfn.LAMBDA(_xlpm.r,_xlpm.c,_xlpm.c))))</f>
        <v/>
      </c>
    </row>
    <row r="688" spans="2:2" x14ac:dyDescent="0.2">
      <c r="B688" t="str" cm="1">
        <f t="array" ref="B688">IF(A688="","",_xlfn.CHOOSECOLS('Prematch Backend 2A'!688:688,_xlfn.MAKEARRAY(1,A688-2,_xlfn.LAMBDA(_xlpm.r,_xlpm.c,_xlpm.c))))</f>
        <v/>
      </c>
    </row>
    <row r="689" spans="2:2" x14ac:dyDescent="0.2">
      <c r="B689" t="str" cm="1">
        <f t="array" ref="B689">IF(A689="","",_xlfn.CHOOSECOLS('Prematch Backend 2A'!689:689,_xlfn.MAKEARRAY(1,A689-2,_xlfn.LAMBDA(_xlpm.r,_xlpm.c,_xlpm.c))))</f>
        <v/>
      </c>
    </row>
    <row r="690" spans="2:2" x14ac:dyDescent="0.2">
      <c r="B690" t="str" cm="1">
        <f t="array" ref="B690">IF(A690="","",_xlfn.CHOOSECOLS('Prematch Backend 2A'!690:690,_xlfn.MAKEARRAY(1,A690-2,_xlfn.LAMBDA(_xlpm.r,_xlpm.c,_xlpm.c))))</f>
        <v/>
      </c>
    </row>
    <row r="691" spans="2:2" x14ac:dyDescent="0.2">
      <c r="B691" t="str" cm="1">
        <f t="array" ref="B691">IF(A691="","",_xlfn.CHOOSECOLS('Prematch Backend 2A'!691:691,_xlfn.MAKEARRAY(1,A691-2,_xlfn.LAMBDA(_xlpm.r,_xlpm.c,_xlpm.c))))</f>
        <v/>
      </c>
    </row>
    <row r="692" spans="2:2" x14ac:dyDescent="0.2">
      <c r="B692" t="str" cm="1">
        <f t="array" ref="B692">IF(A692="","",_xlfn.CHOOSECOLS('Prematch Backend 2A'!692:692,_xlfn.MAKEARRAY(1,A692-2,_xlfn.LAMBDA(_xlpm.r,_xlpm.c,_xlpm.c))))</f>
        <v/>
      </c>
    </row>
    <row r="693" spans="2:2" x14ac:dyDescent="0.2">
      <c r="B693" t="str" cm="1">
        <f t="array" ref="B693">IF(A693="","",_xlfn.CHOOSECOLS('Prematch Backend 2A'!693:693,_xlfn.MAKEARRAY(1,A693-2,_xlfn.LAMBDA(_xlpm.r,_xlpm.c,_xlpm.c))))</f>
        <v/>
      </c>
    </row>
    <row r="694" spans="2:2" x14ac:dyDescent="0.2">
      <c r="B694" t="str" cm="1">
        <f t="array" ref="B694">IF(A694="","",_xlfn.CHOOSECOLS('Prematch Backend 2A'!694:694,_xlfn.MAKEARRAY(1,A694-2,_xlfn.LAMBDA(_xlpm.r,_xlpm.c,_xlpm.c))))</f>
        <v/>
      </c>
    </row>
    <row r="695" spans="2:2" x14ac:dyDescent="0.2">
      <c r="B695" t="str" cm="1">
        <f t="array" ref="B695">IF(A695="","",_xlfn.CHOOSECOLS('Prematch Backend 2A'!695:695,_xlfn.MAKEARRAY(1,A695-2,_xlfn.LAMBDA(_xlpm.r,_xlpm.c,_xlpm.c))))</f>
        <v/>
      </c>
    </row>
    <row r="696" spans="2:2" x14ac:dyDescent="0.2">
      <c r="B696" t="str" cm="1">
        <f t="array" ref="B696">IF(A696="","",_xlfn.CHOOSECOLS('Prematch Backend 2A'!696:696,_xlfn.MAKEARRAY(1,A696-2,_xlfn.LAMBDA(_xlpm.r,_xlpm.c,_xlpm.c))))</f>
        <v/>
      </c>
    </row>
    <row r="697" spans="2:2" x14ac:dyDescent="0.2">
      <c r="B697" t="str" cm="1">
        <f t="array" ref="B697">IF(A697="","",_xlfn.CHOOSECOLS('Prematch Backend 2A'!697:697,_xlfn.MAKEARRAY(1,A697-2,_xlfn.LAMBDA(_xlpm.r,_xlpm.c,_xlpm.c))))</f>
        <v/>
      </c>
    </row>
    <row r="698" spans="2:2" x14ac:dyDescent="0.2">
      <c r="B698" t="str" cm="1">
        <f t="array" ref="B698">IF(A698="","",_xlfn.CHOOSECOLS('Prematch Backend 2A'!698:698,_xlfn.MAKEARRAY(1,A698-2,_xlfn.LAMBDA(_xlpm.r,_xlpm.c,_xlpm.c))))</f>
        <v/>
      </c>
    </row>
    <row r="699" spans="2:2" x14ac:dyDescent="0.2">
      <c r="B699" t="str" cm="1">
        <f t="array" ref="B699">IF(A699="","",_xlfn.CHOOSECOLS('Prematch Backend 2A'!699:699,_xlfn.MAKEARRAY(1,A699-2,_xlfn.LAMBDA(_xlpm.r,_xlpm.c,_xlpm.c))))</f>
        <v/>
      </c>
    </row>
    <row r="700" spans="2:2" x14ac:dyDescent="0.2">
      <c r="B700" t="str" cm="1">
        <f t="array" ref="B700">IF(A700="","",_xlfn.CHOOSECOLS('Prematch Backend 2A'!700:700,_xlfn.MAKEARRAY(1,A700-2,_xlfn.LAMBDA(_xlpm.r,_xlpm.c,_xlpm.c))))</f>
        <v/>
      </c>
    </row>
    <row r="701" spans="2:2" x14ac:dyDescent="0.2">
      <c r="B701" t="str" cm="1">
        <f t="array" ref="B701">IF(A701="","",_xlfn.CHOOSECOLS('Prematch Backend 2A'!701:701,_xlfn.MAKEARRAY(1,A701-2,_xlfn.LAMBDA(_xlpm.r,_xlpm.c,_xlpm.c))))</f>
        <v/>
      </c>
    </row>
    <row r="702" spans="2:2" x14ac:dyDescent="0.2">
      <c r="B702" t="str" cm="1">
        <f t="array" ref="B702">IF(A702="","",_xlfn.CHOOSECOLS('Prematch Backend 2A'!702:702,_xlfn.MAKEARRAY(1,A702-2,_xlfn.LAMBDA(_xlpm.r,_xlpm.c,_xlpm.c))))</f>
        <v/>
      </c>
    </row>
    <row r="703" spans="2:2" x14ac:dyDescent="0.2">
      <c r="B703" t="str" cm="1">
        <f t="array" ref="B703">IF(A703="","",_xlfn.CHOOSECOLS('Prematch Backend 2A'!703:703,_xlfn.MAKEARRAY(1,A703-2,_xlfn.LAMBDA(_xlpm.r,_xlpm.c,_xlpm.c))))</f>
        <v/>
      </c>
    </row>
    <row r="704" spans="2:2" x14ac:dyDescent="0.2">
      <c r="B704" t="str" cm="1">
        <f t="array" ref="B704">IF(A704="","",_xlfn.CHOOSECOLS('Prematch Backend 2A'!704:704,_xlfn.MAKEARRAY(1,A704-2,_xlfn.LAMBDA(_xlpm.r,_xlpm.c,_xlpm.c))))</f>
        <v/>
      </c>
    </row>
    <row r="705" spans="2:2" x14ac:dyDescent="0.2">
      <c r="B705" t="str" cm="1">
        <f t="array" ref="B705">IF(A705="","",_xlfn.CHOOSECOLS('Prematch Backend 2A'!705:705,_xlfn.MAKEARRAY(1,A705-2,_xlfn.LAMBDA(_xlpm.r,_xlpm.c,_xlpm.c))))</f>
        <v/>
      </c>
    </row>
    <row r="706" spans="2:2" x14ac:dyDescent="0.2">
      <c r="B706" t="str" cm="1">
        <f t="array" ref="B706">IF(A706="","",_xlfn.CHOOSECOLS('Prematch Backend 2A'!706:706,_xlfn.MAKEARRAY(1,A706-2,_xlfn.LAMBDA(_xlpm.r,_xlpm.c,_xlpm.c))))</f>
        <v/>
      </c>
    </row>
    <row r="707" spans="2:2" x14ac:dyDescent="0.2">
      <c r="B707" t="str" cm="1">
        <f t="array" ref="B707">IF(A707="","",_xlfn.CHOOSECOLS('Prematch Backend 2A'!707:707,_xlfn.MAKEARRAY(1,A707-2,_xlfn.LAMBDA(_xlpm.r,_xlpm.c,_xlpm.c))))</f>
        <v/>
      </c>
    </row>
    <row r="708" spans="2:2" x14ac:dyDescent="0.2">
      <c r="B708" t="str" cm="1">
        <f t="array" ref="B708">IF(A708="","",_xlfn.CHOOSECOLS('Prematch Backend 2A'!708:708,_xlfn.MAKEARRAY(1,A708-2,_xlfn.LAMBDA(_xlpm.r,_xlpm.c,_xlpm.c))))</f>
        <v/>
      </c>
    </row>
    <row r="709" spans="2:2" x14ac:dyDescent="0.2">
      <c r="B709" t="str" cm="1">
        <f t="array" ref="B709">IF(A709="","",_xlfn.CHOOSECOLS('Prematch Backend 2A'!709:709,_xlfn.MAKEARRAY(1,A709-2,_xlfn.LAMBDA(_xlpm.r,_xlpm.c,_xlpm.c))))</f>
        <v/>
      </c>
    </row>
    <row r="710" spans="2:2" x14ac:dyDescent="0.2">
      <c r="B710" t="str" cm="1">
        <f t="array" ref="B710">IF(A710="","",_xlfn.CHOOSECOLS('Prematch Backend 2A'!710:710,_xlfn.MAKEARRAY(1,A710-2,_xlfn.LAMBDA(_xlpm.r,_xlpm.c,_xlpm.c))))</f>
        <v/>
      </c>
    </row>
    <row r="711" spans="2:2" x14ac:dyDescent="0.2">
      <c r="B711" t="str" cm="1">
        <f t="array" ref="B711">IF(A711="","",_xlfn.CHOOSECOLS('Prematch Backend 2A'!711:711,_xlfn.MAKEARRAY(1,A711-2,_xlfn.LAMBDA(_xlpm.r,_xlpm.c,_xlpm.c))))</f>
        <v/>
      </c>
    </row>
    <row r="712" spans="2:2" x14ac:dyDescent="0.2">
      <c r="B712" t="str" cm="1">
        <f t="array" ref="B712">IF(A712="","",_xlfn.CHOOSECOLS('Prematch Backend 2A'!712:712,_xlfn.MAKEARRAY(1,A712-2,_xlfn.LAMBDA(_xlpm.r,_xlpm.c,_xlpm.c))))</f>
        <v/>
      </c>
    </row>
    <row r="713" spans="2:2" x14ac:dyDescent="0.2">
      <c r="B713" t="str" cm="1">
        <f t="array" ref="B713">IF(A713="","",_xlfn.CHOOSECOLS('Prematch Backend 2A'!713:713,_xlfn.MAKEARRAY(1,A713-2,_xlfn.LAMBDA(_xlpm.r,_xlpm.c,_xlpm.c))))</f>
        <v/>
      </c>
    </row>
    <row r="714" spans="2:2" x14ac:dyDescent="0.2">
      <c r="B714" t="str" cm="1">
        <f t="array" ref="B714">IF(A714="","",_xlfn.CHOOSECOLS('Prematch Backend 2A'!714:714,_xlfn.MAKEARRAY(1,A714-2,_xlfn.LAMBDA(_xlpm.r,_xlpm.c,_xlpm.c))))</f>
        <v/>
      </c>
    </row>
    <row r="715" spans="2:2" x14ac:dyDescent="0.2">
      <c r="B715" t="str" cm="1">
        <f t="array" ref="B715">IF(A715="","",_xlfn.CHOOSECOLS('Prematch Backend 2A'!715:715,_xlfn.MAKEARRAY(1,A715-2,_xlfn.LAMBDA(_xlpm.r,_xlpm.c,_xlpm.c))))</f>
        <v/>
      </c>
    </row>
    <row r="716" spans="2:2" x14ac:dyDescent="0.2">
      <c r="B716" t="str" cm="1">
        <f t="array" ref="B716">IF(A716="","",_xlfn.CHOOSECOLS('Prematch Backend 2A'!716:716,_xlfn.MAKEARRAY(1,A716-2,_xlfn.LAMBDA(_xlpm.r,_xlpm.c,_xlpm.c))))</f>
        <v/>
      </c>
    </row>
    <row r="717" spans="2:2" x14ac:dyDescent="0.2">
      <c r="B717" t="str" cm="1">
        <f t="array" ref="B717">IF(A717="","",_xlfn.CHOOSECOLS('Prematch Backend 2A'!717:717,_xlfn.MAKEARRAY(1,A717-2,_xlfn.LAMBDA(_xlpm.r,_xlpm.c,_xlpm.c))))</f>
        <v/>
      </c>
    </row>
    <row r="718" spans="2:2" x14ac:dyDescent="0.2">
      <c r="B718" t="str" cm="1">
        <f t="array" ref="B718">IF(A718="","",_xlfn.CHOOSECOLS('Prematch Backend 2A'!718:718,_xlfn.MAKEARRAY(1,A718-2,_xlfn.LAMBDA(_xlpm.r,_xlpm.c,_xlpm.c))))</f>
        <v/>
      </c>
    </row>
    <row r="719" spans="2:2" x14ac:dyDescent="0.2">
      <c r="B719" t="str" cm="1">
        <f t="array" ref="B719">IF(A719="","",_xlfn.CHOOSECOLS('Prematch Backend 2A'!719:719,_xlfn.MAKEARRAY(1,A719-2,_xlfn.LAMBDA(_xlpm.r,_xlpm.c,_xlpm.c))))</f>
        <v/>
      </c>
    </row>
    <row r="720" spans="2:2" x14ac:dyDescent="0.2">
      <c r="B720" t="str" cm="1">
        <f t="array" ref="B720">IF(A720="","",_xlfn.CHOOSECOLS('Prematch Backend 2A'!720:720,_xlfn.MAKEARRAY(1,A720-2,_xlfn.LAMBDA(_xlpm.r,_xlpm.c,_xlpm.c))))</f>
        <v/>
      </c>
    </row>
    <row r="721" spans="2:2" x14ac:dyDescent="0.2">
      <c r="B721" t="str" cm="1">
        <f t="array" ref="B721">IF(A721="","",_xlfn.CHOOSECOLS('Prematch Backend 2A'!721:721,_xlfn.MAKEARRAY(1,A721-2,_xlfn.LAMBDA(_xlpm.r,_xlpm.c,_xlpm.c))))</f>
        <v/>
      </c>
    </row>
    <row r="722" spans="2:2" x14ac:dyDescent="0.2">
      <c r="B722" t="str" cm="1">
        <f t="array" ref="B722">IF(A722="","",_xlfn.CHOOSECOLS('Prematch Backend 2A'!722:722,_xlfn.MAKEARRAY(1,A722-2,_xlfn.LAMBDA(_xlpm.r,_xlpm.c,_xlpm.c))))</f>
        <v/>
      </c>
    </row>
    <row r="723" spans="2:2" x14ac:dyDescent="0.2">
      <c r="B723" t="str" cm="1">
        <f t="array" ref="B723">IF(A723="","",_xlfn.CHOOSECOLS('Prematch Backend 2A'!723:723,_xlfn.MAKEARRAY(1,A723-2,_xlfn.LAMBDA(_xlpm.r,_xlpm.c,_xlpm.c))))</f>
        <v/>
      </c>
    </row>
    <row r="724" spans="2:2" x14ac:dyDescent="0.2">
      <c r="B724" t="str" cm="1">
        <f t="array" ref="B724">IF(A724="","",_xlfn.CHOOSECOLS('Prematch Backend 2A'!724:724,_xlfn.MAKEARRAY(1,A724-2,_xlfn.LAMBDA(_xlpm.r,_xlpm.c,_xlpm.c))))</f>
        <v/>
      </c>
    </row>
    <row r="725" spans="2:2" x14ac:dyDescent="0.2">
      <c r="B725" t="str" cm="1">
        <f t="array" ref="B725">IF(A725="","",_xlfn.CHOOSECOLS('Prematch Backend 2A'!725:725,_xlfn.MAKEARRAY(1,A725-2,_xlfn.LAMBDA(_xlpm.r,_xlpm.c,_xlpm.c))))</f>
        <v/>
      </c>
    </row>
    <row r="726" spans="2:2" x14ac:dyDescent="0.2">
      <c r="B726" t="str" cm="1">
        <f t="array" ref="B726">IF(A726="","",_xlfn.CHOOSECOLS('Prematch Backend 2A'!726:726,_xlfn.MAKEARRAY(1,A726-2,_xlfn.LAMBDA(_xlpm.r,_xlpm.c,_xlpm.c))))</f>
        <v/>
      </c>
    </row>
    <row r="727" spans="2:2" x14ac:dyDescent="0.2">
      <c r="B727" t="str" cm="1">
        <f t="array" ref="B727">IF(A727="","",_xlfn.CHOOSECOLS('Prematch Backend 2A'!727:727,_xlfn.MAKEARRAY(1,A727-2,_xlfn.LAMBDA(_xlpm.r,_xlpm.c,_xlpm.c))))</f>
        <v/>
      </c>
    </row>
    <row r="728" spans="2:2" x14ac:dyDescent="0.2">
      <c r="B728" t="str" cm="1">
        <f t="array" ref="B728">IF(A728="","",_xlfn.CHOOSECOLS('Prematch Backend 2A'!728:728,_xlfn.MAKEARRAY(1,A728-2,_xlfn.LAMBDA(_xlpm.r,_xlpm.c,_xlpm.c))))</f>
        <v/>
      </c>
    </row>
    <row r="729" spans="2:2" x14ac:dyDescent="0.2">
      <c r="B729" t="str" cm="1">
        <f t="array" ref="B729">IF(A729="","",_xlfn.CHOOSECOLS('Prematch Backend 2A'!729:729,_xlfn.MAKEARRAY(1,A729-2,_xlfn.LAMBDA(_xlpm.r,_xlpm.c,_xlpm.c))))</f>
        <v/>
      </c>
    </row>
    <row r="730" spans="2:2" x14ac:dyDescent="0.2">
      <c r="B730" t="str" cm="1">
        <f t="array" ref="B730">IF(A730="","",_xlfn.CHOOSECOLS('Prematch Backend 2A'!730:730,_xlfn.MAKEARRAY(1,A730-2,_xlfn.LAMBDA(_xlpm.r,_xlpm.c,_xlpm.c))))</f>
        <v/>
      </c>
    </row>
    <row r="731" spans="2:2" x14ac:dyDescent="0.2">
      <c r="B731" t="str" cm="1">
        <f t="array" ref="B731">IF(A731="","",_xlfn.CHOOSECOLS('Prematch Backend 2A'!731:731,_xlfn.MAKEARRAY(1,A731-2,_xlfn.LAMBDA(_xlpm.r,_xlpm.c,_xlpm.c))))</f>
        <v/>
      </c>
    </row>
    <row r="732" spans="2:2" x14ac:dyDescent="0.2">
      <c r="B732" t="str" cm="1">
        <f t="array" ref="B732">IF(A732="","",_xlfn.CHOOSECOLS('Prematch Backend 2A'!732:732,_xlfn.MAKEARRAY(1,A732-2,_xlfn.LAMBDA(_xlpm.r,_xlpm.c,_xlpm.c))))</f>
        <v/>
      </c>
    </row>
    <row r="733" spans="2:2" x14ac:dyDescent="0.2">
      <c r="B733" t="str" cm="1">
        <f t="array" ref="B733">IF(A733="","",_xlfn.CHOOSECOLS('Prematch Backend 2A'!733:733,_xlfn.MAKEARRAY(1,A733-2,_xlfn.LAMBDA(_xlpm.r,_xlpm.c,_xlpm.c))))</f>
        <v/>
      </c>
    </row>
    <row r="734" spans="2:2" x14ac:dyDescent="0.2">
      <c r="B734" t="str" cm="1">
        <f t="array" ref="B734">IF(A734="","",_xlfn.CHOOSECOLS('Prematch Backend 2A'!734:734,_xlfn.MAKEARRAY(1,A734-2,_xlfn.LAMBDA(_xlpm.r,_xlpm.c,_xlpm.c))))</f>
        <v/>
      </c>
    </row>
    <row r="735" spans="2:2" x14ac:dyDescent="0.2">
      <c r="B735" t="str" cm="1">
        <f t="array" ref="B735">IF(A735="","",_xlfn.CHOOSECOLS('Prematch Backend 2A'!735:735,_xlfn.MAKEARRAY(1,A735-2,_xlfn.LAMBDA(_xlpm.r,_xlpm.c,_xlpm.c))))</f>
        <v/>
      </c>
    </row>
    <row r="736" spans="2:2" x14ac:dyDescent="0.2">
      <c r="B736" t="str" cm="1">
        <f t="array" ref="B736">IF(A736="","",_xlfn.CHOOSECOLS('Prematch Backend 2A'!736:736,_xlfn.MAKEARRAY(1,A736-2,_xlfn.LAMBDA(_xlpm.r,_xlpm.c,_xlpm.c))))</f>
        <v/>
      </c>
    </row>
    <row r="737" spans="2:2" x14ac:dyDescent="0.2">
      <c r="B737" t="str" cm="1">
        <f t="array" ref="B737">IF(A737="","",_xlfn.CHOOSECOLS('Prematch Backend 2A'!737:737,_xlfn.MAKEARRAY(1,A737-2,_xlfn.LAMBDA(_xlpm.r,_xlpm.c,_xlpm.c))))</f>
        <v/>
      </c>
    </row>
    <row r="738" spans="2:2" x14ac:dyDescent="0.2">
      <c r="B738" t="str" cm="1">
        <f t="array" ref="B738">IF(A738="","",_xlfn.CHOOSECOLS('Prematch Backend 2A'!738:738,_xlfn.MAKEARRAY(1,A738-2,_xlfn.LAMBDA(_xlpm.r,_xlpm.c,_xlpm.c))))</f>
        <v/>
      </c>
    </row>
    <row r="739" spans="2:2" x14ac:dyDescent="0.2">
      <c r="B739" t="str" cm="1">
        <f t="array" ref="B739">IF(A739="","",_xlfn.CHOOSECOLS('Prematch Backend 2A'!739:739,_xlfn.MAKEARRAY(1,A739-2,_xlfn.LAMBDA(_xlpm.r,_xlpm.c,_xlpm.c))))</f>
        <v/>
      </c>
    </row>
    <row r="740" spans="2:2" x14ac:dyDescent="0.2">
      <c r="B740" t="str" cm="1">
        <f t="array" ref="B740">IF(A740="","",_xlfn.CHOOSECOLS('Prematch Backend 2A'!740:740,_xlfn.MAKEARRAY(1,A740-2,_xlfn.LAMBDA(_xlpm.r,_xlpm.c,_xlpm.c))))</f>
        <v/>
      </c>
    </row>
    <row r="741" spans="2:2" x14ac:dyDescent="0.2">
      <c r="B741" t="str" cm="1">
        <f t="array" ref="B741">IF(A741="","",_xlfn.CHOOSECOLS('Prematch Backend 2A'!741:741,_xlfn.MAKEARRAY(1,A741-2,_xlfn.LAMBDA(_xlpm.r,_xlpm.c,_xlpm.c))))</f>
        <v/>
      </c>
    </row>
    <row r="742" spans="2:2" x14ac:dyDescent="0.2">
      <c r="B742" t="str" cm="1">
        <f t="array" ref="B742">IF(A742="","",_xlfn.CHOOSECOLS('Prematch Backend 2A'!742:742,_xlfn.MAKEARRAY(1,A742-2,_xlfn.LAMBDA(_xlpm.r,_xlpm.c,_xlpm.c))))</f>
        <v/>
      </c>
    </row>
    <row r="743" spans="2:2" x14ac:dyDescent="0.2">
      <c r="B743" t="str" cm="1">
        <f t="array" ref="B743">IF(A743="","",_xlfn.CHOOSECOLS('Prematch Backend 2A'!743:743,_xlfn.MAKEARRAY(1,A743-2,_xlfn.LAMBDA(_xlpm.r,_xlpm.c,_xlpm.c))))</f>
        <v/>
      </c>
    </row>
    <row r="744" spans="2:2" x14ac:dyDescent="0.2">
      <c r="B744" t="str" cm="1">
        <f t="array" ref="B744">IF(A744="","",_xlfn.CHOOSECOLS('Prematch Backend 2A'!744:744,_xlfn.MAKEARRAY(1,A744-2,_xlfn.LAMBDA(_xlpm.r,_xlpm.c,_xlpm.c))))</f>
        <v/>
      </c>
    </row>
    <row r="745" spans="2:2" x14ac:dyDescent="0.2">
      <c r="B745" t="str" cm="1">
        <f t="array" ref="B745">IF(A745="","",_xlfn.CHOOSECOLS('Prematch Backend 2A'!745:745,_xlfn.MAKEARRAY(1,A745-2,_xlfn.LAMBDA(_xlpm.r,_xlpm.c,_xlpm.c))))</f>
        <v/>
      </c>
    </row>
    <row r="746" spans="2:2" x14ac:dyDescent="0.2">
      <c r="B746" t="str" cm="1">
        <f t="array" ref="B746">IF(A746="","",_xlfn.CHOOSECOLS('Prematch Backend 2A'!746:746,_xlfn.MAKEARRAY(1,A746-2,_xlfn.LAMBDA(_xlpm.r,_xlpm.c,_xlpm.c))))</f>
        <v/>
      </c>
    </row>
    <row r="747" spans="2:2" x14ac:dyDescent="0.2">
      <c r="B747" t="str" cm="1">
        <f t="array" ref="B747">IF(A747="","",_xlfn.CHOOSECOLS('Prematch Backend 2A'!747:747,_xlfn.MAKEARRAY(1,A747-2,_xlfn.LAMBDA(_xlpm.r,_xlpm.c,_xlpm.c))))</f>
        <v/>
      </c>
    </row>
    <row r="748" spans="2:2" x14ac:dyDescent="0.2">
      <c r="B748" t="str" cm="1">
        <f t="array" ref="B748">IF(A748="","",_xlfn.CHOOSECOLS('Prematch Backend 2A'!748:748,_xlfn.MAKEARRAY(1,A748-2,_xlfn.LAMBDA(_xlpm.r,_xlpm.c,_xlpm.c))))</f>
        <v/>
      </c>
    </row>
    <row r="749" spans="2:2" x14ac:dyDescent="0.2">
      <c r="B749" t="str" cm="1">
        <f t="array" ref="B749">IF(A749="","",_xlfn.CHOOSECOLS('Prematch Backend 2A'!749:749,_xlfn.MAKEARRAY(1,A749-2,_xlfn.LAMBDA(_xlpm.r,_xlpm.c,_xlpm.c))))</f>
        <v/>
      </c>
    </row>
    <row r="750" spans="2:2" x14ac:dyDescent="0.2">
      <c r="B750" t="str" cm="1">
        <f t="array" ref="B750">IF(A750="","",_xlfn.CHOOSECOLS('Prematch Backend 2A'!750:750,_xlfn.MAKEARRAY(1,A750-2,_xlfn.LAMBDA(_xlpm.r,_xlpm.c,_xlpm.c))))</f>
        <v/>
      </c>
    </row>
    <row r="751" spans="2:2" x14ac:dyDescent="0.2">
      <c r="B751" t="str" cm="1">
        <f t="array" ref="B751">IF(A751="","",_xlfn.CHOOSECOLS('Prematch Backend 2A'!751:751,_xlfn.MAKEARRAY(1,A751-2,_xlfn.LAMBDA(_xlpm.r,_xlpm.c,_xlpm.c))))</f>
        <v/>
      </c>
    </row>
    <row r="752" spans="2:2" x14ac:dyDescent="0.2">
      <c r="B752" t="str" cm="1">
        <f t="array" ref="B752">IF(A752="","",_xlfn.CHOOSECOLS('Prematch Backend 2A'!752:752,_xlfn.MAKEARRAY(1,A752-2,_xlfn.LAMBDA(_xlpm.r,_xlpm.c,_xlpm.c))))</f>
        <v/>
      </c>
    </row>
    <row r="753" spans="2:2" x14ac:dyDescent="0.2">
      <c r="B753" t="str" cm="1">
        <f t="array" ref="B753">IF(A753="","",_xlfn.CHOOSECOLS('Prematch Backend 2A'!753:753,_xlfn.MAKEARRAY(1,A753-2,_xlfn.LAMBDA(_xlpm.r,_xlpm.c,_xlpm.c))))</f>
        <v/>
      </c>
    </row>
    <row r="754" spans="2:2" x14ac:dyDescent="0.2">
      <c r="B754" t="str" cm="1">
        <f t="array" ref="B754">IF(A754="","",_xlfn.CHOOSECOLS('Prematch Backend 2A'!754:754,_xlfn.MAKEARRAY(1,A754-2,_xlfn.LAMBDA(_xlpm.r,_xlpm.c,_xlpm.c))))</f>
        <v/>
      </c>
    </row>
    <row r="755" spans="2:2" x14ac:dyDescent="0.2">
      <c r="B755" t="str" cm="1">
        <f t="array" ref="B755">IF(A755="","",_xlfn.CHOOSECOLS('Prematch Backend 2A'!755:755,_xlfn.MAKEARRAY(1,A755-2,_xlfn.LAMBDA(_xlpm.r,_xlpm.c,_xlpm.c))))</f>
        <v/>
      </c>
    </row>
    <row r="756" spans="2:2" x14ac:dyDescent="0.2">
      <c r="B756" t="str" cm="1">
        <f t="array" ref="B756">IF(A756="","",_xlfn.CHOOSECOLS('Prematch Backend 2A'!756:756,_xlfn.MAKEARRAY(1,A756-2,_xlfn.LAMBDA(_xlpm.r,_xlpm.c,_xlpm.c))))</f>
        <v/>
      </c>
    </row>
    <row r="757" spans="2:2" x14ac:dyDescent="0.2">
      <c r="B757" t="str" cm="1">
        <f t="array" ref="B757">IF(A757="","",_xlfn.CHOOSECOLS('Prematch Backend 2A'!757:757,_xlfn.MAKEARRAY(1,A757-2,_xlfn.LAMBDA(_xlpm.r,_xlpm.c,_xlpm.c))))</f>
        <v/>
      </c>
    </row>
    <row r="758" spans="2:2" x14ac:dyDescent="0.2">
      <c r="B758" t="str" cm="1">
        <f t="array" ref="B758">IF(A758="","",_xlfn.CHOOSECOLS('Prematch Backend 2A'!758:758,_xlfn.MAKEARRAY(1,A758-2,_xlfn.LAMBDA(_xlpm.r,_xlpm.c,_xlpm.c))))</f>
        <v/>
      </c>
    </row>
    <row r="759" spans="2:2" x14ac:dyDescent="0.2">
      <c r="B759" t="str" cm="1">
        <f t="array" ref="B759">IF(A759="","",_xlfn.CHOOSECOLS('Prematch Backend 2A'!759:759,_xlfn.MAKEARRAY(1,A759-2,_xlfn.LAMBDA(_xlpm.r,_xlpm.c,_xlpm.c))))</f>
        <v/>
      </c>
    </row>
    <row r="760" spans="2:2" x14ac:dyDescent="0.2">
      <c r="B760" t="str" cm="1">
        <f t="array" ref="B760">IF(A760="","",_xlfn.CHOOSECOLS('Prematch Backend 2A'!760:760,_xlfn.MAKEARRAY(1,A760-2,_xlfn.LAMBDA(_xlpm.r,_xlpm.c,_xlpm.c))))</f>
        <v/>
      </c>
    </row>
    <row r="761" spans="2:2" x14ac:dyDescent="0.2">
      <c r="B761" t="str" cm="1">
        <f t="array" ref="B761">IF(A761="","",_xlfn.CHOOSECOLS('Prematch Backend 2A'!761:761,_xlfn.MAKEARRAY(1,A761-2,_xlfn.LAMBDA(_xlpm.r,_xlpm.c,_xlpm.c))))</f>
        <v/>
      </c>
    </row>
    <row r="762" spans="2:2" x14ac:dyDescent="0.2">
      <c r="B762" t="str" cm="1">
        <f t="array" ref="B762">IF(A762="","",_xlfn.CHOOSECOLS('Prematch Backend 2A'!762:762,_xlfn.MAKEARRAY(1,A762-2,_xlfn.LAMBDA(_xlpm.r,_xlpm.c,_xlpm.c))))</f>
        <v/>
      </c>
    </row>
    <row r="763" spans="2:2" x14ac:dyDescent="0.2">
      <c r="B763" t="str" cm="1">
        <f t="array" ref="B763">IF(A763="","",_xlfn.CHOOSECOLS('Prematch Backend 2A'!763:763,_xlfn.MAKEARRAY(1,A763-2,_xlfn.LAMBDA(_xlpm.r,_xlpm.c,_xlpm.c))))</f>
        <v/>
      </c>
    </row>
    <row r="764" spans="2:2" x14ac:dyDescent="0.2">
      <c r="B764" t="str" cm="1">
        <f t="array" ref="B764">IF(A764="","",_xlfn.CHOOSECOLS('Prematch Backend 2A'!764:764,_xlfn.MAKEARRAY(1,A764-2,_xlfn.LAMBDA(_xlpm.r,_xlpm.c,_xlpm.c))))</f>
        <v/>
      </c>
    </row>
    <row r="765" spans="2:2" x14ac:dyDescent="0.2">
      <c r="B765" t="str" cm="1">
        <f t="array" ref="B765">IF(A765="","",_xlfn.CHOOSECOLS('Prematch Backend 2A'!765:765,_xlfn.MAKEARRAY(1,A765-2,_xlfn.LAMBDA(_xlpm.r,_xlpm.c,_xlpm.c))))</f>
        <v/>
      </c>
    </row>
    <row r="766" spans="2:2" x14ac:dyDescent="0.2">
      <c r="B766" t="str" cm="1">
        <f t="array" ref="B766">IF(A766="","",_xlfn.CHOOSECOLS('Prematch Backend 2A'!766:766,_xlfn.MAKEARRAY(1,A766-2,_xlfn.LAMBDA(_xlpm.r,_xlpm.c,_xlpm.c))))</f>
        <v/>
      </c>
    </row>
    <row r="767" spans="2:2" x14ac:dyDescent="0.2">
      <c r="B767" t="str" cm="1">
        <f t="array" ref="B767">IF(A767="","",_xlfn.CHOOSECOLS('Prematch Backend 2A'!767:767,_xlfn.MAKEARRAY(1,A767-2,_xlfn.LAMBDA(_xlpm.r,_xlpm.c,_xlpm.c))))</f>
        <v/>
      </c>
    </row>
    <row r="768" spans="2:2" x14ac:dyDescent="0.2">
      <c r="B768" t="str" cm="1">
        <f t="array" ref="B768">IF(A768="","",_xlfn.CHOOSECOLS('Prematch Backend 2A'!768:768,_xlfn.MAKEARRAY(1,A768-2,_xlfn.LAMBDA(_xlpm.r,_xlpm.c,_xlpm.c))))</f>
        <v/>
      </c>
    </row>
    <row r="769" spans="2:2" x14ac:dyDescent="0.2">
      <c r="B769" t="str" cm="1">
        <f t="array" ref="B769">IF(A769="","",_xlfn.CHOOSECOLS('Prematch Backend 2A'!769:769,_xlfn.MAKEARRAY(1,A769-2,_xlfn.LAMBDA(_xlpm.r,_xlpm.c,_xlpm.c))))</f>
        <v/>
      </c>
    </row>
    <row r="770" spans="2:2" x14ac:dyDescent="0.2">
      <c r="B770" t="str" cm="1">
        <f t="array" ref="B770">IF(A770="","",_xlfn.CHOOSECOLS('Prematch Backend 2A'!770:770,_xlfn.MAKEARRAY(1,A770-2,_xlfn.LAMBDA(_xlpm.r,_xlpm.c,_xlpm.c))))</f>
        <v/>
      </c>
    </row>
    <row r="771" spans="2:2" x14ac:dyDescent="0.2">
      <c r="B771" t="str" cm="1">
        <f t="array" ref="B771">IF(A771="","",_xlfn.CHOOSECOLS('Prematch Backend 2A'!771:771,_xlfn.MAKEARRAY(1,A771-2,_xlfn.LAMBDA(_xlpm.r,_xlpm.c,_xlpm.c))))</f>
        <v/>
      </c>
    </row>
    <row r="772" spans="2:2" x14ac:dyDescent="0.2">
      <c r="B772" t="str" cm="1">
        <f t="array" ref="B772">IF(A772="","",_xlfn.CHOOSECOLS('Prematch Backend 2A'!772:772,_xlfn.MAKEARRAY(1,A772-2,_xlfn.LAMBDA(_xlpm.r,_xlpm.c,_xlpm.c))))</f>
        <v/>
      </c>
    </row>
    <row r="773" spans="2:2" x14ac:dyDescent="0.2">
      <c r="B773" t="str" cm="1">
        <f t="array" ref="B773">IF(A773="","",_xlfn.CHOOSECOLS('Prematch Backend 2A'!773:773,_xlfn.MAKEARRAY(1,A773-2,_xlfn.LAMBDA(_xlpm.r,_xlpm.c,_xlpm.c))))</f>
        <v/>
      </c>
    </row>
    <row r="774" spans="2:2" x14ac:dyDescent="0.2">
      <c r="B774" t="str" cm="1">
        <f t="array" ref="B774">IF(A774="","",_xlfn.CHOOSECOLS('Prematch Backend 2A'!774:774,_xlfn.MAKEARRAY(1,A774-2,_xlfn.LAMBDA(_xlpm.r,_xlpm.c,_xlpm.c))))</f>
        <v/>
      </c>
    </row>
    <row r="775" spans="2:2" x14ac:dyDescent="0.2">
      <c r="B775" t="str" cm="1">
        <f t="array" ref="B775">IF(A775="","",_xlfn.CHOOSECOLS('Prematch Backend 2A'!775:775,_xlfn.MAKEARRAY(1,A775-2,_xlfn.LAMBDA(_xlpm.r,_xlpm.c,_xlpm.c))))</f>
        <v/>
      </c>
    </row>
    <row r="776" spans="2:2" x14ac:dyDescent="0.2">
      <c r="B776" t="str" cm="1">
        <f t="array" ref="B776">IF(A776="","",_xlfn.CHOOSECOLS('Prematch Backend 2A'!776:776,_xlfn.MAKEARRAY(1,A776-2,_xlfn.LAMBDA(_xlpm.r,_xlpm.c,_xlpm.c))))</f>
        <v/>
      </c>
    </row>
    <row r="777" spans="2:2" x14ac:dyDescent="0.2">
      <c r="B777" t="str" cm="1">
        <f t="array" ref="B777">IF(A777="","",_xlfn.CHOOSECOLS('Prematch Backend 2A'!777:777,_xlfn.MAKEARRAY(1,A777-2,_xlfn.LAMBDA(_xlpm.r,_xlpm.c,_xlpm.c))))</f>
        <v/>
      </c>
    </row>
    <row r="778" spans="2:2" x14ac:dyDescent="0.2">
      <c r="B778" t="str" cm="1">
        <f t="array" ref="B778">IF(A778="","",_xlfn.CHOOSECOLS('Prematch Backend 2A'!778:778,_xlfn.MAKEARRAY(1,A778-2,_xlfn.LAMBDA(_xlpm.r,_xlpm.c,_xlpm.c))))</f>
        <v/>
      </c>
    </row>
    <row r="779" spans="2:2" x14ac:dyDescent="0.2">
      <c r="B779" t="str" cm="1">
        <f t="array" ref="B779">IF(A779="","",_xlfn.CHOOSECOLS('Prematch Backend 2A'!779:779,_xlfn.MAKEARRAY(1,A779-2,_xlfn.LAMBDA(_xlpm.r,_xlpm.c,_xlpm.c))))</f>
        <v/>
      </c>
    </row>
    <row r="780" spans="2:2" x14ac:dyDescent="0.2">
      <c r="B780" t="str" cm="1">
        <f t="array" ref="B780">IF(A780="","",_xlfn.CHOOSECOLS('Prematch Backend 2A'!780:780,_xlfn.MAKEARRAY(1,A780-2,_xlfn.LAMBDA(_xlpm.r,_xlpm.c,_xlpm.c))))</f>
        <v/>
      </c>
    </row>
    <row r="781" spans="2:2" x14ac:dyDescent="0.2">
      <c r="B781" t="str" cm="1">
        <f t="array" ref="B781">IF(A781="","",_xlfn.CHOOSECOLS('Prematch Backend 2A'!781:781,_xlfn.MAKEARRAY(1,A781-2,_xlfn.LAMBDA(_xlpm.r,_xlpm.c,_xlpm.c))))</f>
        <v/>
      </c>
    </row>
    <row r="782" spans="2:2" x14ac:dyDescent="0.2">
      <c r="B782" t="str" cm="1">
        <f t="array" ref="B782">IF(A782="","",_xlfn.CHOOSECOLS('Prematch Backend 2A'!782:782,_xlfn.MAKEARRAY(1,A782-2,_xlfn.LAMBDA(_xlpm.r,_xlpm.c,_xlpm.c))))</f>
        <v/>
      </c>
    </row>
    <row r="783" spans="2:2" x14ac:dyDescent="0.2">
      <c r="B783" t="str" cm="1">
        <f t="array" ref="B783">IF(A783="","",_xlfn.CHOOSECOLS('Prematch Backend 2A'!783:783,_xlfn.MAKEARRAY(1,A783-2,_xlfn.LAMBDA(_xlpm.r,_xlpm.c,_xlpm.c))))</f>
        <v/>
      </c>
    </row>
    <row r="784" spans="2:2" x14ac:dyDescent="0.2">
      <c r="B784" t="str" cm="1">
        <f t="array" ref="B784">IF(A784="","",_xlfn.CHOOSECOLS('Prematch Backend 2A'!784:784,_xlfn.MAKEARRAY(1,A784-2,_xlfn.LAMBDA(_xlpm.r,_xlpm.c,_xlpm.c))))</f>
        <v/>
      </c>
    </row>
    <row r="785" spans="2:2" x14ac:dyDescent="0.2">
      <c r="B785" t="str" cm="1">
        <f t="array" ref="B785">IF(A785="","",_xlfn.CHOOSECOLS('Prematch Backend 2A'!785:785,_xlfn.MAKEARRAY(1,A785-2,_xlfn.LAMBDA(_xlpm.r,_xlpm.c,_xlpm.c))))</f>
        <v/>
      </c>
    </row>
    <row r="786" spans="2:2" x14ac:dyDescent="0.2">
      <c r="B786" t="str" cm="1">
        <f t="array" ref="B786">IF(A786="","",_xlfn.CHOOSECOLS('Prematch Backend 2A'!786:786,_xlfn.MAKEARRAY(1,A786-2,_xlfn.LAMBDA(_xlpm.r,_xlpm.c,_xlpm.c))))</f>
        <v/>
      </c>
    </row>
    <row r="787" spans="2:2" x14ac:dyDescent="0.2">
      <c r="B787" t="str" cm="1">
        <f t="array" ref="B787">IF(A787="","",_xlfn.CHOOSECOLS('Prematch Backend 2A'!787:787,_xlfn.MAKEARRAY(1,A787-2,_xlfn.LAMBDA(_xlpm.r,_xlpm.c,_xlpm.c))))</f>
        <v/>
      </c>
    </row>
    <row r="788" spans="2:2" x14ac:dyDescent="0.2">
      <c r="B788" t="str" cm="1">
        <f t="array" ref="B788">IF(A788="","",_xlfn.CHOOSECOLS('Prematch Backend 2A'!788:788,_xlfn.MAKEARRAY(1,A788-2,_xlfn.LAMBDA(_xlpm.r,_xlpm.c,_xlpm.c))))</f>
        <v/>
      </c>
    </row>
    <row r="789" spans="2:2" x14ac:dyDescent="0.2">
      <c r="B789" t="str" cm="1">
        <f t="array" ref="B789">IF(A789="","",_xlfn.CHOOSECOLS('Prematch Backend 2A'!789:789,_xlfn.MAKEARRAY(1,A789-2,_xlfn.LAMBDA(_xlpm.r,_xlpm.c,_xlpm.c))))</f>
        <v/>
      </c>
    </row>
    <row r="790" spans="2:2" x14ac:dyDescent="0.2">
      <c r="B790" t="str" cm="1">
        <f t="array" ref="B790">IF(A790="","",_xlfn.CHOOSECOLS('Prematch Backend 2A'!790:790,_xlfn.MAKEARRAY(1,A790-2,_xlfn.LAMBDA(_xlpm.r,_xlpm.c,_xlpm.c))))</f>
        <v/>
      </c>
    </row>
    <row r="791" spans="2:2" x14ac:dyDescent="0.2">
      <c r="B791" t="str" cm="1">
        <f t="array" ref="B791">IF(A791="","",_xlfn.CHOOSECOLS('Prematch Backend 2A'!791:791,_xlfn.MAKEARRAY(1,A791-2,_xlfn.LAMBDA(_xlpm.r,_xlpm.c,_xlpm.c))))</f>
        <v/>
      </c>
    </row>
    <row r="792" spans="2:2" x14ac:dyDescent="0.2">
      <c r="B792" t="str" cm="1">
        <f t="array" ref="B792">IF(A792="","",_xlfn.CHOOSECOLS('Prematch Backend 2A'!792:792,_xlfn.MAKEARRAY(1,A792-2,_xlfn.LAMBDA(_xlpm.r,_xlpm.c,_xlpm.c))))</f>
        <v/>
      </c>
    </row>
    <row r="793" spans="2:2" x14ac:dyDescent="0.2">
      <c r="B793" t="str" cm="1">
        <f t="array" ref="B793">IF(A793="","",_xlfn.CHOOSECOLS('Prematch Backend 2A'!793:793,_xlfn.MAKEARRAY(1,A793-2,_xlfn.LAMBDA(_xlpm.r,_xlpm.c,_xlpm.c))))</f>
        <v/>
      </c>
    </row>
    <row r="794" spans="2:2" x14ac:dyDescent="0.2">
      <c r="B794" t="str" cm="1">
        <f t="array" ref="B794">IF(A794="","",_xlfn.CHOOSECOLS('Prematch Backend 2A'!794:794,_xlfn.MAKEARRAY(1,A794-2,_xlfn.LAMBDA(_xlpm.r,_xlpm.c,_xlpm.c))))</f>
        <v/>
      </c>
    </row>
    <row r="795" spans="2:2" x14ac:dyDescent="0.2">
      <c r="B795" t="str" cm="1">
        <f t="array" ref="B795">IF(A795="","",_xlfn.CHOOSECOLS('Prematch Backend 2A'!795:795,_xlfn.MAKEARRAY(1,A795-2,_xlfn.LAMBDA(_xlpm.r,_xlpm.c,_xlpm.c))))</f>
        <v/>
      </c>
    </row>
    <row r="796" spans="2:2" x14ac:dyDescent="0.2">
      <c r="B796" t="str" cm="1">
        <f t="array" ref="B796">IF(A796="","",_xlfn.CHOOSECOLS('Prematch Backend 2A'!796:796,_xlfn.MAKEARRAY(1,A796-2,_xlfn.LAMBDA(_xlpm.r,_xlpm.c,_xlpm.c))))</f>
        <v/>
      </c>
    </row>
    <row r="797" spans="2:2" x14ac:dyDescent="0.2">
      <c r="B797" t="str" cm="1">
        <f t="array" ref="B797">IF(A797="","",_xlfn.CHOOSECOLS('Prematch Backend 2A'!797:797,_xlfn.MAKEARRAY(1,A797-2,_xlfn.LAMBDA(_xlpm.r,_xlpm.c,_xlpm.c))))</f>
        <v/>
      </c>
    </row>
    <row r="798" spans="2:2" x14ac:dyDescent="0.2">
      <c r="B798" t="str" cm="1">
        <f t="array" ref="B798">IF(A798="","",_xlfn.CHOOSECOLS('Prematch Backend 2A'!798:798,_xlfn.MAKEARRAY(1,A798-2,_xlfn.LAMBDA(_xlpm.r,_xlpm.c,_xlpm.c))))</f>
        <v/>
      </c>
    </row>
    <row r="799" spans="2:2" x14ac:dyDescent="0.2">
      <c r="B799" t="str" cm="1">
        <f t="array" ref="B799">IF(A799="","",_xlfn.CHOOSECOLS('Prematch Backend 2A'!799:799,_xlfn.MAKEARRAY(1,A799-2,_xlfn.LAMBDA(_xlpm.r,_xlpm.c,_xlpm.c))))</f>
        <v/>
      </c>
    </row>
    <row r="800" spans="2:2" x14ac:dyDescent="0.2">
      <c r="B800" t="str" cm="1">
        <f t="array" ref="B800">IF(A800="","",_xlfn.CHOOSECOLS('Prematch Backend 2A'!800:800,_xlfn.MAKEARRAY(1,A800-2,_xlfn.LAMBDA(_xlpm.r,_xlpm.c,_xlpm.c))))</f>
        <v/>
      </c>
    </row>
    <row r="801" spans="2:2" x14ac:dyDescent="0.2">
      <c r="B801" t="str" cm="1">
        <f t="array" ref="B801">IF(A801="","",_xlfn.CHOOSECOLS('Prematch Backend 2A'!801:801,_xlfn.MAKEARRAY(1,A801-2,_xlfn.LAMBDA(_xlpm.r,_xlpm.c,_xlpm.c))))</f>
        <v/>
      </c>
    </row>
    <row r="802" spans="2:2" x14ac:dyDescent="0.2">
      <c r="B802" t="str" cm="1">
        <f t="array" ref="B802">IF(A802="","",_xlfn.CHOOSECOLS('Prematch Backend 2A'!802:802,_xlfn.MAKEARRAY(1,A802-2,_xlfn.LAMBDA(_xlpm.r,_xlpm.c,_xlpm.c))))</f>
        <v/>
      </c>
    </row>
    <row r="803" spans="2:2" x14ac:dyDescent="0.2">
      <c r="B803" t="str" cm="1">
        <f t="array" ref="B803">IF(A803="","",_xlfn.CHOOSECOLS('Prematch Backend 2A'!803:803,_xlfn.MAKEARRAY(1,A803-2,_xlfn.LAMBDA(_xlpm.r,_xlpm.c,_xlpm.c))))</f>
        <v/>
      </c>
    </row>
    <row r="804" spans="2:2" x14ac:dyDescent="0.2">
      <c r="B804" t="str" cm="1">
        <f t="array" ref="B804">IF(A804="","",_xlfn.CHOOSECOLS('Prematch Backend 2A'!804:804,_xlfn.MAKEARRAY(1,A804-2,_xlfn.LAMBDA(_xlpm.r,_xlpm.c,_xlpm.c))))</f>
        <v/>
      </c>
    </row>
    <row r="805" spans="2:2" x14ac:dyDescent="0.2">
      <c r="B805" t="str" cm="1">
        <f t="array" ref="B805">IF(A805="","",_xlfn.CHOOSECOLS('Prematch Backend 2A'!805:805,_xlfn.MAKEARRAY(1,A805-2,_xlfn.LAMBDA(_xlpm.r,_xlpm.c,_xlpm.c))))</f>
        <v/>
      </c>
    </row>
    <row r="806" spans="2:2" x14ac:dyDescent="0.2">
      <c r="B806" t="str" cm="1">
        <f t="array" ref="B806">IF(A806="","",_xlfn.CHOOSECOLS('Prematch Backend 2A'!806:806,_xlfn.MAKEARRAY(1,A806-2,_xlfn.LAMBDA(_xlpm.r,_xlpm.c,_xlpm.c))))</f>
        <v/>
      </c>
    </row>
    <row r="807" spans="2:2" x14ac:dyDescent="0.2">
      <c r="B807" t="str" cm="1">
        <f t="array" ref="B807">IF(A807="","",_xlfn.CHOOSECOLS('Prematch Backend 2A'!807:807,_xlfn.MAKEARRAY(1,A807-2,_xlfn.LAMBDA(_xlpm.r,_xlpm.c,_xlpm.c))))</f>
        <v/>
      </c>
    </row>
    <row r="808" spans="2:2" x14ac:dyDescent="0.2">
      <c r="B808" t="str" cm="1">
        <f t="array" ref="B808">IF(A808="","",_xlfn.CHOOSECOLS('Prematch Backend 2A'!808:808,_xlfn.MAKEARRAY(1,A808-2,_xlfn.LAMBDA(_xlpm.r,_xlpm.c,_xlpm.c))))</f>
        <v/>
      </c>
    </row>
    <row r="809" spans="2:2" x14ac:dyDescent="0.2">
      <c r="B809" t="str" cm="1">
        <f t="array" ref="B809">IF(A809="","",_xlfn.CHOOSECOLS('Prematch Backend 2A'!809:809,_xlfn.MAKEARRAY(1,A809-2,_xlfn.LAMBDA(_xlpm.r,_xlpm.c,_xlpm.c))))</f>
        <v/>
      </c>
    </row>
    <row r="810" spans="2:2" x14ac:dyDescent="0.2">
      <c r="B810" t="str" cm="1">
        <f t="array" ref="B810">IF(A810="","",_xlfn.CHOOSECOLS('Prematch Backend 2A'!810:810,_xlfn.MAKEARRAY(1,A810-2,_xlfn.LAMBDA(_xlpm.r,_xlpm.c,_xlpm.c))))</f>
        <v/>
      </c>
    </row>
    <row r="811" spans="2:2" x14ac:dyDescent="0.2">
      <c r="B811" t="str" cm="1">
        <f t="array" ref="B811">IF(A811="","",_xlfn.CHOOSECOLS('Prematch Backend 2A'!811:811,_xlfn.MAKEARRAY(1,A811-2,_xlfn.LAMBDA(_xlpm.r,_xlpm.c,_xlpm.c))))</f>
        <v/>
      </c>
    </row>
    <row r="812" spans="2:2" x14ac:dyDescent="0.2">
      <c r="B812" t="str" cm="1">
        <f t="array" ref="B812">IF(A812="","",_xlfn.CHOOSECOLS('Prematch Backend 2A'!812:812,_xlfn.MAKEARRAY(1,A812-2,_xlfn.LAMBDA(_xlpm.r,_xlpm.c,_xlpm.c))))</f>
        <v/>
      </c>
    </row>
    <row r="813" spans="2:2" x14ac:dyDescent="0.2">
      <c r="B813" t="str" cm="1">
        <f t="array" ref="B813">IF(A813="","",_xlfn.CHOOSECOLS('Prematch Backend 2A'!813:813,_xlfn.MAKEARRAY(1,A813-2,_xlfn.LAMBDA(_xlpm.r,_xlpm.c,_xlpm.c))))</f>
        <v/>
      </c>
    </row>
    <row r="814" spans="2:2" x14ac:dyDescent="0.2">
      <c r="B814" t="str" cm="1">
        <f t="array" ref="B814">IF(A814="","",_xlfn.CHOOSECOLS('Prematch Backend 2A'!814:814,_xlfn.MAKEARRAY(1,A814-2,_xlfn.LAMBDA(_xlpm.r,_xlpm.c,_xlpm.c))))</f>
        <v/>
      </c>
    </row>
    <row r="815" spans="2:2" x14ac:dyDescent="0.2">
      <c r="B815" t="str" cm="1">
        <f t="array" ref="B815">IF(A815="","",_xlfn.CHOOSECOLS('Prematch Backend 2A'!815:815,_xlfn.MAKEARRAY(1,A815-2,_xlfn.LAMBDA(_xlpm.r,_xlpm.c,_xlpm.c))))</f>
        <v/>
      </c>
    </row>
    <row r="816" spans="2:2" x14ac:dyDescent="0.2">
      <c r="B816" t="str" cm="1">
        <f t="array" ref="B816">IF(A816="","",_xlfn.CHOOSECOLS('Prematch Backend 2A'!816:816,_xlfn.MAKEARRAY(1,A816-2,_xlfn.LAMBDA(_xlpm.r,_xlpm.c,_xlpm.c))))</f>
        <v/>
      </c>
    </row>
    <row r="817" spans="2:2" x14ac:dyDescent="0.2">
      <c r="B817" t="str" cm="1">
        <f t="array" ref="B817">IF(A817="","",_xlfn.CHOOSECOLS('Prematch Backend 2A'!817:817,_xlfn.MAKEARRAY(1,A817-2,_xlfn.LAMBDA(_xlpm.r,_xlpm.c,_xlpm.c))))</f>
        <v/>
      </c>
    </row>
    <row r="818" spans="2:2" x14ac:dyDescent="0.2">
      <c r="B818" t="str" cm="1">
        <f t="array" ref="B818">IF(A818="","",_xlfn.CHOOSECOLS('Prematch Backend 2A'!818:818,_xlfn.MAKEARRAY(1,A818-2,_xlfn.LAMBDA(_xlpm.r,_xlpm.c,_xlpm.c))))</f>
        <v/>
      </c>
    </row>
    <row r="819" spans="2:2" x14ac:dyDescent="0.2">
      <c r="B819" t="str" cm="1">
        <f t="array" ref="B819">IF(A819="","",_xlfn.CHOOSECOLS('Prematch Backend 2A'!819:819,_xlfn.MAKEARRAY(1,A819-2,_xlfn.LAMBDA(_xlpm.r,_xlpm.c,_xlpm.c))))</f>
        <v/>
      </c>
    </row>
    <row r="820" spans="2:2" x14ac:dyDescent="0.2">
      <c r="B820" t="str" cm="1">
        <f t="array" ref="B820">IF(A820="","",_xlfn.CHOOSECOLS('Prematch Backend 2A'!820:820,_xlfn.MAKEARRAY(1,A820-2,_xlfn.LAMBDA(_xlpm.r,_xlpm.c,_xlpm.c))))</f>
        <v/>
      </c>
    </row>
    <row r="821" spans="2:2" x14ac:dyDescent="0.2">
      <c r="B821" t="str" cm="1">
        <f t="array" ref="B821">IF(A821="","",_xlfn.CHOOSECOLS('Prematch Backend 2A'!821:821,_xlfn.MAKEARRAY(1,A821-2,_xlfn.LAMBDA(_xlpm.r,_xlpm.c,_xlpm.c))))</f>
        <v/>
      </c>
    </row>
    <row r="822" spans="2:2" x14ac:dyDescent="0.2">
      <c r="B822" t="str" cm="1">
        <f t="array" ref="B822">IF(A822="","",_xlfn.CHOOSECOLS('Prematch Backend 2A'!822:822,_xlfn.MAKEARRAY(1,A822-2,_xlfn.LAMBDA(_xlpm.r,_xlpm.c,_xlpm.c))))</f>
        <v/>
      </c>
    </row>
    <row r="823" spans="2:2" x14ac:dyDescent="0.2">
      <c r="B823" t="str" cm="1">
        <f t="array" ref="B823">IF(A823="","",_xlfn.CHOOSECOLS('Prematch Backend 2A'!823:823,_xlfn.MAKEARRAY(1,A823-2,_xlfn.LAMBDA(_xlpm.r,_xlpm.c,_xlpm.c))))</f>
        <v/>
      </c>
    </row>
    <row r="824" spans="2:2" x14ac:dyDescent="0.2">
      <c r="B824" t="str" cm="1">
        <f t="array" ref="B824">IF(A824="","",_xlfn.CHOOSECOLS('Prematch Backend 2A'!824:824,_xlfn.MAKEARRAY(1,A824-2,_xlfn.LAMBDA(_xlpm.r,_xlpm.c,_xlpm.c))))</f>
        <v/>
      </c>
    </row>
    <row r="825" spans="2:2" x14ac:dyDescent="0.2">
      <c r="B825" t="str" cm="1">
        <f t="array" ref="B825">IF(A825="","",_xlfn.CHOOSECOLS('Prematch Backend 2A'!825:825,_xlfn.MAKEARRAY(1,A825-2,_xlfn.LAMBDA(_xlpm.r,_xlpm.c,_xlpm.c))))</f>
        <v/>
      </c>
    </row>
    <row r="826" spans="2:2" x14ac:dyDescent="0.2">
      <c r="B826" t="str" cm="1">
        <f t="array" ref="B826">IF(A826="","",_xlfn.CHOOSECOLS('Prematch Backend 2A'!826:826,_xlfn.MAKEARRAY(1,A826-2,_xlfn.LAMBDA(_xlpm.r,_xlpm.c,_xlpm.c))))</f>
        <v/>
      </c>
    </row>
    <row r="827" spans="2:2" x14ac:dyDescent="0.2">
      <c r="B827" t="str" cm="1">
        <f t="array" ref="B827">IF(A827="","",_xlfn.CHOOSECOLS('Prematch Backend 2A'!827:827,_xlfn.MAKEARRAY(1,A827-2,_xlfn.LAMBDA(_xlpm.r,_xlpm.c,_xlpm.c))))</f>
        <v/>
      </c>
    </row>
    <row r="828" spans="2:2" x14ac:dyDescent="0.2">
      <c r="B828" t="str" cm="1">
        <f t="array" ref="B828">IF(A828="","",_xlfn.CHOOSECOLS('Prematch Backend 2A'!828:828,_xlfn.MAKEARRAY(1,A828-2,_xlfn.LAMBDA(_xlpm.r,_xlpm.c,_xlpm.c))))</f>
        <v/>
      </c>
    </row>
    <row r="829" spans="2:2" x14ac:dyDescent="0.2">
      <c r="B829" t="str" cm="1">
        <f t="array" ref="B829">IF(A829="","",_xlfn.CHOOSECOLS('Prematch Backend 2A'!829:829,_xlfn.MAKEARRAY(1,A829-2,_xlfn.LAMBDA(_xlpm.r,_xlpm.c,_xlpm.c))))</f>
        <v/>
      </c>
    </row>
    <row r="830" spans="2:2" x14ac:dyDescent="0.2">
      <c r="B830" t="str" cm="1">
        <f t="array" ref="B830">IF(A830="","",_xlfn.CHOOSECOLS('Prematch Backend 2A'!830:830,_xlfn.MAKEARRAY(1,A830-2,_xlfn.LAMBDA(_xlpm.r,_xlpm.c,_xlpm.c))))</f>
        <v/>
      </c>
    </row>
    <row r="831" spans="2:2" x14ac:dyDescent="0.2">
      <c r="B831" t="str" cm="1">
        <f t="array" ref="B831">IF(A831="","",_xlfn.CHOOSECOLS('Prematch Backend 2A'!831:831,_xlfn.MAKEARRAY(1,A831-2,_xlfn.LAMBDA(_xlpm.r,_xlpm.c,_xlpm.c))))</f>
        <v/>
      </c>
    </row>
    <row r="832" spans="2:2" x14ac:dyDescent="0.2">
      <c r="B832" t="str" cm="1">
        <f t="array" ref="B832">IF(A832="","",_xlfn.CHOOSECOLS('Prematch Backend 2A'!832:832,_xlfn.MAKEARRAY(1,A832-2,_xlfn.LAMBDA(_xlpm.r,_xlpm.c,_xlpm.c))))</f>
        <v/>
      </c>
    </row>
    <row r="833" spans="2:2" x14ac:dyDescent="0.2">
      <c r="B833" t="str" cm="1">
        <f t="array" ref="B833">IF(A833="","",_xlfn.CHOOSECOLS('Prematch Backend 2A'!833:833,_xlfn.MAKEARRAY(1,A833-2,_xlfn.LAMBDA(_xlpm.r,_xlpm.c,_xlpm.c))))</f>
        <v/>
      </c>
    </row>
    <row r="834" spans="2:2" x14ac:dyDescent="0.2">
      <c r="B834" t="str" cm="1">
        <f t="array" ref="B834">IF(A834="","",_xlfn.CHOOSECOLS('Prematch Backend 2A'!834:834,_xlfn.MAKEARRAY(1,A834-2,_xlfn.LAMBDA(_xlpm.r,_xlpm.c,_xlpm.c))))</f>
        <v/>
      </c>
    </row>
    <row r="835" spans="2:2" x14ac:dyDescent="0.2">
      <c r="B835" t="str" cm="1">
        <f t="array" ref="B835">IF(A835="","",_xlfn.CHOOSECOLS('Prematch Backend 2A'!835:835,_xlfn.MAKEARRAY(1,A835-2,_xlfn.LAMBDA(_xlpm.r,_xlpm.c,_xlpm.c))))</f>
        <v/>
      </c>
    </row>
    <row r="836" spans="2:2" x14ac:dyDescent="0.2">
      <c r="B836" t="str" cm="1">
        <f t="array" ref="B836">IF(A836="","",_xlfn.CHOOSECOLS('Prematch Backend 2A'!836:836,_xlfn.MAKEARRAY(1,A836-2,_xlfn.LAMBDA(_xlpm.r,_xlpm.c,_xlpm.c))))</f>
        <v/>
      </c>
    </row>
    <row r="837" spans="2:2" x14ac:dyDescent="0.2">
      <c r="B837" t="str" cm="1">
        <f t="array" ref="B837">IF(A837="","",_xlfn.CHOOSECOLS('Prematch Backend 2A'!837:837,_xlfn.MAKEARRAY(1,A837-2,_xlfn.LAMBDA(_xlpm.r,_xlpm.c,_xlpm.c))))</f>
        <v/>
      </c>
    </row>
    <row r="838" spans="2:2" x14ac:dyDescent="0.2">
      <c r="B838" t="str" cm="1">
        <f t="array" ref="B838">IF(A838="","",_xlfn.CHOOSECOLS('Prematch Backend 2A'!838:838,_xlfn.MAKEARRAY(1,A838-2,_xlfn.LAMBDA(_xlpm.r,_xlpm.c,_xlpm.c))))</f>
        <v/>
      </c>
    </row>
    <row r="839" spans="2:2" x14ac:dyDescent="0.2">
      <c r="B839" t="str" cm="1">
        <f t="array" ref="B839">IF(A839="","",_xlfn.CHOOSECOLS('Prematch Backend 2A'!839:839,_xlfn.MAKEARRAY(1,A839-2,_xlfn.LAMBDA(_xlpm.r,_xlpm.c,_xlpm.c))))</f>
        <v/>
      </c>
    </row>
    <row r="840" spans="2:2" x14ac:dyDescent="0.2">
      <c r="B840" t="str" cm="1">
        <f t="array" ref="B840">IF(A840="","",_xlfn.CHOOSECOLS('Prematch Backend 2A'!840:840,_xlfn.MAKEARRAY(1,A840-2,_xlfn.LAMBDA(_xlpm.r,_xlpm.c,_xlpm.c))))</f>
        <v/>
      </c>
    </row>
    <row r="841" spans="2:2" x14ac:dyDescent="0.2">
      <c r="B841" t="str" cm="1">
        <f t="array" ref="B841">IF(A841="","",_xlfn.CHOOSECOLS('Prematch Backend 2A'!841:841,_xlfn.MAKEARRAY(1,A841-2,_xlfn.LAMBDA(_xlpm.r,_xlpm.c,_xlpm.c))))</f>
        <v/>
      </c>
    </row>
    <row r="842" spans="2:2" x14ac:dyDescent="0.2">
      <c r="B842" t="str" cm="1">
        <f t="array" ref="B842">IF(A842="","",_xlfn.CHOOSECOLS('Prematch Backend 2A'!842:842,_xlfn.MAKEARRAY(1,A842-2,_xlfn.LAMBDA(_xlpm.r,_xlpm.c,_xlpm.c))))</f>
        <v/>
      </c>
    </row>
    <row r="843" spans="2:2" x14ac:dyDescent="0.2">
      <c r="B843" t="str" cm="1">
        <f t="array" ref="B843">IF(A843="","",_xlfn.CHOOSECOLS('Prematch Backend 2A'!843:843,_xlfn.MAKEARRAY(1,A843-2,_xlfn.LAMBDA(_xlpm.r,_xlpm.c,_xlpm.c))))</f>
        <v/>
      </c>
    </row>
    <row r="844" spans="2:2" x14ac:dyDescent="0.2">
      <c r="B844" t="str" cm="1">
        <f t="array" ref="B844">IF(A844="","",_xlfn.CHOOSECOLS('Prematch Backend 2A'!844:844,_xlfn.MAKEARRAY(1,A844-2,_xlfn.LAMBDA(_xlpm.r,_xlpm.c,_xlpm.c))))</f>
        <v/>
      </c>
    </row>
    <row r="845" spans="2:2" x14ac:dyDescent="0.2">
      <c r="B845" t="str" cm="1">
        <f t="array" ref="B845">IF(A845="","",_xlfn.CHOOSECOLS('Prematch Backend 2A'!845:845,_xlfn.MAKEARRAY(1,A845-2,_xlfn.LAMBDA(_xlpm.r,_xlpm.c,_xlpm.c))))</f>
        <v/>
      </c>
    </row>
    <row r="846" spans="2:2" x14ac:dyDescent="0.2">
      <c r="B846" t="str" cm="1">
        <f t="array" ref="B846">IF(A846="","",_xlfn.CHOOSECOLS('Prematch Backend 2A'!846:846,_xlfn.MAKEARRAY(1,A846-2,_xlfn.LAMBDA(_xlpm.r,_xlpm.c,_xlpm.c))))</f>
        <v/>
      </c>
    </row>
    <row r="847" spans="2:2" x14ac:dyDescent="0.2">
      <c r="B847" t="str" cm="1">
        <f t="array" ref="B847">IF(A847="","",_xlfn.CHOOSECOLS('Prematch Backend 2A'!847:847,_xlfn.MAKEARRAY(1,A847-2,_xlfn.LAMBDA(_xlpm.r,_xlpm.c,_xlpm.c))))</f>
        <v/>
      </c>
    </row>
    <row r="848" spans="2:2" x14ac:dyDescent="0.2">
      <c r="B848" t="str" cm="1">
        <f t="array" ref="B848">IF(A848="","",_xlfn.CHOOSECOLS('Prematch Backend 2A'!848:848,_xlfn.MAKEARRAY(1,A848-2,_xlfn.LAMBDA(_xlpm.r,_xlpm.c,_xlpm.c))))</f>
        <v/>
      </c>
    </row>
    <row r="849" spans="2:2" x14ac:dyDescent="0.2">
      <c r="B849" t="str" cm="1">
        <f t="array" ref="B849">IF(A849="","",_xlfn.CHOOSECOLS('Prematch Backend 2A'!849:849,_xlfn.MAKEARRAY(1,A849-2,_xlfn.LAMBDA(_xlpm.r,_xlpm.c,_xlpm.c))))</f>
        <v/>
      </c>
    </row>
    <row r="850" spans="2:2" x14ac:dyDescent="0.2">
      <c r="B850" t="str" cm="1">
        <f t="array" ref="B850">IF(A850="","",_xlfn.CHOOSECOLS('Prematch Backend 2A'!850:850,_xlfn.MAKEARRAY(1,A850-2,_xlfn.LAMBDA(_xlpm.r,_xlpm.c,_xlpm.c))))</f>
        <v/>
      </c>
    </row>
    <row r="851" spans="2:2" x14ac:dyDescent="0.2">
      <c r="B851" t="str" cm="1">
        <f t="array" ref="B851">IF(A851="","",_xlfn.CHOOSECOLS('Prematch Backend 2A'!851:851,_xlfn.MAKEARRAY(1,A851-2,_xlfn.LAMBDA(_xlpm.r,_xlpm.c,_xlpm.c))))</f>
        <v/>
      </c>
    </row>
    <row r="852" spans="2:2" x14ac:dyDescent="0.2">
      <c r="B852" t="str" cm="1">
        <f t="array" ref="B852">IF(A852="","",_xlfn.CHOOSECOLS('Prematch Backend 2A'!852:852,_xlfn.MAKEARRAY(1,A852-2,_xlfn.LAMBDA(_xlpm.r,_xlpm.c,_xlpm.c))))</f>
        <v/>
      </c>
    </row>
    <row r="853" spans="2:2" x14ac:dyDescent="0.2">
      <c r="B853" t="str" cm="1">
        <f t="array" ref="B853">IF(A853="","",_xlfn.CHOOSECOLS('Prematch Backend 2A'!853:853,_xlfn.MAKEARRAY(1,A853-2,_xlfn.LAMBDA(_xlpm.r,_xlpm.c,_xlpm.c))))</f>
        <v/>
      </c>
    </row>
    <row r="854" spans="2:2" x14ac:dyDescent="0.2">
      <c r="B854" t="str" cm="1">
        <f t="array" ref="B854">IF(A854="","",_xlfn.CHOOSECOLS('Prematch Backend 2A'!854:854,_xlfn.MAKEARRAY(1,A854-2,_xlfn.LAMBDA(_xlpm.r,_xlpm.c,_xlpm.c))))</f>
        <v/>
      </c>
    </row>
    <row r="855" spans="2:2" x14ac:dyDescent="0.2">
      <c r="B855" t="str" cm="1">
        <f t="array" ref="B855">IF(A855="","",_xlfn.CHOOSECOLS('Prematch Backend 2A'!855:855,_xlfn.MAKEARRAY(1,A855-2,_xlfn.LAMBDA(_xlpm.r,_xlpm.c,_xlpm.c))))</f>
        <v/>
      </c>
    </row>
    <row r="856" spans="2:2" x14ac:dyDescent="0.2">
      <c r="B856" t="str" cm="1">
        <f t="array" ref="B856">IF(A856="","",_xlfn.CHOOSECOLS('Prematch Backend 2A'!856:856,_xlfn.MAKEARRAY(1,A856-2,_xlfn.LAMBDA(_xlpm.r,_xlpm.c,_xlpm.c))))</f>
        <v/>
      </c>
    </row>
    <row r="857" spans="2:2" x14ac:dyDescent="0.2">
      <c r="B857" t="str" cm="1">
        <f t="array" ref="B857">IF(A857="","",_xlfn.CHOOSECOLS('Prematch Backend 2A'!857:857,_xlfn.MAKEARRAY(1,A857-2,_xlfn.LAMBDA(_xlpm.r,_xlpm.c,_xlpm.c))))</f>
        <v/>
      </c>
    </row>
    <row r="858" spans="2:2" x14ac:dyDescent="0.2">
      <c r="B858" t="str" cm="1">
        <f t="array" ref="B858">IF(A858="","",_xlfn.CHOOSECOLS('Prematch Backend 2A'!858:858,_xlfn.MAKEARRAY(1,A858-2,_xlfn.LAMBDA(_xlpm.r,_xlpm.c,_xlpm.c))))</f>
        <v/>
      </c>
    </row>
    <row r="859" spans="2:2" x14ac:dyDescent="0.2">
      <c r="B859" t="str" cm="1">
        <f t="array" ref="B859">IF(A859="","",_xlfn.CHOOSECOLS('Prematch Backend 2A'!859:859,_xlfn.MAKEARRAY(1,A859-2,_xlfn.LAMBDA(_xlpm.r,_xlpm.c,_xlpm.c))))</f>
        <v/>
      </c>
    </row>
    <row r="860" spans="2:2" x14ac:dyDescent="0.2">
      <c r="B860" t="str" cm="1">
        <f t="array" ref="B860">IF(A860="","",_xlfn.CHOOSECOLS('Prematch Backend 2A'!860:860,_xlfn.MAKEARRAY(1,A860-2,_xlfn.LAMBDA(_xlpm.r,_xlpm.c,_xlpm.c))))</f>
        <v/>
      </c>
    </row>
    <row r="861" spans="2:2" x14ac:dyDescent="0.2">
      <c r="B861" t="str" cm="1">
        <f t="array" ref="B861">IF(A861="","",_xlfn.CHOOSECOLS('Prematch Backend 2A'!861:861,_xlfn.MAKEARRAY(1,A861-2,_xlfn.LAMBDA(_xlpm.r,_xlpm.c,_xlpm.c))))</f>
        <v/>
      </c>
    </row>
    <row r="862" spans="2:2" x14ac:dyDescent="0.2">
      <c r="B862" t="str" cm="1">
        <f t="array" ref="B862">IF(A862="","",_xlfn.CHOOSECOLS('Prematch Backend 2A'!862:862,_xlfn.MAKEARRAY(1,A862-2,_xlfn.LAMBDA(_xlpm.r,_xlpm.c,_xlpm.c))))</f>
        <v/>
      </c>
    </row>
    <row r="863" spans="2:2" x14ac:dyDescent="0.2">
      <c r="B863" t="str" cm="1">
        <f t="array" ref="B863">IF(A863="","",_xlfn.CHOOSECOLS('Prematch Backend 2A'!863:863,_xlfn.MAKEARRAY(1,A863-2,_xlfn.LAMBDA(_xlpm.r,_xlpm.c,_xlpm.c))))</f>
        <v/>
      </c>
    </row>
    <row r="864" spans="2:2" x14ac:dyDescent="0.2">
      <c r="B864" t="str" cm="1">
        <f t="array" ref="B864">IF(A864="","",_xlfn.CHOOSECOLS('Prematch Backend 2A'!864:864,_xlfn.MAKEARRAY(1,A864-2,_xlfn.LAMBDA(_xlpm.r,_xlpm.c,_xlpm.c))))</f>
        <v/>
      </c>
    </row>
    <row r="865" spans="2:2" x14ac:dyDescent="0.2">
      <c r="B865" t="str" cm="1">
        <f t="array" ref="B865">IF(A865="","",_xlfn.CHOOSECOLS('Prematch Backend 2A'!865:865,_xlfn.MAKEARRAY(1,A865-2,_xlfn.LAMBDA(_xlpm.r,_xlpm.c,_xlpm.c))))</f>
        <v/>
      </c>
    </row>
    <row r="866" spans="2:2" x14ac:dyDescent="0.2">
      <c r="B866" t="str" cm="1">
        <f t="array" ref="B866">IF(A866="","",_xlfn.CHOOSECOLS('Prematch Backend 2A'!866:866,_xlfn.MAKEARRAY(1,A866-2,_xlfn.LAMBDA(_xlpm.r,_xlpm.c,_xlpm.c))))</f>
        <v/>
      </c>
    </row>
    <row r="867" spans="2:2" x14ac:dyDescent="0.2">
      <c r="B867" t="str" cm="1">
        <f t="array" ref="B867">IF(A867="","",_xlfn.CHOOSECOLS('Prematch Backend 2A'!867:867,_xlfn.MAKEARRAY(1,A867-2,_xlfn.LAMBDA(_xlpm.r,_xlpm.c,_xlpm.c))))</f>
        <v/>
      </c>
    </row>
    <row r="868" spans="2:2" x14ac:dyDescent="0.2">
      <c r="B868" t="str" cm="1">
        <f t="array" ref="B868">IF(A868="","",_xlfn.CHOOSECOLS('Prematch Backend 2A'!868:868,_xlfn.MAKEARRAY(1,A868-2,_xlfn.LAMBDA(_xlpm.r,_xlpm.c,_xlpm.c))))</f>
        <v/>
      </c>
    </row>
    <row r="869" spans="2:2" x14ac:dyDescent="0.2">
      <c r="B869" t="str" cm="1">
        <f t="array" ref="B869">IF(A869="","",_xlfn.CHOOSECOLS('Prematch Backend 2A'!869:869,_xlfn.MAKEARRAY(1,A869-2,_xlfn.LAMBDA(_xlpm.r,_xlpm.c,_xlpm.c))))</f>
        <v/>
      </c>
    </row>
    <row r="870" spans="2:2" x14ac:dyDescent="0.2">
      <c r="B870" t="str" cm="1">
        <f t="array" ref="B870">IF(A870="","",_xlfn.CHOOSECOLS('Prematch Backend 2A'!870:870,_xlfn.MAKEARRAY(1,A870-2,_xlfn.LAMBDA(_xlpm.r,_xlpm.c,_xlpm.c))))</f>
        <v/>
      </c>
    </row>
    <row r="871" spans="2:2" x14ac:dyDescent="0.2">
      <c r="B871" t="str" cm="1">
        <f t="array" ref="B871">IF(A871="","",_xlfn.CHOOSECOLS('Prematch Backend 2A'!871:871,_xlfn.MAKEARRAY(1,A871-2,_xlfn.LAMBDA(_xlpm.r,_xlpm.c,_xlpm.c))))</f>
        <v/>
      </c>
    </row>
    <row r="872" spans="2:2" x14ac:dyDescent="0.2">
      <c r="B872" t="str" cm="1">
        <f t="array" ref="B872">IF(A872="","",_xlfn.CHOOSECOLS('Prematch Backend 2A'!872:872,_xlfn.MAKEARRAY(1,A872-2,_xlfn.LAMBDA(_xlpm.r,_xlpm.c,_xlpm.c))))</f>
        <v/>
      </c>
    </row>
    <row r="873" spans="2:2" x14ac:dyDescent="0.2">
      <c r="B873" t="str" cm="1">
        <f t="array" ref="B873">IF(A873="","",_xlfn.CHOOSECOLS('Prematch Backend 2A'!873:873,_xlfn.MAKEARRAY(1,A873-2,_xlfn.LAMBDA(_xlpm.r,_xlpm.c,_xlpm.c))))</f>
        <v/>
      </c>
    </row>
    <row r="874" spans="2:2" x14ac:dyDescent="0.2">
      <c r="B874" t="str" cm="1">
        <f t="array" ref="B874">IF(A874="","",_xlfn.CHOOSECOLS('Prematch Backend 2A'!874:874,_xlfn.MAKEARRAY(1,A874-2,_xlfn.LAMBDA(_xlpm.r,_xlpm.c,_xlpm.c))))</f>
        <v/>
      </c>
    </row>
    <row r="875" spans="2:2" x14ac:dyDescent="0.2">
      <c r="B875" t="str" cm="1">
        <f t="array" ref="B875">IF(A875="","",_xlfn.CHOOSECOLS('Prematch Backend 2A'!875:875,_xlfn.MAKEARRAY(1,A875-2,_xlfn.LAMBDA(_xlpm.r,_xlpm.c,_xlpm.c))))</f>
        <v/>
      </c>
    </row>
    <row r="876" spans="2:2" x14ac:dyDescent="0.2">
      <c r="B876" t="str" cm="1">
        <f t="array" ref="B876">IF(A876="","",_xlfn.CHOOSECOLS('Prematch Backend 2A'!876:876,_xlfn.MAKEARRAY(1,A876-2,_xlfn.LAMBDA(_xlpm.r,_xlpm.c,_xlpm.c))))</f>
        <v/>
      </c>
    </row>
    <row r="877" spans="2:2" x14ac:dyDescent="0.2">
      <c r="B877" t="str" cm="1">
        <f t="array" ref="B877">IF(A877="","",_xlfn.CHOOSECOLS('Prematch Backend 2A'!877:877,_xlfn.MAKEARRAY(1,A877-2,_xlfn.LAMBDA(_xlpm.r,_xlpm.c,_xlpm.c))))</f>
        <v/>
      </c>
    </row>
    <row r="878" spans="2:2" x14ac:dyDescent="0.2">
      <c r="B878" t="str" cm="1">
        <f t="array" ref="B878">IF(A878="","",_xlfn.CHOOSECOLS('Prematch Backend 2A'!878:878,_xlfn.MAKEARRAY(1,A878-2,_xlfn.LAMBDA(_xlpm.r,_xlpm.c,_xlpm.c))))</f>
        <v/>
      </c>
    </row>
    <row r="879" spans="2:2" x14ac:dyDescent="0.2">
      <c r="B879" t="str" cm="1">
        <f t="array" ref="B879">IF(A879="","",_xlfn.CHOOSECOLS('Prematch Backend 2A'!879:879,_xlfn.MAKEARRAY(1,A879-2,_xlfn.LAMBDA(_xlpm.r,_xlpm.c,_xlpm.c))))</f>
        <v/>
      </c>
    </row>
    <row r="880" spans="2:2" x14ac:dyDescent="0.2">
      <c r="B880" t="str" cm="1">
        <f t="array" ref="B880">IF(A880="","",_xlfn.CHOOSECOLS('Prematch Backend 2A'!880:880,_xlfn.MAKEARRAY(1,A880-2,_xlfn.LAMBDA(_xlpm.r,_xlpm.c,_xlpm.c))))</f>
        <v/>
      </c>
    </row>
    <row r="881" spans="2:2" x14ac:dyDescent="0.2">
      <c r="B881" t="str" cm="1">
        <f t="array" ref="B881">IF(A881="","",_xlfn.CHOOSECOLS('Prematch Backend 2A'!881:881,_xlfn.MAKEARRAY(1,A881-2,_xlfn.LAMBDA(_xlpm.r,_xlpm.c,_xlpm.c))))</f>
        <v/>
      </c>
    </row>
    <row r="882" spans="2:2" x14ac:dyDescent="0.2">
      <c r="B882" t="str" cm="1">
        <f t="array" ref="B882">IF(A882="","",_xlfn.CHOOSECOLS('Prematch Backend 2A'!882:882,_xlfn.MAKEARRAY(1,A882-2,_xlfn.LAMBDA(_xlpm.r,_xlpm.c,_xlpm.c))))</f>
        <v/>
      </c>
    </row>
    <row r="883" spans="2:2" x14ac:dyDescent="0.2">
      <c r="B883" t="str" cm="1">
        <f t="array" ref="B883">IF(A883="","",_xlfn.CHOOSECOLS('Prematch Backend 2A'!883:883,_xlfn.MAKEARRAY(1,A883-2,_xlfn.LAMBDA(_xlpm.r,_xlpm.c,_xlpm.c))))</f>
        <v/>
      </c>
    </row>
    <row r="884" spans="2:2" x14ac:dyDescent="0.2">
      <c r="B884" t="str" cm="1">
        <f t="array" ref="B884">IF(A884="","",_xlfn.CHOOSECOLS('Prematch Backend 2A'!884:884,_xlfn.MAKEARRAY(1,A884-2,_xlfn.LAMBDA(_xlpm.r,_xlpm.c,_xlpm.c))))</f>
        <v/>
      </c>
    </row>
    <row r="885" spans="2:2" x14ac:dyDescent="0.2">
      <c r="B885" t="str" cm="1">
        <f t="array" ref="B885">IF(A885="","",_xlfn.CHOOSECOLS('Prematch Backend 2A'!885:885,_xlfn.MAKEARRAY(1,A885-2,_xlfn.LAMBDA(_xlpm.r,_xlpm.c,_xlpm.c))))</f>
        <v/>
      </c>
    </row>
    <row r="886" spans="2:2" x14ac:dyDescent="0.2">
      <c r="B886" t="str" cm="1">
        <f t="array" ref="B886">IF(A886="","",_xlfn.CHOOSECOLS('Prematch Backend 2A'!886:886,_xlfn.MAKEARRAY(1,A886-2,_xlfn.LAMBDA(_xlpm.r,_xlpm.c,_xlpm.c))))</f>
        <v/>
      </c>
    </row>
    <row r="887" spans="2:2" x14ac:dyDescent="0.2">
      <c r="B887" t="str" cm="1">
        <f t="array" ref="B887">IF(A887="","",_xlfn.CHOOSECOLS('Prematch Backend 2A'!887:887,_xlfn.MAKEARRAY(1,A887-2,_xlfn.LAMBDA(_xlpm.r,_xlpm.c,_xlpm.c))))</f>
        <v/>
      </c>
    </row>
    <row r="888" spans="2:2" x14ac:dyDescent="0.2">
      <c r="B888" t="str" cm="1">
        <f t="array" ref="B888">IF(A888="","",_xlfn.CHOOSECOLS('Prematch Backend 2A'!888:888,_xlfn.MAKEARRAY(1,A888-2,_xlfn.LAMBDA(_xlpm.r,_xlpm.c,_xlpm.c))))</f>
        <v/>
      </c>
    </row>
    <row r="889" spans="2:2" x14ac:dyDescent="0.2">
      <c r="B889" t="str" cm="1">
        <f t="array" ref="B889">IF(A889="","",_xlfn.CHOOSECOLS('Prematch Backend 2A'!889:889,_xlfn.MAKEARRAY(1,A889-2,_xlfn.LAMBDA(_xlpm.r,_xlpm.c,_xlpm.c))))</f>
        <v/>
      </c>
    </row>
    <row r="890" spans="2:2" x14ac:dyDescent="0.2">
      <c r="B890" t="str" cm="1">
        <f t="array" ref="B890">IF(A890="","",_xlfn.CHOOSECOLS('Prematch Backend 2A'!890:890,_xlfn.MAKEARRAY(1,A890-2,_xlfn.LAMBDA(_xlpm.r,_xlpm.c,_xlpm.c))))</f>
        <v/>
      </c>
    </row>
    <row r="891" spans="2:2" x14ac:dyDescent="0.2">
      <c r="B891" t="str" cm="1">
        <f t="array" ref="B891">IF(A891="","",_xlfn.CHOOSECOLS('Prematch Backend 2A'!891:891,_xlfn.MAKEARRAY(1,A891-2,_xlfn.LAMBDA(_xlpm.r,_xlpm.c,_xlpm.c))))</f>
        <v/>
      </c>
    </row>
    <row r="892" spans="2:2" x14ac:dyDescent="0.2">
      <c r="B892" t="str" cm="1">
        <f t="array" ref="B892">IF(A892="","",_xlfn.CHOOSECOLS('Prematch Backend 2A'!892:892,_xlfn.MAKEARRAY(1,A892-2,_xlfn.LAMBDA(_xlpm.r,_xlpm.c,_xlpm.c))))</f>
        <v/>
      </c>
    </row>
    <row r="893" spans="2:2" x14ac:dyDescent="0.2">
      <c r="B893" t="str" cm="1">
        <f t="array" ref="B893">IF(A893="","",_xlfn.CHOOSECOLS('Prematch Backend 2A'!893:893,_xlfn.MAKEARRAY(1,A893-2,_xlfn.LAMBDA(_xlpm.r,_xlpm.c,_xlpm.c))))</f>
        <v/>
      </c>
    </row>
    <row r="894" spans="2:2" x14ac:dyDescent="0.2">
      <c r="B894" t="str" cm="1">
        <f t="array" ref="B894">IF(A894="","",_xlfn.CHOOSECOLS('Prematch Backend 2A'!894:894,_xlfn.MAKEARRAY(1,A894-2,_xlfn.LAMBDA(_xlpm.r,_xlpm.c,_xlpm.c))))</f>
        <v/>
      </c>
    </row>
    <row r="895" spans="2:2" x14ac:dyDescent="0.2">
      <c r="B895" t="str" cm="1">
        <f t="array" ref="B895">IF(A895="","",_xlfn.CHOOSECOLS('Prematch Backend 2A'!895:895,_xlfn.MAKEARRAY(1,A895-2,_xlfn.LAMBDA(_xlpm.r,_xlpm.c,_xlpm.c))))</f>
        <v/>
      </c>
    </row>
    <row r="896" spans="2:2" x14ac:dyDescent="0.2">
      <c r="B896" t="str" cm="1">
        <f t="array" ref="B896">IF(A896="","",_xlfn.CHOOSECOLS('Prematch Backend 2A'!896:896,_xlfn.MAKEARRAY(1,A896-2,_xlfn.LAMBDA(_xlpm.r,_xlpm.c,_xlpm.c))))</f>
        <v/>
      </c>
    </row>
    <row r="897" spans="2:2" x14ac:dyDescent="0.2">
      <c r="B897" t="str" cm="1">
        <f t="array" ref="B897">IF(A897="","",_xlfn.CHOOSECOLS('Prematch Backend 2A'!897:897,_xlfn.MAKEARRAY(1,A897-2,_xlfn.LAMBDA(_xlpm.r,_xlpm.c,_xlpm.c))))</f>
        <v/>
      </c>
    </row>
    <row r="898" spans="2:2" x14ac:dyDescent="0.2">
      <c r="B898" t="str" cm="1">
        <f t="array" ref="B898">IF(A898="","",_xlfn.CHOOSECOLS('Prematch Backend 2A'!898:898,_xlfn.MAKEARRAY(1,A898-2,_xlfn.LAMBDA(_xlpm.r,_xlpm.c,_xlpm.c))))</f>
        <v/>
      </c>
    </row>
    <row r="899" spans="2:2" x14ac:dyDescent="0.2">
      <c r="B899" t="str" cm="1">
        <f t="array" ref="B899">IF(A899="","",_xlfn.CHOOSECOLS('Prematch Backend 2A'!899:899,_xlfn.MAKEARRAY(1,A899-2,_xlfn.LAMBDA(_xlpm.r,_xlpm.c,_xlpm.c))))</f>
        <v/>
      </c>
    </row>
    <row r="900" spans="2:2" x14ac:dyDescent="0.2">
      <c r="B900" t="str" cm="1">
        <f t="array" ref="B900">IF(A900="","",_xlfn.CHOOSECOLS('Prematch Backend 2A'!900:900,_xlfn.MAKEARRAY(1,A900-2,_xlfn.LAMBDA(_xlpm.r,_xlpm.c,_xlpm.c))))</f>
        <v/>
      </c>
    </row>
    <row r="901" spans="2:2" x14ac:dyDescent="0.2">
      <c r="B901" t="str" cm="1">
        <f t="array" ref="B901">IF(A901="","",_xlfn.CHOOSECOLS('Prematch Backend 2A'!901:901,_xlfn.MAKEARRAY(1,A901-2,_xlfn.LAMBDA(_xlpm.r,_xlpm.c,_xlpm.c))))</f>
        <v/>
      </c>
    </row>
    <row r="902" spans="2:2" x14ac:dyDescent="0.2">
      <c r="B902" t="str" cm="1">
        <f t="array" ref="B902">IF(A902="","",_xlfn.CHOOSECOLS('Prematch Backend 2A'!902:902,_xlfn.MAKEARRAY(1,A902-2,_xlfn.LAMBDA(_xlpm.r,_xlpm.c,_xlpm.c))))</f>
        <v/>
      </c>
    </row>
    <row r="903" spans="2:2" x14ac:dyDescent="0.2">
      <c r="B903" t="str" cm="1">
        <f t="array" ref="B903">IF(A903="","",_xlfn.CHOOSECOLS('Prematch Backend 2A'!903:903,_xlfn.MAKEARRAY(1,A903-2,_xlfn.LAMBDA(_xlpm.r,_xlpm.c,_xlpm.c))))</f>
        <v/>
      </c>
    </row>
    <row r="904" spans="2:2" x14ac:dyDescent="0.2">
      <c r="B904" t="str" cm="1">
        <f t="array" ref="B904">IF(A904="","",_xlfn.CHOOSECOLS('Prematch Backend 2A'!904:904,_xlfn.MAKEARRAY(1,A904-2,_xlfn.LAMBDA(_xlpm.r,_xlpm.c,_xlpm.c))))</f>
        <v/>
      </c>
    </row>
    <row r="905" spans="2:2" x14ac:dyDescent="0.2">
      <c r="B905" t="str" cm="1">
        <f t="array" ref="B905">IF(A905="","",_xlfn.CHOOSECOLS('Prematch Backend 2A'!905:905,_xlfn.MAKEARRAY(1,A905-2,_xlfn.LAMBDA(_xlpm.r,_xlpm.c,_xlpm.c))))</f>
        <v/>
      </c>
    </row>
    <row r="906" spans="2:2" x14ac:dyDescent="0.2">
      <c r="B906" t="str" cm="1">
        <f t="array" ref="B906">IF(A906="","",_xlfn.CHOOSECOLS('Prematch Backend 2A'!906:906,_xlfn.MAKEARRAY(1,A906-2,_xlfn.LAMBDA(_xlpm.r,_xlpm.c,_xlpm.c))))</f>
        <v/>
      </c>
    </row>
    <row r="907" spans="2:2" x14ac:dyDescent="0.2">
      <c r="B907" t="str" cm="1">
        <f t="array" ref="B907">IF(A907="","",_xlfn.CHOOSECOLS('Prematch Backend 2A'!907:907,_xlfn.MAKEARRAY(1,A907-2,_xlfn.LAMBDA(_xlpm.r,_xlpm.c,_xlpm.c))))</f>
        <v/>
      </c>
    </row>
    <row r="908" spans="2:2" x14ac:dyDescent="0.2">
      <c r="B908" t="str" cm="1">
        <f t="array" ref="B908">IF(A908="","",_xlfn.CHOOSECOLS('Prematch Backend 2A'!908:908,_xlfn.MAKEARRAY(1,A908-2,_xlfn.LAMBDA(_xlpm.r,_xlpm.c,_xlpm.c))))</f>
        <v/>
      </c>
    </row>
    <row r="909" spans="2:2" x14ac:dyDescent="0.2">
      <c r="B909" t="str" cm="1">
        <f t="array" ref="B909">IF(A909="","",_xlfn.CHOOSECOLS('Prematch Backend 2A'!909:909,_xlfn.MAKEARRAY(1,A909-2,_xlfn.LAMBDA(_xlpm.r,_xlpm.c,_xlpm.c))))</f>
        <v/>
      </c>
    </row>
    <row r="910" spans="2:2" x14ac:dyDescent="0.2">
      <c r="B910" t="str" cm="1">
        <f t="array" ref="B910">IF(A910="","",_xlfn.CHOOSECOLS('Prematch Backend 2A'!910:910,_xlfn.MAKEARRAY(1,A910-2,_xlfn.LAMBDA(_xlpm.r,_xlpm.c,_xlpm.c))))</f>
        <v/>
      </c>
    </row>
    <row r="911" spans="2:2" x14ac:dyDescent="0.2">
      <c r="B911" t="str" cm="1">
        <f t="array" ref="B911">IF(A911="","",_xlfn.CHOOSECOLS('Prematch Backend 2A'!911:911,_xlfn.MAKEARRAY(1,A911-2,_xlfn.LAMBDA(_xlpm.r,_xlpm.c,_xlpm.c))))</f>
        <v/>
      </c>
    </row>
    <row r="912" spans="2:2" x14ac:dyDescent="0.2">
      <c r="B912" t="str" cm="1">
        <f t="array" ref="B912">IF(A912="","",_xlfn.CHOOSECOLS('Prematch Backend 2A'!912:912,_xlfn.MAKEARRAY(1,A912-2,_xlfn.LAMBDA(_xlpm.r,_xlpm.c,_xlpm.c))))</f>
        <v/>
      </c>
    </row>
    <row r="913" spans="2:2" x14ac:dyDescent="0.2">
      <c r="B913" t="str" cm="1">
        <f t="array" ref="B913">IF(A913="","",_xlfn.CHOOSECOLS('Prematch Backend 2A'!913:913,_xlfn.MAKEARRAY(1,A913-2,_xlfn.LAMBDA(_xlpm.r,_xlpm.c,_xlpm.c))))</f>
        <v/>
      </c>
    </row>
    <row r="914" spans="2:2" x14ac:dyDescent="0.2">
      <c r="B914" t="str" cm="1">
        <f t="array" ref="B914">IF(A914="","",_xlfn.CHOOSECOLS('Prematch Backend 2A'!914:914,_xlfn.MAKEARRAY(1,A914-2,_xlfn.LAMBDA(_xlpm.r,_xlpm.c,_xlpm.c))))</f>
        <v/>
      </c>
    </row>
    <row r="915" spans="2:2" x14ac:dyDescent="0.2">
      <c r="B915" t="str" cm="1">
        <f t="array" ref="B915">IF(A915="","",_xlfn.CHOOSECOLS('Prematch Backend 2A'!915:915,_xlfn.MAKEARRAY(1,A915-2,_xlfn.LAMBDA(_xlpm.r,_xlpm.c,_xlpm.c))))</f>
        <v/>
      </c>
    </row>
    <row r="916" spans="2:2" x14ac:dyDescent="0.2">
      <c r="B916" t="str" cm="1">
        <f t="array" ref="B916">IF(A916="","",_xlfn.CHOOSECOLS('Prematch Backend 2A'!916:916,_xlfn.MAKEARRAY(1,A916-2,_xlfn.LAMBDA(_xlpm.r,_xlpm.c,_xlpm.c))))</f>
        <v/>
      </c>
    </row>
    <row r="917" spans="2:2" x14ac:dyDescent="0.2">
      <c r="B917" t="str" cm="1">
        <f t="array" ref="B917">IF(A917="","",_xlfn.CHOOSECOLS('Prematch Backend 2A'!917:917,_xlfn.MAKEARRAY(1,A917-2,_xlfn.LAMBDA(_xlpm.r,_xlpm.c,_xlpm.c))))</f>
        <v/>
      </c>
    </row>
    <row r="918" spans="2:2" x14ac:dyDescent="0.2">
      <c r="B918" t="str" cm="1">
        <f t="array" ref="B918">IF(A918="","",_xlfn.CHOOSECOLS('Prematch Backend 2A'!918:918,_xlfn.MAKEARRAY(1,A918-2,_xlfn.LAMBDA(_xlpm.r,_xlpm.c,_xlpm.c))))</f>
        <v/>
      </c>
    </row>
    <row r="919" spans="2:2" x14ac:dyDescent="0.2">
      <c r="B919" t="str" cm="1">
        <f t="array" ref="B919">IF(A919="","",_xlfn.CHOOSECOLS('Prematch Backend 2A'!919:919,_xlfn.MAKEARRAY(1,A919-2,_xlfn.LAMBDA(_xlpm.r,_xlpm.c,_xlpm.c))))</f>
        <v/>
      </c>
    </row>
    <row r="920" spans="2:2" x14ac:dyDescent="0.2">
      <c r="B920" t="str" cm="1">
        <f t="array" ref="B920">IF(A920="","",_xlfn.CHOOSECOLS('Prematch Backend 2A'!920:920,_xlfn.MAKEARRAY(1,A920-2,_xlfn.LAMBDA(_xlpm.r,_xlpm.c,_xlpm.c))))</f>
        <v/>
      </c>
    </row>
    <row r="921" spans="2:2" x14ac:dyDescent="0.2">
      <c r="B921" t="str" cm="1">
        <f t="array" ref="B921">IF(A921="","",_xlfn.CHOOSECOLS('Prematch Backend 2A'!921:921,_xlfn.MAKEARRAY(1,A921-2,_xlfn.LAMBDA(_xlpm.r,_xlpm.c,_xlpm.c))))</f>
        <v/>
      </c>
    </row>
    <row r="922" spans="2:2" x14ac:dyDescent="0.2">
      <c r="B922" t="str" cm="1">
        <f t="array" ref="B922">IF(A922="","",_xlfn.CHOOSECOLS('Prematch Backend 2A'!922:922,_xlfn.MAKEARRAY(1,A922-2,_xlfn.LAMBDA(_xlpm.r,_xlpm.c,_xlpm.c))))</f>
        <v/>
      </c>
    </row>
    <row r="923" spans="2:2" x14ac:dyDescent="0.2">
      <c r="B923" t="str" cm="1">
        <f t="array" ref="B923">IF(A923="","",_xlfn.CHOOSECOLS('Prematch Backend 2A'!923:923,_xlfn.MAKEARRAY(1,A923-2,_xlfn.LAMBDA(_xlpm.r,_xlpm.c,_xlpm.c))))</f>
        <v/>
      </c>
    </row>
    <row r="924" spans="2:2" x14ac:dyDescent="0.2">
      <c r="B924" t="str" cm="1">
        <f t="array" ref="B924">IF(A924="","",_xlfn.CHOOSECOLS('Prematch Backend 2A'!924:924,_xlfn.MAKEARRAY(1,A924-2,_xlfn.LAMBDA(_xlpm.r,_xlpm.c,_xlpm.c))))</f>
        <v/>
      </c>
    </row>
    <row r="925" spans="2:2" x14ac:dyDescent="0.2">
      <c r="B925" t="str" cm="1">
        <f t="array" ref="B925">IF(A925="","",_xlfn.CHOOSECOLS('Prematch Backend 2A'!925:925,_xlfn.MAKEARRAY(1,A925-2,_xlfn.LAMBDA(_xlpm.r,_xlpm.c,_xlpm.c))))</f>
        <v/>
      </c>
    </row>
    <row r="926" spans="2:2" x14ac:dyDescent="0.2">
      <c r="B926" t="str" cm="1">
        <f t="array" ref="B926">IF(A926="","",_xlfn.CHOOSECOLS('Prematch Backend 2A'!926:926,_xlfn.MAKEARRAY(1,A926-2,_xlfn.LAMBDA(_xlpm.r,_xlpm.c,_xlpm.c))))</f>
        <v/>
      </c>
    </row>
    <row r="927" spans="2:2" x14ac:dyDescent="0.2">
      <c r="B927" t="str" cm="1">
        <f t="array" ref="B927">IF(A927="","",_xlfn.CHOOSECOLS('Prematch Backend 2A'!927:927,_xlfn.MAKEARRAY(1,A927-2,_xlfn.LAMBDA(_xlpm.r,_xlpm.c,_xlpm.c))))</f>
        <v/>
      </c>
    </row>
    <row r="928" spans="2:2" x14ac:dyDescent="0.2">
      <c r="B928" t="str" cm="1">
        <f t="array" ref="B928">IF(A928="","",_xlfn.CHOOSECOLS('Prematch Backend 2A'!928:928,_xlfn.MAKEARRAY(1,A928-2,_xlfn.LAMBDA(_xlpm.r,_xlpm.c,_xlpm.c))))</f>
        <v/>
      </c>
    </row>
    <row r="929" spans="2:2" x14ac:dyDescent="0.2">
      <c r="B929" t="str" cm="1">
        <f t="array" ref="B929">IF(A929="","",_xlfn.CHOOSECOLS('Prematch Backend 2A'!929:929,_xlfn.MAKEARRAY(1,A929-2,_xlfn.LAMBDA(_xlpm.r,_xlpm.c,_xlpm.c))))</f>
        <v/>
      </c>
    </row>
    <row r="930" spans="2:2" x14ac:dyDescent="0.2">
      <c r="B930" t="str" cm="1">
        <f t="array" ref="B930">IF(A930="","",_xlfn.CHOOSECOLS('Prematch Backend 2A'!930:930,_xlfn.MAKEARRAY(1,A930-2,_xlfn.LAMBDA(_xlpm.r,_xlpm.c,_xlpm.c))))</f>
        <v/>
      </c>
    </row>
    <row r="931" spans="2:2" x14ac:dyDescent="0.2">
      <c r="B931" t="str" cm="1">
        <f t="array" ref="B931">IF(A931="","",_xlfn.CHOOSECOLS('Prematch Backend 2A'!931:931,_xlfn.MAKEARRAY(1,A931-2,_xlfn.LAMBDA(_xlpm.r,_xlpm.c,_xlpm.c))))</f>
        <v/>
      </c>
    </row>
    <row r="932" spans="2:2" x14ac:dyDescent="0.2">
      <c r="B932" t="str" cm="1">
        <f t="array" ref="B932">IF(A932="","",_xlfn.CHOOSECOLS('Prematch Backend 2A'!932:932,_xlfn.MAKEARRAY(1,A932-2,_xlfn.LAMBDA(_xlpm.r,_xlpm.c,_xlpm.c))))</f>
        <v/>
      </c>
    </row>
    <row r="933" spans="2:2" x14ac:dyDescent="0.2">
      <c r="B933" t="str" cm="1">
        <f t="array" ref="B933">IF(A933="","",_xlfn.CHOOSECOLS('Prematch Backend 2A'!933:933,_xlfn.MAKEARRAY(1,A933-2,_xlfn.LAMBDA(_xlpm.r,_xlpm.c,_xlpm.c))))</f>
        <v/>
      </c>
    </row>
    <row r="934" spans="2:2" x14ac:dyDescent="0.2">
      <c r="B934" t="str" cm="1">
        <f t="array" ref="B934">IF(A934="","",_xlfn.CHOOSECOLS('Prematch Backend 2A'!934:934,_xlfn.MAKEARRAY(1,A934-2,_xlfn.LAMBDA(_xlpm.r,_xlpm.c,_xlpm.c))))</f>
        <v/>
      </c>
    </row>
    <row r="935" spans="2:2" x14ac:dyDescent="0.2">
      <c r="B935" t="str" cm="1">
        <f t="array" ref="B935">IF(A935="","",_xlfn.CHOOSECOLS('Prematch Backend 2A'!935:935,_xlfn.MAKEARRAY(1,A935-2,_xlfn.LAMBDA(_xlpm.r,_xlpm.c,_xlpm.c))))</f>
        <v/>
      </c>
    </row>
    <row r="936" spans="2:2" x14ac:dyDescent="0.2">
      <c r="B936" t="str" cm="1">
        <f t="array" ref="B936">IF(A936="","",_xlfn.CHOOSECOLS('Prematch Backend 2A'!936:936,_xlfn.MAKEARRAY(1,A936-2,_xlfn.LAMBDA(_xlpm.r,_xlpm.c,_xlpm.c))))</f>
        <v/>
      </c>
    </row>
    <row r="937" spans="2:2" x14ac:dyDescent="0.2">
      <c r="B937" t="str" cm="1">
        <f t="array" ref="B937">IF(A937="","",_xlfn.CHOOSECOLS('Prematch Backend 2A'!937:937,_xlfn.MAKEARRAY(1,A937-2,_xlfn.LAMBDA(_xlpm.r,_xlpm.c,_xlpm.c))))</f>
        <v/>
      </c>
    </row>
    <row r="938" spans="2:2" x14ac:dyDescent="0.2">
      <c r="B938" t="str" cm="1">
        <f t="array" ref="B938">IF(A938="","",_xlfn.CHOOSECOLS('Prematch Backend 2A'!938:938,_xlfn.MAKEARRAY(1,A938-2,_xlfn.LAMBDA(_xlpm.r,_xlpm.c,_xlpm.c))))</f>
        <v/>
      </c>
    </row>
    <row r="939" spans="2:2" x14ac:dyDescent="0.2">
      <c r="B939" t="str" cm="1">
        <f t="array" ref="B939">IF(A939="","",_xlfn.CHOOSECOLS('Prematch Backend 2A'!939:939,_xlfn.MAKEARRAY(1,A939-2,_xlfn.LAMBDA(_xlpm.r,_xlpm.c,_xlpm.c))))</f>
        <v/>
      </c>
    </row>
    <row r="940" spans="2:2" x14ac:dyDescent="0.2">
      <c r="B940" t="str" cm="1">
        <f t="array" ref="B940">IF(A940="","",_xlfn.CHOOSECOLS('Prematch Backend 2A'!940:940,_xlfn.MAKEARRAY(1,A940-2,_xlfn.LAMBDA(_xlpm.r,_xlpm.c,_xlpm.c))))</f>
        <v/>
      </c>
    </row>
    <row r="941" spans="2:2" x14ac:dyDescent="0.2">
      <c r="B941" t="str" cm="1">
        <f t="array" ref="B941">IF(A941="","",_xlfn.CHOOSECOLS('Prematch Backend 2A'!941:941,_xlfn.MAKEARRAY(1,A941-2,_xlfn.LAMBDA(_xlpm.r,_xlpm.c,_xlpm.c))))</f>
        <v/>
      </c>
    </row>
    <row r="942" spans="2:2" x14ac:dyDescent="0.2">
      <c r="B942" t="str" cm="1">
        <f t="array" ref="B942">IF(A942="","",_xlfn.CHOOSECOLS('Prematch Backend 2A'!942:942,_xlfn.MAKEARRAY(1,A942-2,_xlfn.LAMBDA(_xlpm.r,_xlpm.c,_xlpm.c))))</f>
        <v/>
      </c>
    </row>
    <row r="943" spans="2:2" x14ac:dyDescent="0.2">
      <c r="B943" t="str" cm="1">
        <f t="array" ref="B943">IF(A943="","",_xlfn.CHOOSECOLS('Prematch Backend 2A'!943:943,_xlfn.MAKEARRAY(1,A943-2,_xlfn.LAMBDA(_xlpm.r,_xlpm.c,_xlpm.c))))</f>
        <v/>
      </c>
    </row>
    <row r="944" spans="2:2" x14ac:dyDescent="0.2">
      <c r="B944" t="str" cm="1">
        <f t="array" ref="B944">IF(A944="","",_xlfn.CHOOSECOLS('Prematch Backend 2A'!944:944,_xlfn.MAKEARRAY(1,A944-2,_xlfn.LAMBDA(_xlpm.r,_xlpm.c,_xlpm.c))))</f>
        <v/>
      </c>
    </row>
    <row r="945" spans="2:2" x14ac:dyDescent="0.2">
      <c r="B945" t="str" cm="1">
        <f t="array" ref="B945">IF(A945="","",_xlfn.CHOOSECOLS('Prematch Backend 2A'!945:945,_xlfn.MAKEARRAY(1,A945-2,_xlfn.LAMBDA(_xlpm.r,_xlpm.c,_xlpm.c))))</f>
        <v/>
      </c>
    </row>
    <row r="946" spans="2:2" x14ac:dyDescent="0.2">
      <c r="B946" t="str" cm="1">
        <f t="array" ref="B946">IF(A946="","",_xlfn.CHOOSECOLS('Prematch Backend 2A'!946:946,_xlfn.MAKEARRAY(1,A946-2,_xlfn.LAMBDA(_xlpm.r,_xlpm.c,_xlpm.c))))</f>
        <v/>
      </c>
    </row>
    <row r="947" spans="2:2" x14ac:dyDescent="0.2">
      <c r="B947" t="str" cm="1">
        <f t="array" ref="B947">IF(A947="","",_xlfn.CHOOSECOLS('Prematch Backend 2A'!947:947,_xlfn.MAKEARRAY(1,A947-2,_xlfn.LAMBDA(_xlpm.r,_xlpm.c,_xlpm.c))))</f>
        <v/>
      </c>
    </row>
    <row r="948" spans="2:2" x14ac:dyDescent="0.2">
      <c r="B948" t="str" cm="1">
        <f t="array" ref="B948">IF(A948="","",_xlfn.CHOOSECOLS('Prematch Backend 2A'!948:948,_xlfn.MAKEARRAY(1,A948-2,_xlfn.LAMBDA(_xlpm.r,_xlpm.c,_xlpm.c))))</f>
        <v/>
      </c>
    </row>
    <row r="949" spans="2:2" x14ac:dyDescent="0.2">
      <c r="B949" t="str" cm="1">
        <f t="array" ref="B949">IF(A949="","",_xlfn.CHOOSECOLS('Prematch Backend 2A'!949:949,_xlfn.MAKEARRAY(1,A949-2,_xlfn.LAMBDA(_xlpm.r,_xlpm.c,_xlpm.c))))</f>
        <v/>
      </c>
    </row>
    <row r="950" spans="2:2" x14ac:dyDescent="0.2">
      <c r="B950" t="str" cm="1">
        <f t="array" ref="B950">IF(A950="","",_xlfn.CHOOSECOLS('Prematch Backend 2A'!950:950,_xlfn.MAKEARRAY(1,A950-2,_xlfn.LAMBDA(_xlpm.r,_xlpm.c,_xlpm.c))))</f>
        <v/>
      </c>
    </row>
    <row r="951" spans="2:2" x14ac:dyDescent="0.2">
      <c r="B951" t="str" cm="1">
        <f t="array" ref="B951">IF(A951="","",_xlfn.CHOOSECOLS('Prematch Backend 2A'!951:951,_xlfn.MAKEARRAY(1,A951-2,_xlfn.LAMBDA(_xlpm.r,_xlpm.c,_xlpm.c))))</f>
        <v/>
      </c>
    </row>
    <row r="952" spans="2:2" x14ac:dyDescent="0.2">
      <c r="B952" t="str" cm="1">
        <f t="array" ref="B952">IF(A952="","",_xlfn.CHOOSECOLS('Prematch Backend 2A'!952:952,_xlfn.MAKEARRAY(1,A952-2,_xlfn.LAMBDA(_xlpm.r,_xlpm.c,_xlpm.c))))</f>
        <v/>
      </c>
    </row>
    <row r="953" spans="2:2" x14ac:dyDescent="0.2">
      <c r="B953" t="str" cm="1">
        <f t="array" ref="B953">IF(A953="","",_xlfn.CHOOSECOLS('Prematch Backend 2A'!953:953,_xlfn.MAKEARRAY(1,A953-2,_xlfn.LAMBDA(_xlpm.r,_xlpm.c,_xlpm.c))))</f>
        <v/>
      </c>
    </row>
    <row r="954" spans="2:2" x14ac:dyDescent="0.2">
      <c r="B954" t="str" cm="1">
        <f t="array" ref="B954">IF(A954="","",_xlfn.CHOOSECOLS('Prematch Backend 2A'!954:954,_xlfn.MAKEARRAY(1,A954-2,_xlfn.LAMBDA(_xlpm.r,_xlpm.c,_xlpm.c))))</f>
        <v/>
      </c>
    </row>
    <row r="955" spans="2:2" x14ac:dyDescent="0.2">
      <c r="B955" t="str" cm="1">
        <f t="array" ref="B955">IF(A955="","",_xlfn.CHOOSECOLS('Prematch Backend 2A'!955:955,_xlfn.MAKEARRAY(1,A955-2,_xlfn.LAMBDA(_xlpm.r,_xlpm.c,_xlpm.c))))</f>
        <v/>
      </c>
    </row>
    <row r="956" spans="2:2" x14ac:dyDescent="0.2">
      <c r="B956" t="str" cm="1">
        <f t="array" ref="B956">IF(A956="","",_xlfn.CHOOSECOLS('Prematch Backend 2A'!956:956,_xlfn.MAKEARRAY(1,A956-2,_xlfn.LAMBDA(_xlpm.r,_xlpm.c,_xlpm.c))))</f>
        <v/>
      </c>
    </row>
    <row r="957" spans="2:2" x14ac:dyDescent="0.2">
      <c r="B957" t="str" cm="1">
        <f t="array" ref="B957">IF(A957="","",_xlfn.CHOOSECOLS('Prematch Backend 2A'!957:957,_xlfn.MAKEARRAY(1,A957-2,_xlfn.LAMBDA(_xlpm.r,_xlpm.c,_xlpm.c))))</f>
        <v/>
      </c>
    </row>
    <row r="958" spans="2:2" x14ac:dyDescent="0.2">
      <c r="B958" t="str" cm="1">
        <f t="array" ref="B958">IF(A958="","",_xlfn.CHOOSECOLS('Prematch Backend 2A'!958:958,_xlfn.MAKEARRAY(1,A958-2,_xlfn.LAMBDA(_xlpm.r,_xlpm.c,_xlpm.c))))</f>
        <v/>
      </c>
    </row>
    <row r="959" spans="2:2" x14ac:dyDescent="0.2">
      <c r="B959" t="str" cm="1">
        <f t="array" ref="B959">IF(A959="","",_xlfn.CHOOSECOLS('Prematch Backend 2A'!959:959,_xlfn.MAKEARRAY(1,A959-2,_xlfn.LAMBDA(_xlpm.r,_xlpm.c,_xlpm.c))))</f>
        <v/>
      </c>
    </row>
    <row r="960" spans="2:2" x14ac:dyDescent="0.2">
      <c r="B960" t="str" cm="1">
        <f t="array" ref="B960">IF(A960="","",_xlfn.CHOOSECOLS('Prematch Backend 2A'!960:960,_xlfn.MAKEARRAY(1,A960-2,_xlfn.LAMBDA(_xlpm.r,_xlpm.c,_xlpm.c))))</f>
        <v/>
      </c>
    </row>
    <row r="961" spans="2:2" x14ac:dyDescent="0.2">
      <c r="B961" t="str" cm="1">
        <f t="array" ref="B961">IF(A961="","",_xlfn.CHOOSECOLS('Prematch Backend 2A'!961:961,_xlfn.MAKEARRAY(1,A961-2,_xlfn.LAMBDA(_xlpm.r,_xlpm.c,_xlpm.c))))</f>
        <v/>
      </c>
    </row>
    <row r="962" spans="2:2" x14ac:dyDescent="0.2">
      <c r="B962" t="str" cm="1">
        <f t="array" ref="B962">IF(A962="","",_xlfn.CHOOSECOLS('Prematch Backend 2A'!962:962,_xlfn.MAKEARRAY(1,A962-2,_xlfn.LAMBDA(_xlpm.r,_xlpm.c,_xlpm.c))))</f>
        <v/>
      </c>
    </row>
    <row r="963" spans="2:2" x14ac:dyDescent="0.2">
      <c r="B963" t="str" cm="1">
        <f t="array" ref="B963">IF(A963="","",_xlfn.CHOOSECOLS('Prematch Backend 2A'!963:963,_xlfn.MAKEARRAY(1,A963-2,_xlfn.LAMBDA(_xlpm.r,_xlpm.c,_xlpm.c))))</f>
        <v/>
      </c>
    </row>
    <row r="964" spans="2:2" x14ac:dyDescent="0.2">
      <c r="B964" t="str" cm="1">
        <f t="array" ref="B964">IF(A964="","",_xlfn.CHOOSECOLS('Prematch Backend 2A'!964:964,_xlfn.MAKEARRAY(1,A964-2,_xlfn.LAMBDA(_xlpm.r,_xlpm.c,_xlpm.c))))</f>
        <v/>
      </c>
    </row>
    <row r="965" spans="2:2" x14ac:dyDescent="0.2">
      <c r="B965" t="str" cm="1">
        <f t="array" ref="B965">IF(A965="","",_xlfn.CHOOSECOLS('Prematch Backend 2A'!965:965,_xlfn.MAKEARRAY(1,A965-2,_xlfn.LAMBDA(_xlpm.r,_xlpm.c,_xlpm.c))))</f>
        <v/>
      </c>
    </row>
    <row r="966" spans="2:2" x14ac:dyDescent="0.2">
      <c r="B966" t="str" cm="1">
        <f t="array" ref="B966">IF(A966="","",_xlfn.CHOOSECOLS('Prematch Backend 2A'!966:966,_xlfn.MAKEARRAY(1,A966-2,_xlfn.LAMBDA(_xlpm.r,_xlpm.c,_xlpm.c))))</f>
        <v/>
      </c>
    </row>
    <row r="967" spans="2:2" x14ac:dyDescent="0.2">
      <c r="B967" t="str" cm="1">
        <f t="array" ref="B967">IF(A967="","",_xlfn.CHOOSECOLS('Prematch Backend 2A'!967:967,_xlfn.MAKEARRAY(1,A967-2,_xlfn.LAMBDA(_xlpm.r,_xlpm.c,_xlpm.c))))</f>
        <v/>
      </c>
    </row>
    <row r="968" spans="2:2" x14ac:dyDescent="0.2">
      <c r="B968" t="str" cm="1">
        <f t="array" ref="B968">IF(A968="","",_xlfn.CHOOSECOLS('Prematch Backend 2A'!968:968,_xlfn.MAKEARRAY(1,A968-2,_xlfn.LAMBDA(_xlpm.r,_xlpm.c,_xlpm.c))))</f>
        <v/>
      </c>
    </row>
    <row r="969" spans="2:2" x14ac:dyDescent="0.2">
      <c r="B969" t="str" cm="1">
        <f t="array" ref="B969">IF(A969="","",_xlfn.CHOOSECOLS('Prematch Backend 2A'!969:969,_xlfn.MAKEARRAY(1,A969-2,_xlfn.LAMBDA(_xlpm.r,_xlpm.c,_xlpm.c))))</f>
        <v/>
      </c>
    </row>
    <row r="970" spans="2:2" x14ac:dyDescent="0.2">
      <c r="B970" t="str" cm="1">
        <f t="array" ref="B970">IF(A970="","",_xlfn.CHOOSECOLS('Prematch Backend 2A'!970:970,_xlfn.MAKEARRAY(1,A970-2,_xlfn.LAMBDA(_xlpm.r,_xlpm.c,_xlpm.c))))</f>
        <v/>
      </c>
    </row>
    <row r="971" spans="2:2" x14ac:dyDescent="0.2">
      <c r="B971" t="str" cm="1">
        <f t="array" ref="B971">IF(A971="","",_xlfn.CHOOSECOLS('Prematch Backend 2A'!971:971,_xlfn.MAKEARRAY(1,A971-2,_xlfn.LAMBDA(_xlpm.r,_xlpm.c,_xlpm.c))))</f>
        <v/>
      </c>
    </row>
    <row r="972" spans="2:2" x14ac:dyDescent="0.2">
      <c r="B972" t="str" cm="1">
        <f t="array" ref="B972">IF(A972="","",_xlfn.CHOOSECOLS('Prematch Backend 2A'!972:972,_xlfn.MAKEARRAY(1,A972-2,_xlfn.LAMBDA(_xlpm.r,_xlpm.c,_xlpm.c))))</f>
        <v/>
      </c>
    </row>
    <row r="973" spans="2:2" x14ac:dyDescent="0.2">
      <c r="B973" t="str" cm="1">
        <f t="array" ref="B973">IF(A973="","",_xlfn.CHOOSECOLS('Prematch Backend 2A'!973:973,_xlfn.MAKEARRAY(1,A973-2,_xlfn.LAMBDA(_xlpm.r,_xlpm.c,_xlpm.c))))</f>
        <v/>
      </c>
    </row>
    <row r="974" spans="2:2" x14ac:dyDescent="0.2">
      <c r="B974" t="str" cm="1">
        <f t="array" ref="B974">IF(A974="","",_xlfn.CHOOSECOLS('Prematch Backend 2A'!974:974,_xlfn.MAKEARRAY(1,A974-2,_xlfn.LAMBDA(_xlpm.r,_xlpm.c,_xlpm.c))))</f>
        <v/>
      </c>
    </row>
    <row r="975" spans="2:2" x14ac:dyDescent="0.2">
      <c r="B975" t="str" cm="1">
        <f t="array" ref="B975">IF(A975="","",_xlfn.CHOOSECOLS('Prematch Backend 2A'!975:975,_xlfn.MAKEARRAY(1,A975-2,_xlfn.LAMBDA(_xlpm.r,_xlpm.c,_xlpm.c))))</f>
        <v/>
      </c>
    </row>
    <row r="976" spans="2:2" x14ac:dyDescent="0.2">
      <c r="B976" t="str" cm="1">
        <f t="array" ref="B976">IF(A976="","",_xlfn.CHOOSECOLS('Prematch Backend 2A'!976:976,_xlfn.MAKEARRAY(1,A976-2,_xlfn.LAMBDA(_xlpm.r,_xlpm.c,_xlpm.c))))</f>
        <v/>
      </c>
    </row>
    <row r="977" spans="2:2" x14ac:dyDescent="0.2">
      <c r="B977" t="str" cm="1">
        <f t="array" ref="B977">IF(A977="","",_xlfn.CHOOSECOLS('Prematch Backend 2A'!977:977,_xlfn.MAKEARRAY(1,A977-2,_xlfn.LAMBDA(_xlpm.r,_xlpm.c,_xlpm.c))))</f>
        <v/>
      </c>
    </row>
    <row r="978" spans="2:2" x14ac:dyDescent="0.2">
      <c r="B978" t="str" cm="1">
        <f t="array" ref="B978">IF(A978="","",_xlfn.CHOOSECOLS('Prematch Backend 2A'!978:978,_xlfn.MAKEARRAY(1,A978-2,_xlfn.LAMBDA(_xlpm.r,_xlpm.c,_xlpm.c))))</f>
        <v/>
      </c>
    </row>
    <row r="979" spans="2:2" x14ac:dyDescent="0.2">
      <c r="B979" t="str" cm="1">
        <f t="array" ref="B979">IF(A979="","",_xlfn.CHOOSECOLS('Prematch Backend 2A'!979:979,_xlfn.MAKEARRAY(1,A979-2,_xlfn.LAMBDA(_xlpm.r,_xlpm.c,_xlpm.c))))</f>
        <v/>
      </c>
    </row>
    <row r="980" spans="2:2" x14ac:dyDescent="0.2">
      <c r="B980" t="str" cm="1">
        <f t="array" ref="B980">IF(A980="","",_xlfn.CHOOSECOLS('Prematch Backend 2A'!980:980,_xlfn.MAKEARRAY(1,A980-2,_xlfn.LAMBDA(_xlpm.r,_xlpm.c,_xlpm.c))))</f>
        <v/>
      </c>
    </row>
    <row r="981" spans="2:2" x14ac:dyDescent="0.2">
      <c r="B981" t="str" cm="1">
        <f t="array" ref="B981">IF(A981="","",_xlfn.CHOOSECOLS('Prematch Backend 2A'!981:981,_xlfn.MAKEARRAY(1,A981-2,_xlfn.LAMBDA(_xlpm.r,_xlpm.c,_xlpm.c))))</f>
        <v/>
      </c>
    </row>
    <row r="982" spans="2:2" x14ac:dyDescent="0.2">
      <c r="B982" t="str" cm="1">
        <f t="array" ref="B982">IF(A982="","",_xlfn.CHOOSECOLS('Prematch Backend 2A'!982:982,_xlfn.MAKEARRAY(1,A982-2,_xlfn.LAMBDA(_xlpm.r,_xlpm.c,_xlpm.c))))</f>
        <v/>
      </c>
    </row>
    <row r="983" spans="2:2" x14ac:dyDescent="0.2">
      <c r="B983" t="str" cm="1">
        <f t="array" ref="B983">IF(A983="","",_xlfn.CHOOSECOLS('Prematch Backend 2A'!983:983,_xlfn.MAKEARRAY(1,A983-2,_xlfn.LAMBDA(_xlpm.r,_xlpm.c,_xlpm.c))))</f>
        <v/>
      </c>
    </row>
    <row r="984" spans="2:2" x14ac:dyDescent="0.2">
      <c r="B984" t="str" cm="1">
        <f t="array" ref="B984">IF(A984="","",_xlfn.CHOOSECOLS('Prematch Backend 2A'!984:984,_xlfn.MAKEARRAY(1,A984-2,_xlfn.LAMBDA(_xlpm.r,_xlpm.c,_xlpm.c))))</f>
        <v/>
      </c>
    </row>
    <row r="985" spans="2:2" x14ac:dyDescent="0.2">
      <c r="B985" t="str" cm="1">
        <f t="array" ref="B985">IF(A985="","",_xlfn.CHOOSECOLS('Prematch Backend 2A'!985:985,_xlfn.MAKEARRAY(1,A985-2,_xlfn.LAMBDA(_xlpm.r,_xlpm.c,_xlpm.c))))</f>
        <v/>
      </c>
    </row>
    <row r="986" spans="2:2" x14ac:dyDescent="0.2">
      <c r="B986" t="str" cm="1">
        <f t="array" ref="B986">IF(A986="","",_xlfn.CHOOSECOLS('Prematch Backend 2A'!986:986,_xlfn.MAKEARRAY(1,A986-2,_xlfn.LAMBDA(_xlpm.r,_xlpm.c,_xlpm.c))))</f>
        <v/>
      </c>
    </row>
    <row r="987" spans="2:2" x14ac:dyDescent="0.2">
      <c r="B987" t="str" cm="1">
        <f t="array" ref="B987">IF(A987="","",_xlfn.CHOOSECOLS('Prematch Backend 2A'!987:987,_xlfn.MAKEARRAY(1,A987-2,_xlfn.LAMBDA(_xlpm.r,_xlpm.c,_xlpm.c))))</f>
        <v/>
      </c>
    </row>
    <row r="988" spans="2:2" x14ac:dyDescent="0.2">
      <c r="B988" t="str" cm="1">
        <f t="array" ref="B988">IF(A988="","",_xlfn.CHOOSECOLS('Prematch Backend 2A'!988:988,_xlfn.MAKEARRAY(1,A988-2,_xlfn.LAMBDA(_xlpm.r,_xlpm.c,_xlpm.c))))</f>
        <v/>
      </c>
    </row>
    <row r="989" spans="2:2" x14ac:dyDescent="0.2">
      <c r="B989" t="str" cm="1">
        <f t="array" ref="B989">IF(A989="","",_xlfn.CHOOSECOLS('Prematch Backend 2A'!989:989,_xlfn.MAKEARRAY(1,A989-2,_xlfn.LAMBDA(_xlpm.r,_xlpm.c,_xlpm.c))))</f>
        <v/>
      </c>
    </row>
    <row r="990" spans="2:2" x14ac:dyDescent="0.2">
      <c r="B990" t="str" cm="1">
        <f t="array" ref="B990">IF(A990="","",_xlfn.CHOOSECOLS('Prematch Backend 2A'!990:990,_xlfn.MAKEARRAY(1,A990-2,_xlfn.LAMBDA(_xlpm.r,_xlpm.c,_xlpm.c))))</f>
        <v/>
      </c>
    </row>
    <row r="991" spans="2:2" x14ac:dyDescent="0.2">
      <c r="B991" t="str" cm="1">
        <f t="array" ref="B991">IF(A991="","",_xlfn.CHOOSECOLS('Prematch Backend 2A'!991:991,_xlfn.MAKEARRAY(1,A991-2,_xlfn.LAMBDA(_xlpm.r,_xlpm.c,_xlpm.c))))</f>
        <v/>
      </c>
    </row>
    <row r="992" spans="2:2" x14ac:dyDescent="0.2">
      <c r="B992" t="str" cm="1">
        <f t="array" ref="B992">IF(A992="","",_xlfn.CHOOSECOLS('Prematch Backend 2A'!992:992,_xlfn.MAKEARRAY(1,A992-2,_xlfn.LAMBDA(_xlpm.r,_xlpm.c,_xlpm.c))))</f>
        <v/>
      </c>
    </row>
    <row r="993" spans="2:2" x14ac:dyDescent="0.2">
      <c r="B993" t="str" cm="1">
        <f t="array" ref="B993">IF(A993="","",_xlfn.CHOOSECOLS('Prematch Backend 2A'!993:993,_xlfn.MAKEARRAY(1,A993-2,_xlfn.LAMBDA(_xlpm.r,_xlpm.c,_xlpm.c))))</f>
        <v/>
      </c>
    </row>
    <row r="994" spans="2:2" x14ac:dyDescent="0.2">
      <c r="B994" t="str" cm="1">
        <f t="array" ref="B994">IF(A994="","",_xlfn.CHOOSECOLS('Prematch Backend 2A'!994:994,_xlfn.MAKEARRAY(1,A994-2,_xlfn.LAMBDA(_xlpm.r,_xlpm.c,_xlpm.c))))</f>
        <v/>
      </c>
    </row>
    <row r="995" spans="2:2" x14ac:dyDescent="0.2">
      <c r="B995" t="str" cm="1">
        <f t="array" ref="B995">IF(A995="","",_xlfn.CHOOSECOLS('Prematch Backend 2A'!995:995,_xlfn.MAKEARRAY(1,A995-2,_xlfn.LAMBDA(_xlpm.r,_xlpm.c,_xlpm.c))))</f>
        <v/>
      </c>
    </row>
    <row r="996" spans="2:2" x14ac:dyDescent="0.2">
      <c r="B996" t="str" cm="1">
        <f t="array" ref="B996">IF(A996="","",_xlfn.CHOOSECOLS('Prematch Backend 2A'!996:996,_xlfn.MAKEARRAY(1,A996-2,_xlfn.LAMBDA(_xlpm.r,_xlpm.c,_xlpm.c))))</f>
        <v/>
      </c>
    </row>
    <row r="997" spans="2:2" x14ac:dyDescent="0.2">
      <c r="B997" t="str" cm="1">
        <f t="array" ref="B997">IF(A997="","",_xlfn.CHOOSECOLS('Prematch Backend 2A'!997:997,_xlfn.MAKEARRAY(1,A997-2,_xlfn.LAMBDA(_xlpm.r,_xlpm.c,_xlpm.c))))</f>
        <v/>
      </c>
    </row>
    <row r="998" spans="2:2" x14ac:dyDescent="0.2">
      <c r="B998" t="str" cm="1">
        <f t="array" ref="B998">IF(A998="","",_xlfn.CHOOSECOLS('Prematch Backend 2A'!998:998,_xlfn.MAKEARRAY(1,A998-2,_xlfn.LAMBDA(_xlpm.r,_xlpm.c,_xlpm.c))))</f>
        <v/>
      </c>
    </row>
    <row r="999" spans="2:2" x14ac:dyDescent="0.2">
      <c r="B999" t="str" cm="1">
        <f t="array" ref="B999">IF(A999="","",_xlfn.CHOOSECOLS('Prematch Backend 2A'!999:999,_xlfn.MAKEARRAY(1,A999-2,_xlfn.LAMBDA(_xlpm.r,_xlpm.c,_xlpm.c))))</f>
        <v/>
      </c>
    </row>
    <row r="1000" spans="2:2" x14ac:dyDescent="0.2">
      <c r="B1000" t="str" cm="1">
        <f t="array" ref="B1000">IF(A1000="","",_xlfn.CHOOSECOLS('Prematch Backend 2A'!1000:1000,_xlfn.MAKEARRAY(1,A1000-2,_xlfn.LAMBDA(_xlpm.r,_xlpm.c,_xlpm.c))))</f>
        <v/>
      </c>
    </row>
    <row r="1001" spans="2:2" x14ac:dyDescent="0.2">
      <c r="B1001" t="str" cm="1">
        <f t="array" ref="B1001">IF(A1001="","",_xlfn.CHOOSECOLS('Prematch Backend 2A'!1001:1001,_xlfn.MAKEARRAY(1,A1001-2,_xlfn.LAMBDA(_xlpm.r,_xlpm.c,_xlpm.c))))</f>
        <v/>
      </c>
    </row>
    <row r="1002" spans="2:2" x14ac:dyDescent="0.2">
      <c r="B1002" t="str" cm="1">
        <f t="array" ref="B1002">IF(A1002="","",_xlfn.CHOOSECOLS('Prematch Backend 2A'!1002:1002,_xlfn.MAKEARRAY(1,A1002-2,_xlfn.LAMBDA(_xlpm.r,_xlpm.c,_xlpm.c))))</f>
        <v/>
      </c>
    </row>
    <row r="1003" spans="2:2" x14ac:dyDescent="0.2">
      <c r="B1003" t="str" cm="1">
        <f t="array" ref="B1003">IF(A1003="","",_xlfn.CHOOSECOLS('Prematch Backend 2A'!1003:1003,_xlfn.MAKEARRAY(1,A1003-2,_xlfn.LAMBDA(_xlpm.r,_xlpm.c,_xlpm.c))))</f>
        <v/>
      </c>
    </row>
    <row r="1004" spans="2:2" x14ac:dyDescent="0.2">
      <c r="B1004" t="str" cm="1">
        <f t="array" ref="B1004">IF(A1004="","",_xlfn.CHOOSECOLS('Prematch Backend 2A'!1004:1004,_xlfn.MAKEARRAY(1,A1004-2,_xlfn.LAMBDA(_xlpm.r,_xlpm.c,_xlpm.c))))</f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D8C2D-F8F3-48E0-8EC1-0A454ACF1268}">
  <sheetPr codeName="Sheet22"/>
  <dimension ref="B1:H336"/>
  <sheetViews>
    <sheetView topLeftCell="B1" zoomScale="99" workbookViewId="0">
      <selection activeCell="F2" sqref="F2"/>
    </sheetView>
  </sheetViews>
  <sheetFormatPr baseColWidth="10" defaultColWidth="8.83203125" defaultRowHeight="15" x14ac:dyDescent="0.2"/>
  <cols>
    <col min="1" max="1" width="0" hidden="1" customWidth="1"/>
    <col min="7" max="8" width="11" customWidth="1"/>
  </cols>
  <sheetData>
    <row r="1" spans="2:7" x14ac:dyDescent="0.2">
      <c r="B1" t="s">
        <v>167</v>
      </c>
      <c r="D1" t="s">
        <v>168</v>
      </c>
    </row>
    <row r="2" spans="2:7" x14ac:dyDescent="0.2">
      <c r="B2">
        <f>'Prematch Backend 6A'!A2</f>
        <v>1000</v>
      </c>
      <c r="D2">
        <v>1</v>
      </c>
    </row>
    <row r="3" spans="2:7" x14ac:dyDescent="0.2">
      <c r="C3" t="s">
        <v>173</v>
      </c>
      <c r="D3" t="s">
        <v>174</v>
      </c>
      <c r="F3" t="s">
        <v>173</v>
      </c>
      <c r="G3" t="s">
        <v>174</v>
      </c>
    </row>
    <row r="5" spans="2:7" x14ac:dyDescent="0.2">
      <c r="C5" t="e" cm="1">
        <f t="array" ref="C5">_xlfn.TOCOL(_xlfn.CHOOSECOLS('Prematch Backend 6B'!5:5, _xlfn.MAKEARRAY(('Prematch Backend 6B'!E2)/4,1,_xlfn.LAMBDA(_xlpm.r,_xlpm.c,_xlpm.r*4-1))))</f>
        <v>#VALUE!</v>
      </c>
      <c r="D5" t="e" cm="1">
        <f t="array" ref="D5">ABS(_xlfn.TOCOL(_xlfn.CHOOSECOLS('Prematch Backend 6B'!5:5,_xlfn.MAKEARRAY(('Prematch Backend 6B'!E2)/4,1,_xlfn.LAMBDA(_xlpm.r,_xlpm.c,_xlpm.r*4-3)))))</f>
        <v>#VALUE!</v>
      </c>
      <c r="F5" t="e" cm="1" vm="2">
        <f t="array" ref="F5">_xlfn.TOCOL(IF(_xlfn.BYROW(G5:G1000,_xlfn.LAMBDA(_xlpm.r,MAX(getData(C5:C1000,D5:D1000,D5:D1000,_xlpm.r))))=0,"",_xlfn.BYROW(G5:G1000,_xlfn.LAMBDA(_xlpm.r,MAX(getData(C5:C1000,D5:D1000,D5:D1000,_xlpm.r))))),3)</f>
        <v>#VALUE!</v>
      </c>
      <c r="G5" t="e" cm="1">
        <f t="array" ref="G5">_xlfn.TOCOL(_xlfn._xlws.SORT(_xlfn.UNIQUE(D5:D1000)),1)</f>
        <v>#VALUE!</v>
      </c>
    </row>
    <row r="17" spans="8:8" x14ac:dyDescent="0.2">
      <c r="H17" t="str">
        <f t="shared" ref="H17:H74" si="0">IF(C16=0,"",C16)</f>
        <v/>
      </c>
    </row>
    <row r="18" spans="8:8" x14ac:dyDescent="0.2">
      <c r="H18" t="str">
        <f t="shared" si="0"/>
        <v/>
      </c>
    </row>
    <row r="19" spans="8:8" x14ac:dyDescent="0.2">
      <c r="H19" t="str">
        <f t="shared" si="0"/>
        <v/>
      </c>
    </row>
    <row r="20" spans="8:8" x14ac:dyDescent="0.2">
      <c r="H20" t="str">
        <f t="shared" si="0"/>
        <v/>
      </c>
    </row>
    <row r="21" spans="8:8" x14ac:dyDescent="0.2">
      <c r="H21" t="str">
        <f t="shared" si="0"/>
        <v/>
      </c>
    </row>
    <row r="22" spans="8:8" x14ac:dyDescent="0.2">
      <c r="H22" t="str">
        <f t="shared" si="0"/>
        <v/>
      </c>
    </row>
    <row r="23" spans="8:8" x14ac:dyDescent="0.2">
      <c r="H23" t="str">
        <f t="shared" si="0"/>
        <v/>
      </c>
    </row>
    <row r="24" spans="8:8" x14ac:dyDescent="0.2">
      <c r="H24" t="str">
        <f t="shared" si="0"/>
        <v/>
      </c>
    </row>
    <row r="25" spans="8:8" x14ac:dyDescent="0.2">
      <c r="H25" t="str">
        <f t="shared" si="0"/>
        <v/>
      </c>
    </row>
    <row r="26" spans="8:8" x14ac:dyDescent="0.2">
      <c r="H26" t="str">
        <f t="shared" si="0"/>
        <v/>
      </c>
    </row>
    <row r="27" spans="8:8" x14ac:dyDescent="0.2">
      <c r="H27" t="str">
        <f t="shared" si="0"/>
        <v/>
      </c>
    </row>
    <row r="28" spans="8:8" x14ac:dyDescent="0.2">
      <c r="H28" t="str">
        <f t="shared" si="0"/>
        <v/>
      </c>
    </row>
    <row r="29" spans="8:8" x14ac:dyDescent="0.2">
      <c r="H29" t="str">
        <f t="shared" si="0"/>
        <v/>
      </c>
    </row>
    <row r="30" spans="8:8" x14ac:dyDescent="0.2">
      <c r="H30" t="str">
        <f t="shared" si="0"/>
        <v/>
      </c>
    </row>
    <row r="31" spans="8:8" x14ac:dyDescent="0.2">
      <c r="H31" t="str">
        <f t="shared" si="0"/>
        <v/>
      </c>
    </row>
    <row r="32" spans="8:8" x14ac:dyDescent="0.2">
      <c r="H32" t="str">
        <f t="shared" si="0"/>
        <v/>
      </c>
    </row>
    <row r="33" spans="8:8" x14ac:dyDescent="0.2">
      <c r="H33" t="str">
        <f t="shared" si="0"/>
        <v/>
      </c>
    </row>
    <row r="34" spans="8:8" x14ac:dyDescent="0.2">
      <c r="H34" t="str">
        <f t="shared" si="0"/>
        <v/>
      </c>
    </row>
    <row r="35" spans="8:8" x14ac:dyDescent="0.2">
      <c r="H35" t="str">
        <f t="shared" si="0"/>
        <v/>
      </c>
    </row>
    <row r="36" spans="8:8" x14ac:dyDescent="0.2">
      <c r="H36" t="str">
        <f t="shared" si="0"/>
        <v/>
      </c>
    </row>
    <row r="37" spans="8:8" x14ac:dyDescent="0.2">
      <c r="H37" t="str">
        <f t="shared" si="0"/>
        <v/>
      </c>
    </row>
    <row r="38" spans="8:8" x14ac:dyDescent="0.2">
      <c r="H38" t="str">
        <f t="shared" si="0"/>
        <v/>
      </c>
    </row>
    <row r="39" spans="8:8" x14ac:dyDescent="0.2">
      <c r="H39" t="str">
        <f t="shared" si="0"/>
        <v/>
      </c>
    </row>
    <row r="40" spans="8:8" x14ac:dyDescent="0.2">
      <c r="H40" t="str">
        <f t="shared" si="0"/>
        <v/>
      </c>
    </row>
    <row r="41" spans="8:8" x14ac:dyDescent="0.2">
      <c r="H41" t="str">
        <f t="shared" si="0"/>
        <v/>
      </c>
    </row>
    <row r="42" spans="8:8" x14ac:dyDescent="0.2">
      <c r="H42" t="str">
        <f t="shared" si="0"/>
        <v/>
      </c>
    </row>
    <row r="43" spans="8:8" x14ac:dyDescent="0.2">
      <c r="H43" t="str">
        <f t="shared" si="0"/>
        <v/>
      </c>
    </row>
    <row r="44" spans="8:8" x14ac:dyDescent="0.2">
      <c r="H44" t="str">
        <f t="shared" si="0"/>
        <v/>
      </c>
    </row>
    <row r="45" spans="8:8" x14ac:dyDescent="0.2">
      <c r="H45" t="str">
        <f t="shared" si="0"/>
        <v/>
      </c>
    </row>
    <row r="46" spans="8:8" x14ac:dyDescent="0.2">
      <c r="H46" t="str">
        <f t="shared" si="0"/>
        <v/>
      </c>
    </row>
    <row r="47" spans="8:8" x14ac:dyDescent="0.2">
      <c r="H47" t="str">
        <f t="shared" si="0"/>
        <v/>
      </c>
    </row>
    <row r="48" spans="8:8" x14ac:dyDescent="0.2">
      <c r="H48" t="str">
        <f t="shared" si="0"/>
        <v/>
      </c>
    </row>
    <row r="49" spans="8:8" x14ac:dyDescent="0.2">
      <c r="H49" t="str">
        <f t="shared" si="0"/>
        <v/>
      </c>
    </row>
    <row r="50" spans="8:8" x14ac:dyDescent="0.2">
      <c r="H50" t="str">
        <f t="shared" si="0"/>
        <v/>
      </c>
    </row>
    <row r="51" spans="8:8" x14ac:dyDescent="0.2">
      <c r="H51" t="str">
        <f t="shared" si="0"/>
        <v/>
      </c>
    </row>
    <row r="52" spans="8:8" x14ac:dyDescent="0.2">
      <c r="H52" t="str">
        <f t="shared" si="0"/>
        <v/>
      </c>
    </row>
    <row r="53" spans="8:8" x14ac:dyDescent="0.2">
      <c r="H53" t="str">
        <f t="shared" si="0"/>
        <v/>
      </c>
    </row>
    <row r="54" spans="8:8" x14ac:dyDescent="0.2">
      <c r="H54" t="str">
        <f t="shared" si="0"/>
        <v/>
      </c>
    </row>
    <row r="55" spans="8:8" x14ac:dyDescent="0.2">
      <c r="H55" t="str">
        <f t="shared" si="0"/>
        <v/>
      </c>
    </row>
    <row r="56" spans="8:8" x14ac:dyDescent="0.2">
      <c r="H56" t="str">
        <f t="shared" si="0"/>
        <v/>
      </c>
    </row>
    <row r="57" spans="8:8" x14ac:dyDescent="0.2">
      <c r="H57" t="str">
        <f t="shared" si="0"/>
        <v/>
      </c>
    </row>
    <row r="58" spans="8:8" x14ac:dyDescent="0.2">
      <c r="H58" t="str">
        <f t="shared" si="0"/>
        <v/>
      </c>
    </row>
    <row r="59" spans="8:8" x14ac:dyDescent="0.2">
      <c r="H59" t="str">
        <f t="shared" si="0"/>
        <v/>
      </c>
    </row>
    <row r="60" spans="8:8" x14ac:dyDescent="0.2">
      <c r="H60" t="str">
        <f t="shared" si="0"/>
        <v/>
      </c>
    </row>
    <row r="61" spans="8:8" x14ac:dyDescent="0.2">
      <c r="H61" t="str">
        <f t="shared" si="0"/>
        <v/>
      </c>
    </row>
    <row r="62" spans="8:8" x14ac:dyDescent="0.2">
      <c r="H62" t="str">
        <f t="shared" si="0"/>
        <v/>
      </c>
    </row>
    <row r="63" spans="8:8" x14ac:dyDescent="0.2">
      <c r="H63" t="str">
        <f t="shared" si="0"/>
        <v/>
      </c>
    </row>
    <row r="64" spans="8:8" x14ac:dyDescent="0.2">
      <c r="H64" t="str">
        <f t="shared" si="0"/>
        <v/>
      </c>
    </row>
    <row r="65" spans="8:8" x14ac:dyDescent="0.2">
      <c r="H65" t="str">
        <f t="shared" si="0"/>
        <v/>
      </c>
    </row>
    <row r="66" spans="8:8" x14ac:dyDescent="0.2">
      <c r="H66" t="str">
        <f t="shared" si="0"/>
        <v/>
      </c>
    </row>
    <row r="67" spans="8:8" x14ac:dyDescent="0.2">
      <c r="H67" t="str">
        <f t="shared" si="0"/>
        <v/>
      </c>
    </row>
    <row r="68" spans="8:8" x14ac:dyDescent="0.2">
      <c r="H68" t="str">
        <f t="shared" si="0"/>
        <v/>
      </c>
    </row>
    <row r="69" spans="8:8" x14ac:dyDescent="0.2">
      <c r="H69" t="str">
        <f t="shared" si="0"/>
        <v/>
      </c>
    </row>
    <row r="70" spans="8:8" x14ac:dyDescent="0.2">
      <c r="H70" t="str">
        <f t="shared" si="0"/>
        <v/>
      </c>
    </row>
    <row r="71" spans="8:8" x14ac:dyDescent="0.2">
      <c r="H71" t="str">
        <f t="shared" si="0"/>
        <v/>
      </c>
    </row>
    <row r="72" spans="8:8" x14ac:dyDescent="0.2">
      <c r="H72" t="str">
        <f t="shared" si="0"/>
        <v/>
      </c>
    </row>
    <row r="73" spans="8:8" x14ac:dyDescent="0.2">
      <c r="H73" t="str">
        <f t="shared" si="0"/>
        <v/>
      </c>
    </row>
    <row r="74" spans="8:8" x14ac:dyDescent="0.2">
      <c r="H74" t="str">
        <f t="shared" si="0"/>
        <v/>
      </c>
    </row>
    <row r="75" spans="8:8" x14ac:dyDescent="0.2">
      <c r="H75" t="str">
        <f t="shared" ref="H75:H138" si="1">IF(C74=0,"",C74)</f>
        <v/>
      </c>
    </row>
    <row r="76" spans="8:8" x14ac:dyDescent="0.2">
      <c r="H76" t="str">
        <f t="shared" si="1"/>
        <v/>
      </c>
    </row>
    <row r="77" spans="8:8" x14ac:dyDescent="0.2">
      <c r="H77" t="str">
        <f t="shared" si="1"/>
        <v/>
      </c>
    </row>
    <row r="78" spans="8:8" x14ac:dyDescent="0.2">
      <c r="H78" t="str">
        <f t="shared" si="1"/>
        <v/>
      </c>
    </row>
    <row r="79" spans="8:8" x14ac:dyDescent="0.2">
      <c r="H79" t="str">
        <f t="shared" si="1"/>
        <v/>
      </c>
    </row>
    <row r="80" spans="8:8" x14ac:dyDescent="0.2">
      <c r="H80" t="str">
        <f t="shared" si="1"/>
        <v/>
      </c>
    </row>
    <row r="81" spans="8:8" x14ac:dyDescent="0.2">
      <c r="H81" t="str">
        <f t="shared" si="1"/>
        <v/>
      </c>
    </row>
    <row r="82" spans="8:8" x14ac:dyDescent="0.2">
      <c r="H82" t="str">
        <f t="shared" si="1"/>
        <v/>
      </c>
    </row>
    <row r="83" spans="8:8" x14ac:dyDescent="0.2">
      <c r="H83" t="str">
        <f t="shared" si="1"/>
        <v/>
      </c>
    </row>
    <row r="84" spans="8:8" x14ac:dyDescent="0.2">
      <c r="H84" t="str">
        <f t="shared" si="1"/>
        <v/>
      </c>
    </row>
    <row r="85" spans="8:8" x14ac:dyDescent="0.2">
      <c r="H85" t="str">
        <f t="shared" si="1"/>
        <v/>
      </c>
    </row>
    <row r="86" spans="8:8" x14ac:dyDescent="0.2">
      <c r="H86" t="str">
        <f t="shared" si="1"/>
        <v/>
      </c>
    </row>
    <row r="87" spans="8:8" x14ac:dyDescent="0.2">
      <c r="H87" t="str">
        <f t="shared" si="1"/>
        <v/>
      </c>
    </row>
    <row r="88" spans="8:8" x14ac:dyDescent="0.2">
      <c r="H88" t="str">
        <f t="shared" si="1"/>
        <v/>
      </c>
    </row>
    <row r="89" spans="8:8" x14ac:dyDescent="0.2">
      <c r="H89" t="str">
        <f t="shared" si="1"/>
        <v/>
      </c>
    </row>
    <row r="90" spans="8:8" x14ac:dyDescent="0.2">
      <c r="H90" t="str">
        <f t="shared" si="1"/>
        <v/>
      </c>
    </row>
    <row r="91" spans="8:8" x14ac:dyDescent="0.2">
      <c r="H91" t="str">
        <f t="shared" si="1"/>
        <v/>
      </c>
    </row>
    <row r="92" spans="8:8" x14ac:dyDescent="0.2">
      <c r="H92" t="str">
        <f t="shared" si="1"/>
        <v/>
      </c>
    </row>
    <row r="93" spans="8:8" x14ac:dyDescent="0.2">
      <c r="H93" t="str">
        <f t="shared" si="1"/>
        <v/>
      </c>
    </row>
    <row r="94" spans="8:8" x14ac:dyDescent="0.2">
      <c r="H94" t="str">
        <f t="shared" si="1"/>
        <v/>
      </c>
    </row>
    <row r="95" spans="8:8" x14ac:dyDescent="0.2">
      <c r="H95" t="str">
        <f t="shared" si="1"/>
        <v/>
      </c>
    </row>
    <row r="96" spans="8:8" x14ac:dyDescent="0.2">
      <c r="H96" t="str">
        <f t="shared" si="1"/>
        <v/>
      </c>
    </row>
    <row r="97" spans="8:8" x14ac:dyDescent="0.2">
      <c r="H97" t="str">
        <f t="shared" si="1"/>
        <v/>
      </c>
    </row>
    <row r="98" spans="8:8" x14ac:dyDescent="0.2">
      <c r="H98" t="str">
        <f t="shared" si="1"/>
        <v/>
      </c>
    </row>
    <row r="99" spans="8:8" x14ac:dyDescent="0.2">
      <c r="H99" t="str">
        <f t="shared" si="1"/>
        <v/>
      </c>
    </row>
    <row r="100" spans="8:8" x14ac:dyDescent="0.2">
      <c r="H100" t="str">
        <f t="shared" si="1"/>
        <v/>
      </c>
    </row>
    <row r="101" spans="8:8" x14ac:dyDescent="0.2">
      <c r="H101" t="str">
        <f t="shared" si="1"/>
        <v/>
      </c>
    </row>
    <row r="102" spans="8:8" x14ac:dyDescent="0.2">
      <c r="H102" t="str">
        <f t="shared" si="1"/>
        <v/>
      </c>
    </row>
    <row r="103" spans="8:8" x14ac:dyDescent="0.2">
      <c r="H103" t="str">
        <f t="shared" si="1"/>
        <v/>
      </c>
    </row>
    <row r="104" spans="8:8" x14ac:dyDescent="0.2">
      <c r="H104" t="str">
        <f t="shared" si="1"/>
        <v/>
      </c>
    </row>
    <row r="105" spans="8:8" x14ac:dyDescent="0.2">
      <c r="H105" t="str">
        <f t="shared" si="1"/>
        <v/>
      </c>
    </row>
    <row r="106" spans="8:8" x14ac:dyDescent="0.2">
      <c r="H106" t="str">
        <f t="shared" si="1"/>
        <v/>
      </c>
    </row>
    <row r="107" spans="8:8" x14ac:dyDescent="0.2">
      <c r="H107" t="str">
        <f t="shared" si="1"/>
        <v/>
      </c>
    </row>
    <row r="108" spans="8:8" x14ac:dyDescent="0.2">
      <c r="H108" t="str">
        <f t="shared" si="1"/>
        <v/>
      </c>
    </row>
    <row r="109" spans="8:8" x14ac:dyDescent="0.2">
      <c r="H109" t="str">
        <f t="shared" si="1"/>
        <v/>
      </c>
    </row>
    <row r="110" spans="8:8" x14ac:dyDescent="0.2">
      <c r="H110" t="str">
        <f t="shared" si="1"/>
        <v/>
      </c>
    </row>
    <row r="111" spans="8:8" x14ac:dyDescent="0.2">
      <c r="H111" t="str">
        <f t="shared" si="1"/>
        <v/>
      </c>
    </row>
    <row r="112" spans="8:8" x14ac:dyDescent="0.2">
      <c r="H112" t="str">
        <f t="shared" si="1"/>
        <v/>
      </c>
    </row>
    <row r="113" spans="8:8" x14ac:dyDescent="0.2">
      <c r="H113" t="str">
        <f t="shared" si="1"/>
        <v/>
      </c>
    </row>
    <row r="114" spans="8:8" x14ac:dyDescent="0.2">
      <c r="H114" t="str">
        <f t="shared" si="1"/>
        <v/>
      </c>
    </row>
    <row r="115" spans="8:8" x14ac:dyDescent="0.2">
      <c r="H115" t="str">
        <f t="shared" si="1"/>
        <v/>
      </c>
    </row>
    <row r="116" spans="8:8" x14ac:dyDescent="0.2">
      <c r="H116" t="str">
        <f t="shared" si="1"/>
        <v/>
      </c>
    </row>
    <row r="117" spans="8:8" x14ac:dyDescent="0.2">
      <c r="H117" t="str">
        <f t="shared" si="1"/>
        <v/>
      </c>
    </row>
    <row r="118" spans="8:8" x14ac:dyDescent="0.2">
      <c r="H118" t="str">
        <f t="shared" si="1"/>
        <v/>
      </c>
    </row>
    <row r="119" spans="8:8" x14ac:dyDescent="0.2">
      <c r="H119" t="str">
        <f t="shared" si="1"/>
        <v/>
      </c>
    </row>
    <row r="120" spans="8:8" x14ac:dyDescent="0.2">
      <c r="H120" t="str">
        <f t="shared" si="1"/>
        <v/>
      </c>
    </row>
    <row r="121" spans="8:8" x14ac:dyDescent="0.2">
      <c r="H121" t="str">
        <f t="shared" si="1"/>
        <v/>
      </c>
    </row>
    <row r="122" spans="8:8" x14ac:dyDescent="0.2">
      <c r="H122" t="str">
        <f t="shared" si="1"/>
        <v/>
      </c>
    </row>
    <row r="123" spans="8:8" x14ac:dyDescent="0.2">
      <c r="H123" t="str">
        <f t="shared" si="1"/>
        <v/>
      </c>
    </row>
    <row r="124" spans="8:8" x14ac:dyDescent="0.2">
      <c r="H124" t="str">
        <f t="shared" si="1"/>
        <v/>
      </c>
    </row>
    <row r="125" spans="8:8" x14ac:dyDescent="0.2">
      <c r="H125" t="str">
        <f t="shared" si="1"/>
        <v/>
      </c>
    </row>
    <row r="126" spans="8:8" x14ac:dyDescent="0.2">
      <c r="H126" t="str">
        <f t="shared" si="1"/>
        <v/>
      </c>
    </row>
    <row r="127" spans="8:8" x14ac:dyDescent="0.2">
      <c r="H127" t="str">
        <f t="shared" si="1"/>
        <v/>
      </c>
    </row>
    <row r="128" spans="8:8" x14ac:dyDescent="0.2">
      <c r="H128" t="str">
        <f t="shared" si="1"/>
        <v/>
      </c>
    </row>
    <row r="129" spans="8:8" x14ac:dyDescent="0.2">
      <c r="H129" t="str">
        <f t="shared" si="1"/>
        <v/>
      </c>
    </row>
    <row r="130" spans="8:8" x14ac:dyDescent="0.2">
      <c r="H130" t="str">
        <f t="shared" si="1"/>
        <v/>
      </c>
    </row>
    <row r="131" spans="8:8" x14ac:dyDescent="0.2">
      <c r="H131" t="str">
        <f t="shared" si="1"/>
        <v/>
      </c>
    </row>
    <row r="132" spans="8:8" x14ac:dyDescent="0.2">
      <c r="H132" t="str">
        <f t="shared" si="1"/>
        <v/>
      </c>
    </row>
    <row r="133" spans="8:8" x14ac:dyDescent="0.2">
      <c r="H133" t="str">
        <f t="shared" si="1"/>
        <v/>
      </c>
    </row>
    <row r="134" spans="8:8" x14ac:dyDescent="0.2">
      <c r="H134" t="str">
        <f t="shared" si="1"/>
        <v/>
      </c>
    </row>
    <row r="135" spans="8:8" x14ac:dyDescent="0.2">
      <c r="H135" t="str">
        <f t="shared" si="1"/>
        <v/>
      </c>
    </row>
    <row r="136" spans="8:8" x14ac:dyDescent="0.2">
      <c r="H136" t="str">
        <f t="shared" si="1"/>
        <v/>
      </c>
    </row>
    <row r="137" spans="8:8" x14ac:dyDescent="0.2">
      <c r="H137" t="str">
        <f t="shared" si="1"/>
        <v/>
      </c>
    </row>
    <row r="138" spans="8:8" x14ac:dyDescent="0.2">
      <c r="H138" t="str">
        <f t="shared" si="1"/>
        <v/>
      </c>
    </row>
    <row r="139" spans="8:8" x14ac:dyDescent="0.2">
      <c r="H139" t="str">
        <f t="shared" ref="H139:H202" si="2">IF(C138=0,"",C138)</f>
        <v/>
      </c>
    </row>
    <row r="140" spans="8:8" x14ac:dyDescent="0.2">
      <c r="H140" t="str">
        <f t="shared" si="2"/>
        <v/>
      </c>
    </row>
    <row r="141" spans="8:8" x14ac:dyDescent="0.2">
      <c r="H141" t="str">
        <f t="shared" si="2"/>
        <v/>
      </c>
    </row>
    <row r="142" spans="8:8" x14ac:dyDescent="0.2">
      <c r="H142" t="str">
        <f t="shared" si="2"/>
        <v/>
      </c>
    </row>
    <row r="143" spans="8:8" x14ac:dyDescent="0.2">
      <c r="H143" t="str">
        <f t="shared" si="2"/>
        <v/>
      </c>
    </row>
    <row r="144" spans="8:8" x14ac:dyDescent="0.2">
      <c r="H144" t="str">
        <f t="shared" si="2"/>
        <v/>
      </c>
    </row>
    <row r="145" spans="8:8" x14ac:dyDescent="0.2">
      <c r="H145" t="str">
        <f t="shared" si="2"/>
        <v/>
      </c>
    </row>
    <row r="146" spans="8:8" x14ac:dyDescent="0.2">
      <c r="H146" t="str">
        <f t="shared" si="2"/>
        <v/>
      </c>
    </row>
    <row r="147" spans="8:8" x14ac:dyDescent="0.2">
      <c r="H147" t="str">
        <f t="shared" si="2"/>
        <v/>
      </c>
    </row>
    <row r="148" spans="8:8" x14ac:dyDescent="0.2">
      <c r="H148" t="str">
        <f t="shared" si="2"/>
        <v/>
      </c>
    </row>
    <row r="149" spans="8:8" x14ac:dyDescent="0.2">
      <c r="H149" t="str">
        <f t="shared" si="2"/>
        <v/>
      </c>
    </row>
    <row r="150" spans="8:8" x14ac:dyDescent="0.2">
      <c r="H150" t="str">
        <f t="shared" si="2"/>
        <v/>
      </c>
    </row>
    <row r="151" spans="8:8" x14ac:dyDescent="0.2">
      <c r="H151" t="str">
        <f t="shared" si="2"/>
        <v/>
      </c>
    </row>
    <row r="152" spans="8:8" x14ac:dyDescent="0.2">
      <c r="H152" t="str">
        <f t="shared" si="2"/>
        <v/>
      </c>
    </row>
    <row r="153" spans="8:8" x14ac:dyDescent="0.2">
      <c r="H153" t="str">
        <f t="shared" si="2"/>
        <v/>
      </c>
    </row>
    <row r="154" spans="8:8" x14ac:dyDescent="0.2">
      <c r="H154" t="str">
        <f t="shared" si="2"/>
        <v/>
      </c>
    </row>
    <row r="155" spans="8:8" x14ac:dyDescent="0.2">
      <c r="H155" t="str">
        <f t="shared" si="2"/>
        <v/>
      </c>
    </row>
    <row r="156" spans="8:8" x14ac:dyDescent="0.2">
      <c r="H156" t="str">
        <f t="shared" si="2"/>
        <v/>
      </c>
    </row>
    <row r="157" spans="8:8" x14ac:dyDescent="0.2">
      <c r="H157" t="str">
        <f t="shared" si="2"/>
        <v/>
      </c>
    </row>
    <row r="158" spans="8:8" x14ac:dyDescent="0.2">
      <c r="H158" t="str">
        <f t="shared" si="2"/>
        <v/>
      </c>
    </row>
    <row r="159" spans="8:8" x14ac:dyDescent="0.2">
      <c r="H159" t="str">
        <f t="shared" si="2"/>
        <v/>
      </c>
    </row>
    <row r="160" spans="8:8" x14ac:dyDescent="0.2">
      <c r="H160" t="str">
        <f t="shared" si="2"/>
        <v/>
      </c>
    </row>
    <row r="161" spans="8:8" x14ac:dyDescent="0.2">
      <c r="H161" t="str">
        <f t="shared" si="2"/>
        <v/>
      </c>
    </row>
    <row r="162" spans="8:8" x14ac:dyDescent="0.2">
      <c r="H162" t="str">
        <f t="shared" si="2"/>
        <v/>
      </c>
    </row>
    <row r="163" spans="8:8" x14ac:dyDescent="0.2">
      <c r="H163" t="str">
        <f t="shared" si="2"/>
        <v/>
      </c>
    </row>
    <row r="164" spans="8:8" x14ac:dyDescent="0.2">
      <c r="H164" t="str">
        <f t="shared" si="2"/>
        <v/>
      </c>
    </row>
    <row r="165" spans="8:8" x14ac:dyDescent="0.2">
      <c r="H165" t="str">
        <f t="shared" si="2"/>
        <v/>
      </c>
    </row>
    <row r="166" spans="8:8" x14ac:dyDescent="0.2">
      <c r="H166" t="str">
        <f t="shared" si="2"/>
        <v/>
      </c>
    </row>
    <row r="167" spans="8:8" x14ac:dyDescent="0.2">
      <c r="H167" t="str">
        <f t="shared" si="2"/>
        <v/>
      </c>
    </row>
    <row r="168" spans="8:8" x14ac:dyDescent="0.2">
      <c r="H168" t="str">
        <f t="shared" si="2"/>
        <v/>
      </c>
    </row>
    <row r="169" spans="8:8" x14ac:dyDescent="0.2">
      <c r="H169" t="str">
        <f t="shared" si="2"/>
        <v/>
      </c>
    </row>
    <row r="170" spans="8:8" x14ac:dyDescent="0.2">
      <c r="H170" t="str">
        <f t="shared" si="2"/>
        <v/>
      </c>
    </row>
    <row r="171" spans="8:8" x14ac:dyDescent="0.2">
      <c r="H171" t="str">
        <f t="shared" si="2"/>
        <v/>
      </c>
    </row>
    <row r="172" spans="8:8" x14ac:dyDescent="0.2">
      <c r="H172" t="str">
        <f t="shared" si="2"/>
        <v/>
      </c>
    </row>
    <row r="173" spans="8:8" x14ac:dyDescent="0.2">
      <c r="H173" t="str">
        <f t="shared" si="2"/>
        <v/>
      </c>
    </row>
    <row r="174" spans="8:8" x14ac:dyDescent="0.2">
      <c r="H174" t="str">
        <f t="shared" si="2"/>
        <v/>
      </c>
    </row>
    <row r="175" spans="8:8" x14ac:dyDescent="0.2">
      <c r="H175" t="str">
        <f t="shared" si="2"/>
        <v/>
      </c>
    </row>
    <row r="176" spans="8:8" x14ac:dyDescent="0.2">
      <c r="H176" t="str">
        <f t="shared" si="2"/>
        <v/>
      </c>
    </row>
    <row r="177" spans="8:8" x14ac:dyDescent="0.2">
      <c r="H177" t="str">
        <f t="shared" si="2"/>
        <v/>
      </c>
    </row>
    <row r="178" spans="8:8" x14ac:dyDescent="0.2">
      <c r="H178" t="str">
        <f t="shared" si="2"/>
        <v/>
      </c>
    </row>
    <row r="179" spans="8:8" x14ac:dyDescent="0.2">
      <c r="H179" t="str">
        <f t="shared" si="2"/>
        <v/>
      </c>
    </row>
    <row r="180" spans="8:8" x14ac:dyDescent="0.2">
      <c r="H180" t="str">
        <f t="shared" si="2"/>
        <v/>
      </c>
    </row>
    <row r="181" spans="8:8" x14ac:dyDescent="0.2">
      <c r="H181" t="str">
        <f t="shared" si="2"/>
        <v/>
      </c>
    </row>
    <row r="182" spans="8:8" x14ac:dyDescent="0.2">
      <c r="H182" t="str">
        <f t="shared" si="2"/>
        <v/>
      </c>
    </row>
    <row r="183" spans="8:8" x14ac:dyDescent="0.2">
      <c r="H183" t="str">
        <f t="shared" si="2"/>
        <v/>
      </c>
    </row>
    <row r="184" spans="8:8" x14ac:dyDescent="0.2">
      <c r="H184" t="str">
        <f t="shared" si="2"/>
        <v/>
      </c>
    </row>
    <row r="185" spans="8:8" x14ac:dyDescent="0.2">
      <c r="H185" t="str">
        <f t="shared" si="2"/>
        <v/>
      </c>
    </row>
    <row r="186" spans="8:8" x14ac:dyDescent="0.2">
      <c r="H186" t="str">
        <f t="shared" si="2"/>
        <v/>
      </c>
    </row>
    <row r="187" spans="8:8" x14ac:dyDescent="0.2">
      <c r="H187" t="str">
        <f t="shared" si="2"/>
        <v/>
      </c>
    </row>
    <row r="188" spans="8:8" x14ac:dyDescent="0.2">
      <c r="H188" t="str">
        <f t="shared" si="2"/>
        <v/>
      </c>
    </row>
    <row r="189" spans="8:8" x14ac:dyDescent="0.2">
      <c r="H189" t="str">
        <f t="shared" si="2"/>
        <v/>
      </c>
    </row>
    <row r="190" spans="8:8" x14ac:dyDescent="0.2">
      <c r="H190" t="str">
        <f t="shared" si="2"/>
        <v/>
      </c>
    </row>
    <row r="191" spans="8:8" x14ac:dyDescent="0.2">
      <c r="H191" t="str">
        <f t="shared" si="2"/>
        <v/>
      </c>
    </row>
    <row r="192" spans="8:8" x14ac:dyDescent="0.2">
      <c r="H192" t="str">
        <f t="shared" si="2"/>
        <v/>
      </c>
    </row>
    <row r="193" spans="8:8" x14ac:dyDescent="0.2">
      <c r="H193" t="str">
        <f t="shared" si="2"/>
        <v/>
      </c>
    </row>
    <row r="194" spans="8:8" x14ac:dyDescent="0.2">
      <c r="H194" t="str">
        <f t="shared" si="2"/>
        <v/>
      </c>
    </row>
    <row r="195" spans="8:8" x14ac:dyDescent="0.2">
      <c r="H195" t="str">
        <f t="shared" si="2"/>
        <v/>
      </c>
    </row>
    <row r="196" spans="8:8" x14ac:dyDescent="0.2">
      <c r="H196" t="str">
        <f t="shared" si="2"/>
        <v/>
      </c>
    </row>
    <row r="197" spans="8:8" x14ac:dyDescent="0.2">
      <c r="H197" t="str">
        <f t="shared" si="2"/>
        <v/>
      </c>
    </row>
    <row r="198" spans="8:8" x14ac:dyDescent="0.2">
      <c r="H198" t="str">
        <f t="shared" si="2"/>
        <v/>
      </c>
    </row>
    <row r="199" spans="8:8" x14ac:dyDescent="0.2">
      <c r="H199" t="str">
        <f t="shared" si="2"/>
        <v/>
      </c>
    </row>
    <row r="200" spans="8:8" x14ac:dyDescent="0.2">
      <c r="H200" t="str">
        <f t="shared" si="2"/>
        <v/>
      </c>
    </row>
    <row r="201" spans="8:8" x14ac:dyDescent="0.2">
      <c r="H201" t="str">
        <f t="shared" si="2"/>
        <v/>
      </c>
    </row>
    <row r="202" spans="8:8" x14ac:dyDescent="0.2">
      <c r="H202" t="str">
        <f t="shared" si="2"/>
        <v/>
      </c>
    </row>
    <row r="203" spans="8:8" x14ac:dyDescent="0.2">
      <c r="H203" t="str">
        <f t="shared" ref="H203:H266" si="3">IF(C202=0,"",C202)</f>
        <v/>
      </c>
    </row>
    <row r="204" spans="8:8" x14ac:dyDescent="0.2">
      <c r="H204" t="str">
        <f t="shared" si="3"/>
        <v/>
      </c>
    </row>
    <row r="205" spans="8:8" x14ac:dyDescent="0.2">
      <c r="H205" t="str">
        <f t="shared" si="3"/>
        <v/>
      </c>
    </row>
    <row r="206" spans="8:8" x14ac:dyDescent="0.2">
      <c r="H206" t="str">
        <f t="shared" si="3"/>
        <v/>
      </c>
    </row>
    <row r="207" spans="8:8" x14ac:dyDescent="0.2">
      <c r="H207" t="str">
        <f t="shared" si="3"/>
        <v/>
      </c>
    </row>
    <row r="208" spans="8:8" x14ac:dyDescent="0.2">
      <c r="H208" t="str">
        <f t="shared" si="3"/>
        <v/>
      </c>
    </row>
    <row r="209" spans="8:8" x14ac:dyDescent="0.2">
      <c r="H209" t="str">
        <f t="shared" si="3"/>
        <v/>
      </c>
    </row>
    <row r="210" spans="8:8" x14ac:dyDescent="0.2">
      <c r="H210" t="str">
        <f t="shared" si="3"/>
        <v/>
      </c>
    </row>
    <row r="211" spans="8:8" x14ac:dyDescent="0.2">
      <c r="H211" t="str">
        <f t="shared" si="3"/>
        <v/>
      </c>
    </row>
    <row r="212" spans="8:8" x14ac:dyDescent="0.2">
      <c r="H212" t="str">
        <f t="shared" si="3"/>
        <v/>
      </c>
    </row>
    <row r="213" spans="8:8" x14ac:dyDescent="0.2">
      <c r="H213" t="str">
        <f t="shared" si="3"/>
        <v/>
      </c>
    </row>
    <row r="214" spans="8:8" x14ac:dyDescent="0.2">
      <c r="H214" t="str">
        <f t="shared" si="3"/>
        <v/>
      </c>
    </row>
    <row r="215" spans="8:8" x14ac:dyDescent="0.2">
      <c r="H215" t="str">
        <f t="shared" si="3"/>
        <v/>
      </c>
    </row>
    <row r="216" spans="8:8" x14ac:dyDescent="0.2">
      <c r="H216" t="str">
        <f t="shared" si="3"/>
        <v/>
      </c>
    </row>
    <row r="217" spans="8:8" x14ac:dyDescent="0.2">
      <c r="H217" t="str">
        <f t="shared" si="3"/>
        <v/>
      </c>
    </row>
    <row r="218" spans="8:8" x14ac:dyDescent="0.2">
      <c r="H218" t="str">
        <f t="shared" si="3"/>
        <v/>
      </c>
    </row>
    <row r="219" spans="8:8" x14ac:dyDescent="0.2">
      <c r="H219" t="str">
        <f t="shared" si="3"/>
        <v/>
      </c>
    </row>
    <row r="220" spans="8:8" x14ac:dyDescent="0.2">
      <c r="H220" t="str">
        <f t="shared" si="3"/>
        <v/>
      </c>
    </row>
    <row r="221" spans="8:8" x14ac:dyDescent="0.2">
      <c r="H221" t="str">
        <f t="shared" si="3"/>
        <v/>
      </c>
    </row>
    <row r="222" spans="8:8" x14ac:dyDescent="0.2">
      <c r="H222" t="str">
        <f t="shared" si="3"/>
        <v/>
      </c>
    </row>
    <row r="223" spans="8:8" x14ac:dyDescent="0.2">
      <c r="H223" t="str">
        <f t="shared" si="3"/>
        <v/>
      </c>
    </row>
    <row r="224" spans="8:8" x14ac:dyDescent="0.2">
      <c r="H224" t="str">
        <f t="shared" si="3"/>
        <v/>
      </c>
    </row>
    <row r="225" spans="8:8" x14ac:dyDescent="0.2">
      <c r="H225" t="str">
        <f t="shared" si="3"/>
        <v/>
      </c>
    </row>
    <row r="226" spans="8:8" x14ac:dyDescent="0.2">
      <c r="H226" t="str">
        <f t="shared" si="3"/>
        <v/>
      </c>
    </row>
    <row r="227" spans="8:8" x14ac:dyDescent="0.2">
      <c r="H227" t="str">
        <f t="shared" si="3"/>
        <v/>
      </c>
    </row>
    <row r="228" spans="8:8" x14ac:dyDescent="0.2">
      <c r="H228" t="str">
        <f t="shared" si="3"/>
        <v/>
      </c>
    </row>
    <row r="229" spans="8:8" x14ac:dyDescent="0.2">
      <c r="H229" t="str">
        <f t="shared" si="3"/>
        <v/>
      </c>
    </row>
    <row r="230" spans="8:8" x14ac:dyDescent="0.2">
      <c r="H230" t="str">
        <f t="shared" si="3"/>
        <v/>
      </c>
    </row>
    <row r="231" spans="8:8" x14ac:dyDescent="0.2">
      <c r="H231" t="str">
        <f t="shared" si="3"/>
        <v/>
      </c>
    </row>
    <row r="232" spans="8:8" x14ac:dyDescent="0.2">
      <c r="H232" t="str">
        <f t="shared" si="3"/>
        <v/>
      </c>
    </row>
    <row r="233" spans="8:8" x14ac:dyDescent="0.2">
      <c r="H233" t="str">
        <f t="shared" si="3"/>
        <v/>
      </c>
    </row>
    <row r="234" spans="8:8" x14ac:dyDescent="0.2">
      <c r="H234" t="str">
        <f t="shared" si="3"/>
        <v/>
      </c>
    </row>
    <row r="235" spans="8:8" x14ac:dyDescent="0.2">
      <c r="H235" t="str">
        <f t="shared" si="3"/>
        <v/>
      </c>
    </row>
    <row r="236" spans="8:8" x14ac:dyDescent="0.2">
      <c r="H236" t="str">
        <f t="shared" si="3"/>
        <v/>
      </c>
    </row>
    <row r="237" spans="8:8" x14ac:dyDescent="0.2">
      <c r="H237" t="str">
        <f t="shared" si="3"/>
        <v/>
      </c>
    </row>
    <row r="238" spans="8:8" x14ac:dyDescent="0.2">
      <c r="H238" t="str">
        <f t="shared" si="3"/>
        <v/>
      </c>
    </row>
    <row r="239" spans="8:8" x14ac:dyDescent="0.2">
      <c r="H239" t="str">
        <f t="shared" si="3"/>
        <v/>
      </c>
    </row>
    <row r="240" spans="8:8" x14ac:dyDescent="0.2">
      <c r="H240" t="str">
        <f t="shared" si="3"/>
        <v/>
      </c>
    </row>
    <row r="241" spans="8:8" x14ac:dyDescent="0.2">
      <c r="H241" t="str">
        <f t="shared" si="3"/>
        <v/>
      </c>
    </row>
    <row r="242" spans="8:8" x14ac:dyDescent="0.2">
      <c r="H242" t="str">
        <f t="shared" si="3"/>
        <v/>
      </c>
    </row>
    <row r="243" spans="8:8" x14ac:dyDescent="0.2">
      <c r="H243" t="str">
        <f t="shared" si="3"/>
        <v/>
      </c>
    </row>
    <row r="244" spans="8:8" x14ac:dyDescent="0.2">
      <c r="H244" t="str">
        <f t="shared" si="3"/>
        <v/>
      </c>
    </row>
    <row r="245" spans="8:8" x14ac:dyDescent="0.2">
      <c r="H245" t="str">
        <f t="shared" si="3"/>
        <v/>
      </c>
    </row>
    <row r="246" spans="8:8" x14ac:dyDescent="0.2">
      <c r="H246" t="str">
        <f t="shared" si="3"/>
        <v/>
      </c>
    </row>
    <row r="247" spans="8:8" x14ac:dyDescent="0.2">
      <c r="H247" t="str">
        <f t="shared" si="3"/>
        <v/>
      </c>
    </row>
    <row r="248" spans="8:8" x14ac:dyDescent="0.2">
      <c r="H248" t="str">
        <f t="shared" si="3"/>
        <v/>
      </c>
    </row>
    <row r="249" spans="8:8" x14ac:dyDescent="0.2">
      <c r="H249" t="str">
        <f t="shared" si="3"/>
        <v/>
      </c>
    </row>
    <row r="250" spans="8:8" x14ac:dyDescent="0.2">
      <c r="H250" t="str">
        <f t="shared" si="3"/>
        <v/>
      </c>
    </row>
    <row r="251" spans="8:8" x14ac:dyDescent="0.2">
      <c r="H251" t="str">
        <f t="shared" si="3"/>
        <v/>
      </c>
    </row>
    <row r="252" spans="8:8" x14ac:dyDescent="0.2">
      <c r="H252" t="str">
        <f t="shared" si="3"/>
        <v/>
      </c>
    </row>
    <row r="253" spans="8:8" x14ac:dyDescent="0.2">
      <c r="H253" t="str">
        <f t="shared" si="3"/>
        <v/>
      </c>
    </row>
    <row r="254" spans="8:8" x14ac:dyDescent="0.2">
      <c r="H254" t="str">
        <f t="shared" si="3"/>
        <v/>
      </c>
    </row>
    <row r="255" spans="8:8" x14ac:dyDescent="0.2">
      <c r="H255" t="str">
        <f t="shared" si="3"/>
        <v/>
      </c>
    </row>
    <row r="256" spans="8:8" x14ac:dyDescent="0.2">
      <c r="H256" t="str">
        <f t="shared" si="3"/>
        <v/>
      </c>
    </row>
    <row r="257" spans="8:8" x14ac:dyDescent="0.2">
      <c r="H257" t="str">
        <f t="shared" si="3"/>
        <v/>
      </c>
    </row>
    <row r="258" spans="8:8" x14ac:dyDescent="0.2">
      <c r="H258" t="str">
        <f t="shared" si="3"/>
        <v/>
      </c>
    </row>
    <row r="259" spans="8:8" x14ac:dyDescent="0.2">
      <c r="H259" t="str">
        <f t="shared" si="3"/>
        <v/>
      </c>
    </row>
    <row r="260" spans="8:8" x14ac:dyDescent="0.2">
      <c r="H260" t="str">
        <f t="shared" si="3"/>
        <v/>
      </c>
    </row>
    <row r="261" spans="8:8" x14ac:dyDescent="0.2">
      <c r="H261" t="str">
        <f t="shared" si="3"/>
        <v/>
      </c>
    </row>
    <row r="262" spans="8:8" x14ac:dyDescent="0.2">
      <c r="H262" t="str">
        <f t="shared" si="3"/>
        <v/>
      </c>
    </row>
    <row r="263" spans="8:8" x14ac:dyDescent="0.2">
      <c r="H263" t="str">
        <f t="shared" si="3"/>
        <v/>
      </c>
    </row>
    <row r="264" spans="8:8" x14ac:dyDescent="0.2">
      <c r="H264" t="str">
        <f t="shared" si="3"/>
        <v/>
      </c>
    </row>
    <row r="265" spans="8:8" x14ac:dyDescent="0.2">
      <c r="H265" t="str">
        <f t="shared" si="3"/>
        <v/>
      </c>
    </row>
    <row r="266" spans="8:8" x14ac:dyDescent="0.2">
      <c r="H266" t="str">
        <f t="shared" si="3"/>
        <v/>
      </c>
    </row>
    <row r="267" spans="8:8" x14ac:dyDescent="0.2">
      <c r="H267" t="str">
        <f t="shared" ref="H267:H330" si="4">IF(C266=0,"",C266)</f>
        <v/>
      </c>
    </row>
    <row r="268" spans="8:8" x14ac:dyDescent="0.2">
      <c r="H268" t="str">
        <f t="shared" si="4"/>
        <v/>
      </c>
    </row>
    <row r="269" spans="8:8" x14ac:dyDescent="0.2">
      <c r="H269" t="str">
        <f t="shared" si="4"/>
        <v/>
      </c>
    </row>
    <row r="270" spans="8:8" x14ac:dyDescent="0.2">
      <c r="H270" t="str">
        <f t="shared" si="4"/>
        <v/>
      </c>
    </row>
    <row r="271" spans="8:8" x14ac:dyDescent="0.2">
      <c r="H271" t="str">
        <f t="shared" si="4"/>
        <v/>
      </c>
    </row>
    <row r="272" spans="8:8" x14ac:dyDescent="0.2">
      <c r="H272" t="str">
        <f t="shared" si="4"/>
        <v/>
      </c>
    </row>
    <row r="273" spans="8:8" x14ac:dyDescent="0.2">
      <c r="H273" t="str">
        <f t="shared" si="4"/>
        <v/>
      </c>
    </row>
    <row r="274" spans="8:8" x14ac:dyDescent="0.2">
      <c r="H274" t="str">
        <f t="shared" si="4"/>
        <v/>
      </c>
    </row>
    <row r="275" spans="8:8" x14ac:dyDescent="0.2">
      <c r="H275" t="str">
        <f t="shared" si="4"/>
        <v/>
      </c>
    </row>
    <row r="276" spans="8:8" x14ac:dyDescent="0.2">
      <c r="H276" t="str">
        <f t="shared" si="4"/>
        <v/>
      </c>
    </row>
    <row r="277" spans="8:8" x14ac:dyDescent="0.2">
      <c r="H277" t="str">
        <f t="shared" si="4"/>
        <v/>
      </c>
    </row>
    <row r="278" spans="8:8" x14ac:dyDescent="0.2">
      <c r="H278" t="str">
        <f t="shared" si="4"/>
        <v/>
      </c>
    </row>
    <row r="279" spans="8:8" x14ac:dyDescent="0.2">
      <c r="H279" t="str">
        <f t="shared" si="4"/>
        <v/>
      </c>
    </row>
    <row r="280" spans="8:8" x14ac:dyDescent="0.2">
      <c r="H280" t="str">
        <f t="shared" si="4"/>
        <v/>
      </c>
    </row>
    <row r="281" spans="8:8" x14ac:dyDescent="0.2">
      <c r="H281" t="str">
        <f t="shared" si="4"/>
        <v/>
      </c>
    </row>
    <row r="282" spans="8:8" x14ac:dyDescent="0.2">
      <c r="H282" t="str">
        <f t="shared" si="4"/>
        <v/>
      </c>
    </row>
    <row r="283" spans="8:8" x14ac:dyDescent="0.2">
      <c r="H283" t="str">
        <f t="shared" si="4"/>
        <v/>
      </c>
    </row>
    <row r="284" spans="8:8" x14ac:dyDescent="0.2">
      <c r="H284" t="str">
        <f t="shared" si="4"/>
        <v/>
      </c>
    </row>
    <row r="285" spans="8:8" x14ac:dyDescent="0.2">
      <c r="H285" t="str">
        <f t="shared" si="4"/>
        <v/>
      </c>
    </row>
    <row r="286" spans="8:8" x14ac:dyDescent="0.2">
      <c r="H286" t="str">
        <f t="shared" si="4"/>
        <v/>
      </c>
    </row>
    <row r="287" spans="8:8" x14ac:dyDescent="0.2">
      <c r="H287" t="str">
        <f t="shared" si="4"/>
        <v/>
      </c>
    </row>
    <row r="288" spans="8:8" x14ac:dyDescent="0.2">
      <c r="H288" t="str">
        <f t="shared" si="4"/>
        <v/>
      </c>
    </row>
    <row r="289" spans="8:8" x14ac:dyDescent="0.2">
      <c r="H289" t="str">
        <f t="shared" si="4"/>
        <v/>
      </c>
    </row>
    <row r="290" spans="8:8" x14ac:dyDescent="0.2">
      <c r="H290" t="str">
        <f t="shared" si="4"/>
        <v/>
      </c>
    </row>
    <row r="291" spans="8:8" x14ac:dyDescent="0.2">
      <c r="H291" t="str">
        <f t="shared" si="4"/>
        <v/>
      </c>
    </row>
    <row r="292" spans="8:8" x14ac:dyDescent="0.2">
      <c r="H292" t="str">
        <f t="shared" si="4"/>
        <v/>
      </c>
    </row>
    <row r="293" spans="8:8" x14ac:dyDescent="0.2">
      <c r="H293" t="str">
        <f t="shared" si="4"/>
        <v/>
      </c>
    </row>
    <row r="294" spans="8:8" x14ac:dyDescent="0.2">
      <c r="H294" t="str">
        <f t="shared" si="4"/>
        <v/>
      </c>
    </row>
    <row r="295" spans="8:8" x14ac:dyDescent="0.2">
      <c r="H295" t="str">
        <f t="shared" si="4"/>
        <v/>
      </c>
    </row>
    <row r="296" spans="8:8" x14ac:dyDescent="0.2">
      <c r="H296" t="str">
        <f t="shared" si="4"/>
        <v/>
      </c>
    </row>
    <row r="297" spans="8:8" x14ac:dyDescent="0.2">
      <c r="H297" t="str">
        <f t="shared" si="4"/>
        <v/>
      </c>
    </row>
    <row r="298" spans="8:8" x14ac:dyDescent="0.2">
      <c r="H298" t="str">
        <f t="shared" si="4"/>
        <v/>
      </c>
    </row>
    <row r="299" spans="8:8" x14ac:dyDescent="0.2">
      <c r="H299" t="str">
        <f t="shared" si="4"/>
        <v/>
      </c>
    </row>
    <row r="300" spans="8:8" x14ac:dyDescent="0.2">
      <c r="H300" t="str">
        <f t="shared" si="4"/>
        <v/>
      </c>
    </row>
    <row r="301" spans="8:8" x14ac:dyDescent="0.2">
      <c r="H301" t="str">
        <f t="shared" si="4"/>
        <v/>
      </c>
    </row>
    <row r="302" spans="8:8" x14ac:dyDescent="0.2">
      <c r="H302" t="str">
        <f t="shared" si="4"/>
        <v/>
      </c>
    </row>
    <row r="303" spans="8:8" x14ac:dyDescent="0.2">
      <c r="H303" t="str">
        <f t="shared" si="4"/>
        <v/>
      </c>
    </row>
    <row r="304" spans="8:8" x14ac:dyDescent="0.2">
      <c r="H304" t="str">
        <f t="shared" si="4"/>
        <v/>
      </c>
    </row>
    <row r="305" spans="8:8" x14ac:dyDescent="0.2">
      <c r="H305" t="str">
        <f t="shared" si="4"/>
        <v/>
      </c>
    </row>
    <row r="306" spans="8:8" x14ac:dyDescent="0.2">
      <c r="H306" t="str">
        <f t="shared" si="4"/>
        <v/>
      </c>
    </row>
    <row r="307" spans="8:8" x14ac:dyDescent="0.2">
      <c r="H307" t="str">
        <f t="shared" si="4"/>
        <v/>
      </c>
    </row>
    <row r="308" spans="8:8" x14ac:dyDescent="0.2">
      <c r="H308" t="str">
        <f t="shared" si="4"/>
        <v/>
      </c>
    </row>
    <row r="309" spans="8:8" x14ac:dyDescent="0.2">
      <c r="H309" t="str">
        <f t="shared" si="4"/>
        <v/>
      </c>
    </row>
    <row r="310" spans="8:8" x14ac:dyDescent="0.2">
      <c r="H310" t="str">
        <f t="shared" si="4"/>
        <v/>
      </c>
    </row>
    <row r="311" spans="8:8" x14ac:dyDescent="0.2">
      <c r="H311" t="str">
        <f t="shared" si="4"/>
        <v/>
      </c>
    </row>
    <row r="312" spans="8:8" x14ac:dyDescent="0.2">
      <c r="H312" t="str">
        <f t="shared" si="4"/>
        <v/>
      </c>
    </row>
    <row r="313" spans="8:8" x14ac:dyDescent="0.2">
      <c r="H313" t="str">
        <f t="shared" si="4"/>
        <v/>
      </c>
    </row>
    <row r="314" spans="8:8" x14ac:dyDescent="0.2">
      <c r="H314" t="str">
        <f t="shared" si="4"/>
        <v/>
      </c>
    </row>
    <row r="315" spans="8:8" x14ac:dyDescent="0.2">
      <c r="H315" t="str">
        <f t="shared" si="4"/>
        <v/>
      </c>
    </row>
    <row r="316" spans="8:8" x14ac:dyDescent="0.2">
      <c r="H316" t="str">
        <f t="shared" si="4"/>
        <v/>
      </c>
    </row>
    <row r="317" spans="8:8" x14ac:dyDescent="0.2">
      <c r="H317" t="str">
        <f t="shared" si="4"/>
        <v/>
      </c>
    </row>
    <row r="318" spans="8:8" x14ac:dyDescent="0.2">
      <c r="H318" t="str">
        <f t="shared" si="4"/>
        <v/>
      </c>
    </row>
    <row r="319" spans="8:8" x14ac:dyDescent="0.2">
      <c r="H319" t="str">
        <f t="shared" si="4"/>
        <v/>
      </c>
    </row>
    <row r="320" spans="8:8" x14ac:dyDescent="0.2">
      <c r="H320" t="str">
        <f t="shared" si="4"/>
        <v/>
      </c>
    </row>
    <row r="321" spans="8:8" x14ac:dyDescent="0.2">
      <c r="H321" t="str">
        <f t="shared" si="4"/>
        <v/>
      </c>
    </row>
    <row r="322" spans="8:8" x14ac:dyDescent="0.2">
      <c r="H322" t="str">
        <f t="shared" si="4"/>
        <v/>
      </c>
    </row>
    <row r="323" spans="8:8" x14ac:dyDescent="0.2">
      <c r="H323" t="str">
        <f t="shared" si="4"/>
        <v/>
      </c>
    </row>
    <row r="324" spans="8:8" x14ac:dyDescent="0.2">
      <c r="H324" t="str">
        <f t="shared" si="4"/>
        <v/>
      </c>
    </row>
    <row r="325" spans="8:8" x14ac:dyDescent="0.2">
      <c r="H325" t="str">
        <f t="shared" si="4"/>
        <v/>
      </c>
    </row>
    <row r="326" spans="8:8" x14ac:dyDescent="0.2">
      <c r="H326" t="str">
        <f t="shared" si="4"/>
        <v/>
      </c>
    </row>
    <row r="327" spans="8:8" x14ac:dyDescent="0.2">
      <c r="H327" t="str">
        <f t="shared" si="4"/>
        <v/>
      </c>
    </row>
    <row r="328" spans="8:8" x14ac:dyDescent="0.2">
      <c r="H328" t="str">
        <f t="shared" si="4"/>
        <v/>
      </c>
    </row>
    <row r="329" spans="8:8" x14ac:dyDescent="0.2">
      <c r="H329" t="str">
        <f t="shared" si="4"/>
        <v/>
      </c>
    </row>
    <row r="330" spans="8:8" x14ac:dyDescent="0.2">
      <c r="H330" t="str">
        <f t="shared" si="4"/>
        <v/>
      </c>
    </row>
    <row r="331" spans="8:8" x14ac:dyDescent="0.2">
      <c r="H331" t="str">
        <f t="shared" ref="H331:H336" si="5">IF(C330=0,"",C330)</f>
        <v/>
      </c>
    </row>
    <row r="332" spans="8:8" x14ac:dyDescent="0.2">
      <c r="H332" t="str">
        <f t="shared" si="5"/>
        <v/>
      </c>
    </row>
    <row r="333" spans="8:8" x14ac:dyDescent="0.2">
      <c r="H333" t="str">
        <f t="shared" si="5"/>
        <v/>
      </c>
    </row>
    <row r="334" spans="8:8" x14ac:dyDescent="0.2">
      <c r="H334" t="str">
        <f t="shared" si="5"/>
        <v/>
      </c>
    </row>
    <row r="335" spans="8:8" x14ac:dyDescent="0.2">
      <c r="H335" t="str">
        <f t="shared" si="5"/>
        <v/>
      </c>
    </row>
    <row r="336" spans="8:8" x14ac:dyDescent="0.2">
      <c r="H336" t="str">
        <f t="shared" si="5"/>
        <v/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C9F1-5B6A-4898-B559-76DD7D8A5039}">
  <sheetPr codeName="Sheet23"/>
  <dimension ref="A1:E7"/>
  <sheetViews>
    <sheetView workbookViewId="0">
      <selection activeCell="F2" sqref="F2"/>
    </sheetView>
  </sheetViews>
  <sheetFormatPr baseColWidth="10" defaultColWidth="8.83203125" defaultRowHeight="15" x14ac:dyDescent="0.2"/>
  <sheetData>
    <row r="1" spans="1:5" x14ac:dyDescent="0.2">
      <c r="A1" t="s">
        <v>167</v>
      </c>
      <c r="C1" t="s">
        <v>168</v>
      </c>
      <c r="E1" t="s">
        <v>169</v>
      </c>
    </row>
    <row r="2" spans="1:5" x14ac:dyDescent="0.2">
      <c r="A2">
        <f>Prematch!I28</f>
        <v>5000</v>
      </c>
      <c r="C2">
        <f>'Auto Path Backend 3'!E2</f>
        <v>0</v>
      </c>
      <c r="E2" t="e" cm="1">
        <f t="array" ref="E2">MAX(_xlfn.BYCOL(5:5, _xlfn.LAMBDA(_xlpm.ARRAY,IF(_xlpm.ARRAY="teleOp", COLUMN(_xlpm.ARRAY), 0))))</f>
        <v>#VALUE!</v>
      </c>
    </row>
    <row r="3" spans="1:5" x14ac:dyDescent="0.2">
      <c r="B3">
        <f>COLUMN(B3)</f>
        <v>2</v>
      </c>
    </row>
    <row r="4" spans="1:5" x14ac:dyDescent="0.2">
      <c r="A4" t="s">
        <v>170</v>
      </c>
    </row>
    <row r="5" spans="1:5" x14ac:dyDescent="0.2">
      <c r="A5" t="e" cm="1">
        <f t="array" ref="A5">_xlfn.CHOOSEROWS(7:100,C2)</f>
        <v>#VALUE!</v>
      </c>
    </row>
    <row r="6" spans="1:5" x14ac:dyDescent="0.2">
      <c r="A6" t="s">
        <v>171</v>
      </c>
    </row>
    <row r="7" spans="1:5" x14ac:dyDescent="0.2">
      <c r="A7" t="e" cm="1">
        <f t="array" ref="A7">IF(_xlfn.CHOOSEROWS(Sheet1!AD:FN,getDataRows(Sheet1!D:D,Sheet1!E:E,'Prematch Backend 7A'!A2))=0,"",_xlfn.CHOOSEROWS(Sheet1!AD:FN,getDataRows(Sheet1!D:D,Sheet1!E:E,'Prematch Backend 7A'!A2)))</f>
        <v>#VALUE!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5EB84-8DDA-4097-9456-AFAC26697170}">
  <sheetPr codeName="Sheet24"/>
  <dimension ref="A1:E1004"/>
  <sheetViews>
    <sheetView zoomScaleNormal="86" workbookViewId="0">
      <selection activeCell="F2" sqref="F2"/>
    </sheetView>
  </sheetViews>
  <sheetFormatPr baseColWidth="10" defaultColWidth="8.83203125" defaultRowHeight="15" x14ac:dyDescent="0.2"/>
  <sheetData>
    <row r="1" spans="1:5" x14ac:dyDescent="0.2">
      <c r="A1" t="s">
        <v>167</v>
      </c>
      <c r="C1" t="s">
        <v>168</v>
      </c>
      <c r="E1" t="s">
        <v>169</v>
      </c>
    </row>
    <row r="2" spans="1:5" x14ac:dyDescent="0.2">
      <c r="A2">
        <f>'Prematch Backend 7A'!A2</f>
        <v>5000</v>
      </c>
      <c r="C2">
        <f>'Auto Path Backend 3'!E2</f>
        <v>0</v>
      </c>
      <c r="E2">
        <f>COUNTA(5:5)</f>
        <v>1</v>
      </c>
    </row>
    <row r="3" spans="1:5" x14ac:dyDescent="0.2">
      <c r="B3">
        <f>COLUMN(B3)</f>
        <v>2</v>
      </c>
    </row>
    <row r="4" spans="1:5" x14ac:dyDescent="0.2">
      <c r="A4" t="s">
        <v>170</v>
      </c>
    </row>
    <row r="5" spans="1:5" x14ac:dyDescent="0.2">
      <c r="A5" t="e" cm="1">
        <f t="array" ref="A5">_xlfn.TOROW(_xlfn.CHOOSEROWS(B7:AAA100,_xlfn.MAKEARRAY(1,COUNTA(C7:C100),_xlfn.LAMBDA(_xlpm.r,_xlpm.c,_xlpm.c))),1)</f>
        <v>#VALUE!</v>
      </c>
    </row>
    <row r="6" spans="1:5" x14ac:dyDescent="0.2">
      <c r="A6" t="s">
        <v>171</v>
      </c>
    </row>
    <row r="7" spans="1:5" x14ac:dyDescent="0.2">
      <c r="A7" t="e" cm="1">
        <f t="array" ref="A7">IF(MAX(_xlfn.BYCOL('Prematch Backend 7A'!7:7, _xlfn.LAMBDA(_xlpm.ARRAY,IF(_xlpm.ARRAY="teleOp", COLUMN(_xlpm.ARRAY), 0))))=0,"",MAX(_xlfn.BYCOL('Prematch Backend 7A'!7:7, _xlfn.LAMBDA(_xlpm.ARRAY,IF(_xlpm.ARRAY="teleOp", COLUMN(_xlpm.ARRAY), 0)))))</f>
        <v>#VALUE!</v>
      </c>
      <c r="B7" t="e" cm="1">
        <f t="array" ref="B7">IF(A7="","",_xlfn.CHOOSECOLS('Prematch Backend 2A'!7:7,_xlfn.MAKEARRAY(1,A7-2,_xlfn.LAMBDA(_xlpm.r,_xlpm.c,_xlpm.c))))</f>
        <v>#VALUE!</v>
      </c>
    </row>
    <row r="8" spans="1:5" x14ac:dyDescent="0.2">
      <c r="A8" t="str" cm="1">
        <f t="array" ref="A8">IF(MAX(_xlfn.BYCOL('Prematch Backend 7A'!8:8, _xlfn.LAMBDA(_xlpm.ARRAY,IF(_xlpm.ARRAY="teleOp", COLUMN(_xlpm.ARRAY), 0))))=0,"",MAX(_xlfn.BYCOL('Prematch Backend 7A'!8:8, _xlfn.LAMBDA(_xlpm.ARRAY,IF(_xlpm.ARRAY="teleOp", COLUMN(_xlpm.ARRAY), 0)))))</f>
        <v/>
      </c>
      <c r="B8" t="str" cm="1">
        <f t="array" ref="B8">IF(A8="","",_xlfn.CHOOSECOLS('Prematch Backend 2A'!8:8,_xlfn.MAKEARRAY(1,A8-2,_xlfn.LAMBDA(_xlpm.r,_xlpm.c,_xlpm.c))))</f>
        <v/>
      </c>
    </row>
    <row r="9" spans="1:5" x14ac:dyDescent="0.2">
      <c r="A9" t="str" cm="1">
        <f t="array" ref="A9">IF(MAX(_xlfn.BYCOL('Prematch Backend 7A'!9:9, _xlfn.LAMBDA(_xlpm.ARRAY,IF(_xlpm.ARRAY="teleOp", COLUMN(_xlpm.ARRAY), 0))))=0,"",MAX(_xlfn.BYCOL('Prematch Backend 7A'!9:9, _xlfn.LAMBDA(_xlpm.ARRAY,IF(_xlpm.ARRAY="teleOp", COLUMN(_xlpm.ARRAY), 0)))))</f>
        <v/>
      </c>
      <c r="B9" t="str" cm="1">
        <f t="array" ref="B9">IF(A9="","",_xlfn.CHOOSECOLS('Prematch Backend 2A'!9:9,_xlfn.MAKEARRAY(1,A9-2,_xlfn.LAMBDA(_xlpm.r,_xlpm.c,_xlpm.c))))</f>
        <v/>
      </c>
    </row>
    <row r="10" spans="1:5" x14ac:dyDescent="0.2">
      <c r="A10" t="str" cm="1">
        <f t="array" ref="A10">IF(MAX(_xlfn.BYCOL('Prematch Backend 7A'!10:10, _xlfn.LAMBDA(_xlpm.ARRAY,IF(_xlpm.ARRAY="teleOp", COLUMN(_xlpm.ARRAY), 0))))=0,"",MAX(_xlfn.BYCOL('Prematch Backend 7A'!10:10, _xlfn.LAMBDA(_xlpm.ARRAY,IF(_xlpm.ARRAY="teleOp", COLUMN(_xlpm.ARRAY), 0)))))</f>
        <v/>
      </c>
      <c r="B10" t="str" cm="1">
        <f t="array" ref="B10">IF(A10="","",_xlfn.CHOOSECOLS('Prematch Backend 2A'!10:10,_xlfn.MAKEARRAY(1,A10-2,_xlfn.LAMBDA(_xlpm.r,_xlpm.c,_xlpm.c))))</f>
        <v/>
      </c>
    </row>
    <row r="11" spans="1:5" x14ac:dyDescent="0.2">
      <c r="A11" t="str" cm="1">
        <f t="array" ref="A11">IF(MAX(_xlfn.BYCOL('Prematch Backend 7A'!11:11, _xlfn.LAMBDA(_xlpm.ARRAY,IF(_xlpm.ARRAY="teleOp", COLUMN(_xlpm.ARRAY), 0))))=0,"",MAX(_xlfn.BYCOL('Prematch Backend 7A'!11:11, _xlfn.LAMBDA(_xlpm.ARRAY,IF(_xlpm.ARRAY="teleOp", COLUMN(_xlpm.ARRAY), 0)))))</f>
        <v/>
      </c>
      <c r="B11" t="str" cm="1">
        <f t="array" ref="B11">IF(A11="","",_xlfn.CHOOSECOLS('Prematch Backend 2A'!11:11,_xlfn.MAKEARRAY(1,A11-2,_xlfn.LAMBDA(_xlpm.r,_xlpm.c,_xlpm.c))))</f>
        <v/>
      </c>
    </row>
    <row r="12" spans="1:5" x14ac:dyDescent="0.2">
      <c r="A12" t="str" cm="1">
        <f t="array" ref="A12">IF(MAX(_xlfn.BYCOL('Prematch Backend 7A'!12:12, _xlfn.LAMBDA(_xlpm.ARRAY,IF(_xlpm.ARRAY="teleOp", COLUMN(_xlpm.ARRAY), 0))))=0,"",MAX(_xlfn.BYCOL('Prematch Backend 7A'!12:12, _xlfn.LAMBDA(_xlpm.ARRAY,IF(_xlpm.ARRAY="teleOp", COLUMN(_xlpm.ARRAY), 0)))))</f>
        <v/>
      </c>
      <c r="B12" t="str" cm="1">
        <f t="array" ref="B12">IF(A12="","",_xlfn.CHOOSECOLS('Prematch Backend 2A'!12:12,_xlfn.MAKEARRAY(1,A12-2,_xlfn.LAMBDA(_xlpm.r,_xlpm.c,_xlpm.c))))</f>
        <v/>
      </c>
    </row>
    <row r="13" spans="1:5" x14ac:dyDescent="0.2">
      <c r="B13" t="str" cm="1">
        <f t="array" ref="B13">IF(A13="","",_xlfn.CHOOSECOLS('Prematch Backend 2A'!13:13,_xlfn.MAKEARRAY(1,A13-2,_xlfn.LAMBDA(_xlpm.r,_xlpm.c,_xlpm.c))))</f>
        <v/>
      </c>
    </row>
    <row r="14" spans="1:5" x14ac:dyDescent="0.2">
      <c r="A14" t="str" cm="1">
        <f t="array" ref="A14">IF(MAX(_xlfn.BYCOL('Prematch Backend 7A'!14:14, _xlfn.LAMBDA(_xlpm.ARRAY,IF(_xlpm.ARRAY="teleOp", COLUMN(_xlpm.ARRAY), 0))))=0,"",MAX(_xlfn.BYCOL('Prematch Backend 7A'!14:14, _xlfn.LAMBDA(_xlpm.ARRAY,IF(_xlpm.ARRAY="teleOp", COLUMN(_xlpm.ARRAY), 0)))))</f>
        <v/>
      </c>
      <c r="B14" t="str" cm="1">
        <f t="array" ref="B14">IF(A14="","",_xlfn.CHOOSECOLS('Prematch Backend 2A'!14:14,_xlfn.MAKEARRAY(1,A14-2,_xlfn.LAMBDA(_xlpm.r,_xlpm.c,_xlpm.c))))</f>
        <v/>
      </c>
    </row>
    <row r="15" spans="1:5" x14ac:dyDescent="0.2">
      <c r="A15" t="str" cm="1">
        <f t="array" ref="A15">IF(MAX(_xlfn.BYCOL('Prematch Backend 7A'!15:15, _xlfn.LAMBDA(_xlpm.ARRAY,IF(_xlpm.ARRAY="teleOp", COLUMN(_xlpm.ARRAY), 0))))=0,"",MAX(_xlfn.BYCOL('Prematch Backend 7A'!15:15, _xlfn.LAMBDA(_xlpm.ARRAY,IF(_xlpm.ARRAY="teleOp", COLUMN(_xlpm.ARRAY), 0)))))</f>
        <v/>
      </c>
      <c r="B15" t="str" cm="1">
        <f t="array" ref="B15">IF(A15="","",_xlfn.CHOOSECOLS('Prematch Backend 2A'!15:15,_xlfn.MAKEARRAY(1,A15-2,_xlfn.LAMBDA(_xlpm.r,_xlpm.c,_xlpm.c))))</f>
        <v/>
      </c>
    </row>
    <row r="16" spans="1:5" x14ac:dyDescent="0.2">
      <c r="A16" t="str" cm="1">
        <f t="array" ref="A16">IF(MAX(_xlfn.BYCOL('Prematch Backend 7A'!16:16, _xlfn.LAMBDA(_xlpm.ARRAY,IF(_xlpm.ARRAY="teleOp", COLUMN(_xlpm.ARRAY), 0))))=0,"",MAX(_xlfn.BYCOL('Prematch Backend 7A'!16:16, _xlfn.LAMBDA(_xlpm.ARRAY,IF(_xlpm.ARRAY="teleOp", COLUMN(_xlpm.ARRAY), 0)))))</f>
        <v/>
      </c>
      <c r="B16" t="str" cm="1">
        <f t="array" ref="B16">IF(A16="","",_xlfn.CHOOSECOLS('Prematch Backend 2A'!16:16,_xlfn.MAKEARRAY(1,A16-2,_xlfn.LAMBDA(_xlpm.r,_xlpm.c,_xlpm.c))))</f>
        <v/>
      </c>
    </row>
    <row r="17" spans="1:2" x14ac:dyDescent="0.2">
      <c r="A17" t="str" cm="1">
        <f t="array" ref="A17">IF(MAX(_xlfn.BYCOL('Prematch Backend 7A'!17:17, _xlfn.LAMBDA(_xlpm.ARRAY,IF(_xlpm.ARRAY="teleOp", COLUMN(_xlpm.ARRAY), 0))))=0,"",MAX(_xlfn.BYCOL('Prematch Backend 7A'!17:17, _xlfn.LAMBDA(_xlpm.ARRAY,IF(_xlpm.ARRAY="teleOp", COLUMN(_xlpm.ARRAY), 0)))))</f>
        <v/>
      </c>
      <c r="B17" t="str" cm="1">
        <f t="array" ref="B17">IF(A17="","",_xlfn.CHOOSECOLS('Prematch Backend 2A'!17:17,_xlfn.MAKEARRAY(1,A17-2,_xlfn.LAMBDA(_xlpm.r,_xlpm.c,_xlpm.c))))</f>
        <v/>
      </c>
    </row>
    <row r="18" spans="1:2" x14ac:dyDescent="0.2">
      <c r="A18" t="str" cm="1">
        <f t="array" ref="A18">IF(MAX(_xlfn.BYCOL('Prematch Backend 7A'!18:18, _xlfn.LAMBDA(_xlpm.ARRAY,IF(_xlpm.ARRAY="teleOp", COLUMN(_xlpm.ARRAY), 0))))=0,"",MAX(_xlfn.BYCOL('Prematch Backend 7A'!18:18, _xlfn.LAMBDA(_xlpm.ARRAY,IF(_xlpm.ARRAY="teleOp", COLUMN(_xlpm.ARRAY), 0)))))</f>
        <v/>
      </c>
      <c r="B18" t="str" cm="1">
        <f t="array" ref="B18">IF(A18="","",_xlfn.CHOOSECOLS('Prematch Backend 2A'!18:18,_xlfn.MAKEARRAY(1,A18-2,_xlfn.LAMBDA(_xlpm.r,_xlpm.c,_xlpm.c))))</f>
        <v/>
      </c>
    </row>
    <row r="19" spans="1:2" x14ac:dyDescent="0.2">
      <c r="A19" t="str" cm="1">
        <f t="array" ref="A19">IF(MAX(_xlfn.BYCOL('Prematch Backend 7A'!19:19, _xlfn.LAMBDA(_xlpm.ARRAY,IF(_xlpm.ARRAY="teleOp", COLUMN(_xlpm.ARRAY), 0))))=0,"",MAX(_xlfn.BYCOL('Prematch Backend 7A'!19:19, _xlfn.LAMBDA(_xlpm.ARRAY,IF(_xlpm.ARRAY="teleOp", COLUMN(_xlpm.ARRAY), 0)))))</f>
        <v/>
      </c>
      <c r="B19" t="str" cm="1">
        <f t="array" ref="B19">IF(A19="","",_xlfn.CHOOSECOLS('Prematch Backend 2A'!19:19,_xlfn.MAKEARRAY(1,A19-2,_xlfn.LAMBDA(_xlpm.r,_xlpm.c,_xlpm.c))))</f>
        <v/>
      </c>
    </row>
    <row r="20" spans="1:2" x14ac:dyDescent="0.2">
      <c r="A20" t="str" cm="1">
        <f t="array" ref="A20">IF(MAX(_xlfn.BYCOL('Prematch Backend 7A'!20:20, _xlfn.LAMBDA(_xlpm.ARRAY,IF(_xlpm.ARRAY="teleOp", COLUMN(_xlpm.ARRAY), 0))))=0,"",MAX(_xlfn.BYCOL('Prematch Backend 7A'!20:20, _xlfn.LAMBDA(_xlpm.ARRAY,IF(_xlpm.ARRAY="teleOp", COLUMN(_xlpm.ARRAY), 0)))))</f>
        <v/>
      </c>
      <c r="B20" t="str" cm="1">
        <f t="array" ref="B20">IF(A20="","",_xlfn.CHOOSECOLS('Prematch Backend 2A'!20:20,_xlfn.MAKEARRAY(1,A20-2,_xlfn.LAMBDA(_xlpm.r,_xlpm.c,_xlpm.c))))</f>
        <v/>
      </c>
    </row>
    <row r="21" spans="1:2" x14ac:dyDescent="0.2">
      <c r="A21" t="str" cm="1">
        <f t="array" ref="A21">IF(MAX(_xlfn.BYCOL('Prematch Backend 7A'!21:21, _xlfn.LAMBDA(_xlpm.ARRAY,IF(_xlpm.ARRAY="teleOp", COLUMN(_xlpm.ARRAY), 0))))=0,"",MAX(_xlfn.BYCOL('Prematch Backend 7A'!21:21, _xlfn.LAMBDA(_xlpm.ARRAY,IF(_xlpm.ARRAY="teleOp", COLUMN(_xlpm.ARRAY), 0)))))</f>
        <v/>
      </c>
      <c r="B21" t="str" cm="1">
        <f t="array" ref="B21">IF(A21="","",_xlfn.CHOOSECOLS('Prematch Backend 2A'!21:21,_xlfn.MAKEARRAY(1,A21-2,_xlfn.LAMBDA(_xlpm.r,_xlpm.c,_xlpm.c))))</f>
        <v/>
      </c>
    </row>
    <row r="22" spans="1:2" x14ac:dyDescent="0.2">
      <c r="A22" t="str" cm="1">
        <f t="array" ref="A22">IF(MAX(_xlfn.BYCOL('Prematch Backend 7A'!22:22, _xlfn.LAMBDA(_xlpm.ARRAY,IF(_xlpm.ARRAY="teleOp", COLUMN(_xlpm.ARRAY), 0))))=0,"",MAX(_xlfn.BYCOL('Prematch Backend 7A'!22:22, _xlfn.LAMBDA(_xlpm.ARRAY,IF(_xlpm.ARRAY="teleOp", COLUMN(_xlpm.ARRAY), 0)))))</f>
        <v/>
      </c>
      <c r="B22" t="str" cm="1">
        <f t="array" ref="B22">IF(A22="","",_xlfn.CHOOSECOLS('Prematch Backend 2A'!22:22,_xlfn.MAKEARRAY(1,A22-2,_xlfn.LAMBDA(_xlpm.r,_xlpm.c,_xlpm.c))))</f>
        <v/>
      </c>
    </row>
    <row r="23" spans="1:2" x14ac:dyDescent="0.2">
      <c r="A23" t="str" cm="1">
        <f t="array" ref="A23">IF(MAX(_xlfn.BYCOL('Prematch Backend 7A'!23:23, _xlfn.LAMBDA(_xlpm.ARRAY,IF(_xlpm.ARRAY="teleOp", COLUMN(_xlpm.ARRAY), 0))))=0,"",MAX(_xlfn.BYCOL('Prematch Backend 7A'!23:23, _xlfn.LAMBDA(_xlpm.ARRAY,IF(_xlpm.ARRAY="teleOp", COLUMN(_xlpm.ARRAY), 0)))))</f>
        <v/>
      </c>
      <c r="B23" t="str" cm="1">
        <f t="array" ref="B23">IF(A23="","",_xlfn.CHOOSECOLS('Prematch Backend 2A'!23:23,_xlfn.MAKEARRAY(1,A23-2,_xlfn.LAMBDA(_xlpm.r,_xlpm.c,_xlpm.c))))</f>
        <v/>
      </c>
    </row>
    <row r="24" spans="1:2" x14ac:dyDescent="0.2">
      <c r="A24" t="str" cm="1">
        <f t="array" ref="A24">IF(MAX(_xlfn.BYCOL('Prematch Backend 7A'!24:24, _xlfn.LAMBDA(_xlpm.ARRAY,IF(_xlpm.ARRAY="teleOp", COLUMN(_xlpm.ARRAY), 0))))=0,"",MAX(_xlfn.BYCOL('Prematch Backend 7A'!24:24, _xlfn.LAMBDA(_xlpm.ARRAY,IF(_xlpm.ARRAY="teleOp", COLUMN(_xlpm.ARRAY), 0)))))</f>
        <v/>
      </c>
      <c r="B24" t="str" cm="1">
        <f t="array" ref="B24">IF(A24="","",_xlfn.CHOOSECOLS('Prematch Backend 2A'!24:24,_xlfn.MAKEARRAY(1,A24-2,_xlfn.LAMBDA(_xlpm.r,_xlpm.c,_xlpm.c))))</f>
        <v/>
      </c>
    </row>
    <row r="25" spans="1:2" x14ac:dyDescent="0.2">
      <c r="A25" t="str" cm="1">
        <f t="array" ref="A25">IF(MAX(_xlfn.BYCOL('Prematch Backend 7A'!25:25, _xlfn.LAMBDA(_xlpm.ARRAY,IF(_xlpm.ARRAY="teleOp", COLUMN(_xlpm.ARRAY), 0))))=0,"",MAX(_xlfn.BYCOL('Prematch Backend 7A'!25:25, _xlfn.LAMBDA(_xlpm.ARRAY,IF(_xlpm.ARRAY="teleOp", COLUMN(_xlpm.ARRAY), 0)))))</f>
        <v/>
      </c>
      <c r="B25" t="str" cm="1">
        <f t="array" ref="B25">IF(A25="","",_xlfn.CHOOSECOLS('Prematch Backend 2A'!25:25,_xlfn.MAKEARRAY(1,A25-2,_xlfn.LAMBDA(_xlpm.r,_xlpm.c,_xlpm.c))))</f>
        <v/>
      </c>
    </row>
    <row r="26" spans="1:2" x14ac:dyDescent="0.2">
      <c r="A26" t="str" cm="1">
        <f t="array" ref="A26">IF(MAX(_xlfn.BYCOL('Prematch Backend 7A'!26:26, _xlfn.LAMBDA(_xlpm.ARRAY,IF(_xlpm.ARRAY="teleOp", COLUMN(_xlpm.ARRAY), 0))))=0,"",MAX(_xlfn.BYCOL('Prematch Backend 7A'!26:26, _xlfn.LAMBDA(_xlpm.ARRAY,IF(_xlpm.ARRAY="teleOp", COLUMN(_xlpm.ARRAY), 0)))))</f>
        <v/>
      </c>
      <c r="B26" t="str" cm="1">
        <f t="array" ref="B26">IF(A26="","",_xlfn.CHOOSECOLS('Prematch Backend 2A'!26:26,_xlfn.MAKEARRAY(1,A26-2,_xlfn.LAMBDA(_xlpm.r,_xlpm.c,_xlpm.c))))</f>
        <v/>
      </c>
    </row>
    <row r="27" spans="1:2" x14ac:dyDescent="0.2">
      <c r="A27" t="str" cm="1">
        <f t="array" ref="A27">IF(MAX(_xlfn.BYCOL('Prematch Backend 7A'!27:27, _xlfn.LAMBDA(_xlpm.ARRAY,IF(_xlpm.ARRAY="teleOp", COLUMN(_xlpm.ARRAY), 0))))=0,"",MAX(_xlfn.BYCOL('Prematch Backend 7A'!27:27, _xlfn.LAMBDA(_xlpm.ARRAY,IF(_xlpm.ARRAY="teleOp", COLUMN(_xlpm.ARRAY), 0)))))</f>
        <v/>
      </c>
      <c r="B27" t="str" cm="1">
        <f t="array" ref="B27">IF(A27="","",_xlfn.CHOOSECOLS('Prematch Backend 2A'!27:27,_xlfn.MAKEARRAY(1,A27-2,_xlfn.LAMBDA(_xlpm.r,_xlpm.c,_xlpm.c))))</f>
        <v/>
      </c>
    </row>
    <row r="28" spans="1:2" x14ac:dyDescent="0.2">
      <c r="A28" t="str" cm="1">
        <f t="array" ref="A28">IF(MAX(_xlfn.BYCOL('Prematch Backend 7A'!28:28, _xlfn.LAMBDA(_xlpm.ARRAY,IF(_xlpm.ARRAY="teleOp", COLUMN(_xlpm.ARRAY), 0))))=0,"",MAX(_xlfn.BYCOL('Prematch Backend 7A'!28:28, _xlfn.LAMBDA(_xlpm.ARRAY,IF(_xlpm.ARRAY="teleOp", COLUMN(_xlpm.ARRAY), 0)))))</f>
        <v/>
      </c>
      <c r="B28" t="str" cm="1">
        <f t="array" ref="B28">IF(A28="","",_xlfn.CHOOSECOLS('Prematch Backend 2A'!28:28,_xlfn.MAKEARRAY(1,A28-2,_xlfn.LAMBDA(_xlpm.r,_xlpm.c,_xlpm.c))))</f>
        <v/>
      </c>
    </row>
    <row r="29" spans="1:2" x14ac:dyDescent="0.2">
      <c r="A29" t="str" cm="1">
        <f t="array" ref="A29">IF(MAX(_xlfn.BYCOL('Prematch Backend 7A'!29:29, _xlfn.LAMBDA(_xlpm.ARRAY,IF(_xlpm.ARRAY="teleOp", COLUMN(_xlpm.ARRAY), 0))))=0,"",MAX(_xlfn.BYCOL('Prematch Backend 7A'!29:29, _xlfn.LAMBDA(_xlpm.ARRAY,IF(_xlpm.ARRAY="teleOp", COLUMN(_xlpm.ARRAY), 0)))))</f>
        <v/>
      </c>
      <c r="B29" t="str" cm="1">
        <f t="array" ref="B29">IF(A29="","",_xlfn.CHOOSECOLS('Prematch Backend 2A'!29:29,_xlfn.MAKEARRAY(1,A29-2,_xlfn.LAMBDA(_xlpm.r,_xlpm.c,_xlpm.c))))</f>
        <v/>
      </c>
    </row>
    <row r="30" spans="1:2" x14ac:dyDescent="0.2">
      <c r="A30" t="str" cm="1">
        <f t="array" ref="A30">IF(MAX(_xlfn.BYCOL('Prematch Backend 7A'!30:30, _xlfn.LAMBDA(_xlpm.ARRAY,IF(_xlpm.ARRAY="teleOp", COLUMN(_xlpm.ARRAY), 0))))=0,"",MAX(_xlfn.BYCOL('Prematch Backend 7A'!30:30, _xlfn.LAMBDA(_xlpm.ARRAY,IF(_xlpm.ARRAY="teleOp", COLUMN(_xlpm.ARRAY), 0)))))</f>
        <v/>
      </c>
      <c r="B30" t="str" cm="1">
        <f t="array" ref="B30">IF(A30="","",_xlfn.CHOOSECOLS('Prematch Backend 2A'!30:30,_xlfn.MAKEARRAY(1,A30-2,_xlfn.LAMBDA(_xlpm.r,_xlpm.c,_xlpm.c))))</f>
        <v/>
      </c>
    </row>
    <row r="31" spans="1:2" x14ac:dyDescent="0.2">
      <c r="A31" t="str" cm="1">
        <f t="array" ref="A31">IF(MAX(_xlfn.BYCOL('Prematch Backend 7A'!31:31, _xlfn.LAMBDA(_xlpm.ARRAY,IF(_xlpm.ARRAY="teleOp", COLUMN(_xlpm.ARRAY), 0))))=0,"",MAX(_xlfn.BYCOL('Prematch Backend 7A'!31:31, _xlfn.LAMBDA(_xlpm.ARRAY,IF(_xlpm.ARRAY="teleOp", COLUMN(_xlpm.ARRAY), 0)))))</f>
        <v/>
      </c>
      <c r="B31" t="str" cm="1">
        <f t="array" ref="B31">IF(A31="","",_xlfn.CHOOSECOLS('Prematch Backend 2A'!31:31,_xlfn.MAKEARRAY(1,A31-2,_xlfn.LAMBDA(_xlpm.r,_xlpm.c,_xlpm.c))))</f>
        <v/>
      </c>
    </row>
    <row r="32" spans="1:2" x14ac:dyDescent="0.2">
      <c r="A32" t="str" cm="1">
        <f t="array" ref="A32">IF(MAX(_xlfn.BYCOL('Prematch Backend 7A'!32:32, _xlfn.LAMBDA(_xlpm.ARRAY,IF(_xlpm.ARRAY="teleOp", COLUMN(_xlpm.ARRAY), 0))))=0,"",MAX(_xlfn.BYCOL('Prematch Backend 7A'!32:32, _xlfn.LAMBDA(_xlpm.ARRAY,IF(_xlpm.ARRAY="teleOp", COLUMN(_xlpm.ARRAY), 0)))))</f>
        <v/>
      </c>
      <c r="B32" t="str" cm="1">
        <f t="array" ref="B32">IF(A32="","",_xlfn.CHOOSECOLS('Prematch Backend 2A'!32:32,_xlfn.MAKEARRAY(1,A32-2,_xlfn.LAMBDA(_xlpm.r,_xlpm.c,_xlpm.c))))</f>
        <v/>
      </c>
    </row>
    <row r="33" spans="1:2" x14ac:dyDescent="0.2">
      <c r="A33" t="str" cm="1">
        <f t="array" ref="A33">IF(MAX(_xlfn.BYCOL('Prematch Backend 7A'!33:33, _xlfn.LAMBDA(_xlpm.ARRAY,IF(_xlpm.ARRAY="teleOp", COLUMN(_xlpm.ARRAY), 0))))=0,"",MAX(_xlfn.BYCOL('Prematch Backend 7A'!33:33, _xlfn.LAMBDA(_xlpm.ARRAY,IF(_xlpm.ARRAY="teleOp", COLUMN(_xlpm.ARRAY), 0)))))</f>
        <v/>
      </c>
      <c r="B33" t="str" cm="1">
        <f t="array" ref="B33">IF(A33="","",_xlfn.CHOOSECOLS('Prematch Backend 2A'!33:33,_xlfn.MAKEARRAY(1,A33-2,_xlfn.LAMBDA(_xlpm.r,_xlpm.c,_xlpm.c))))</f>
        <v/>
      </c>
    </row>
    <row r="34" spans="1:2" x14ac:dyDescent="0.2">
      <c r="A34" t="str" cm="1">
        <f t="array" ref="A34">IF(MAX(_xlfn.BYCOL('Prematch Backend 7A'!34:34, _xlfn.LAMBDA(_xlpm.ARRAY,IF(_xlpm.ARRAY="teleOp", COLUMN(_xlpm.ARRAY), 0))))=0,"",MAX(_xlfn.BYCOL('Prematch Backend 7A'!34:34, _xlfn.LAMBDA(_xlpm.ARRAY,IF(_xlpm.ARRAY="teleOp", COLUMN(_xlpm.ARRAY), 0)))))</f>
        <v/>
      </c>
      <c r="B34" t="str" cm="1">
        <f t="array" ref="B34">IF(A34="","",_xlfn.CHOOSECOLS('Prematch Backend 2A'!34:34,_xlfn.MAKEARRAY(1,A34-2,_xlfn.LAMBDA(_xlpm.r,_xlpm.c,_xlpm.c))))</f>
        <v/>
      </c>
    </row>
    <row r="35" spans="1:2" x14ac:dyDescent="0.2">
      <c r="A35" t="str" cm="1">
        <f t="array" ref="A35">IF(MAX(_xlfn.BYCOL('Prematch Backend 7A'!35:35, _xlfn.LAMBDA(_xlpm.ARRAY,IF(_xlpm.ARRAY="teleOp", COLUMN(_xlpm.ARRAY), 0))))=0,"",MAX(_xlfn.BYCOL('Prematch Backend 7A'!35:35, _xlfn.LAMBDA(_xlpm.ARRAY,IF(_xlpm.ARRAY="teleOp", COLUMN(_xlpm.ARRAY), 0)))))</f>
        <v/>
      </c>
      <c r="B35" t="str" cm="1">
        <f t="array" ref="B35">IF(A35="","",_xlfn.CHOOSECOLS('Prematch Backend 2A'!35:35,_xlfn.MAKEARRAY(1,A35-2,_xlfn.LAMBDA(_xlpm.r,_xlpm.c,_xlpm.c))))</f>
        <v/>
      </c>
    </row>
    <row r="36" spans="1:2" x14ac:dyDescent="0.2">
      <c r="A36" t="str" cm="1">
        <f t="array" ref="A36">IF(MAX(_xlfn.BYCOL('Prematch Backend 7A'!36:36, _xlfn.LAMBDA(_xlpm.ARRAY,IF(_xlpm.ARRAY="teleOp", COLUMN(_xlpm.ARRAY), 0))))=0,"",MAX(_xlfn.BYCOL('Prematch Backend 7A'!36:36, _xlfn.LAMBDA(_xlpm.ARRAY,IF(_xlpm.ARRAY="teleOp", COLUMN(_xlpm.ARRAY), 0)))))</f>
        <v/>
      </c>
      <c r="B36" t="str" cm="1">
        <f t="array" ref="B36">IF(A36="","",_xlfn.CHOOSECOLS('Prematch Backend 2A'!36:36,_xlfn.MAKEARRAY(1,A36-2,_xlfn.LAMBDA(_xlpm.r,_xlpm.c,_xlpm.c))))</f>
        <v/>
      </c>
    </row>
    <row r="37" spans="1:2" x14ac:dyDescent="0.2">
      <c r="A37" t="str" cm="1">
        <f t="array" ref="A37">IF(MAX(_xlfn.BYCOL('Prematch Backend 7A'!37:37, _xlfn.LAMBDA(_xlpm.ARRAY,IF(_xlpm.ARRAY="teleOp", COLUMN(_xlpm.ARRAY), 0))))=0,"",MAX(_xlfn.BYCOL('Prematch Backend 7A'!37:37, _xlfn.LAMBDA(_xlpm.ARRAY,IF(_xlpm.ARRAY="teleOp", COLUMN(_xlpm.ARRAY), 0)))))</f>
        <v/>
      </c>
      <c r="B37" t="str" cm="1">
        <f t="array" ref="B37">IF(A37="","",_xlfn.CHOOSECOLS('Prematch Backend 2A'!37:37,_xlfn.MAKEARRAY(1,A37-2,_xlfn.LAMBDA(_xlpm.r,_xlpm.c,_xlpm.c))))</f>
        <v/>
      </c>
    </row>
    <row r="38" spans="1:2" x14ac:dyDescent="0.2">
      <c r="A38" t="str" cm="1">
        <f t="array" ref="A38">IF(MAX(_xlfn.BYCOL('Prematch Backend 7A'!38:38, _xlfn.LAMBDA(_xlpm.ARRAY,IF(_xlpm.ARRAY="teleOp", COLUMN(_xlpm.ARRAY), 0))))=0,"",MAX(_xlfn.BYCOL('Prematch Backend 7A'!38:38, _xlfn.LAMBDA(_xlpm.ARRAY,IF(_xlpm.ARRAY="teleOp", COLUMN(_xlpm.ARRAY), 0)))))</f>
        <v/>
      </c>
      <c r="B38" t="str" cm="1">
        <f t="array" ref="B38">IF(A38="","",_xlfn.CHOOSECOLS('Prematch Backend 2A'!38:38,_xlfn.MAKEARRAY(1,A38-2,_xlfn.LAMBDA(_xlpm.r,_xlpm.c,_xlpm.c))))</f>
        <v/>
      </c>
    </row>
    <row r="39" spans="1:2" x14ac:dyDescent="0.2">
      <c r="A39" t="str" cm="1">
        <f t="array" ref="A39">IF(MAX(_xlfn.BYCOL('Prematch Backend 7A'!39:39, _xlfn.LAMBDA(_xlpm.ARRAY,IF(_xlpm.ARRAY="teleOp", COLUMN(_xlpm.ARRAY), 0))))=0,"",MAX(_xlfn.BYCOL('Prematch Backend 7A'!39:39, _xlfn.LAMBDA(_xlpm.ARRAY,IF(_xlpm.ARRAY="teleOp", COLUMN(_xlpm.ARRAY), 0)))))</f>
        <v/>
      </c>
      <c r="B39" t="str" cm="1">
        <f t="array" ref="B39">IF(A39="","",_xlfn.CHOOSECOLS('Prematch Backend 2A'!39:39,_xlfn.MAKEARRAY(1,A39-2,_xlfn.LAMBDA(_xlpm.r,_xlpm.c,_xlpm.c))))</f>
        <v/>
      </c>
    </row>
    <row r="40" spans="1:2" x14ac:dyDescent="0.2">
      <c r="A40" t="str" cm="1">
        <f t="array" ref="A40">IF(MAX(_xlfn.BYCOL('Prematch Backend 7A'!40:40, _xlfn.LAMBDA(_xlpm.ARRAY,IF(_xlpm.ARRAY="teleOp", COLUMN(_xlpm.ARRAY), 0))))=0,"",MAX(_xlfn.BYCOL('Prematch Backend 7A'!40:40, _xlfn.LAMBDA(_xlpm.ARRAY,IF(_xlpm.ARRAY="teleOp", COLUMN(_xlpm.ARRAY), 0)))))</f>
        <v/>
      </c>
      <c r="B40" t="str" cm="1">
        <f t="array" ref="B40">IF(A40="","",_xlfn.CHOOSECOLS('Prematch Backend 2A'!40:40,_xlfn.MAKEARRAY(1,A40-2,_xlfn.LAMBDA(_xlpm.r,_xlpm.c,_xlpm.c))))</f>
        <v/>
      </c>
    </row>
    <row r="41" spans="1:2" x14ac:dyDescent="0.2">
      <c r="A41" t="str" cm="1">
        <f t="array" ref="A41">IF(MAX(_xlfn.BYCOL('Prematch Backend 7A'!41:41, _xlfn.LAMBDA(_xlpm.ARRAY,IF(_xlpm.ARRAY="teleOp", COLUMN(_xlpm.ARRAY), 0))))=0,"",MAX(_xlfn.BYCOL('Prematch Backend 7A'!41:41, _xlfn.LAMBDA(_xlpm.ARRAY,IF(_xlpm.ARRAY="teleOp", COLUMN(_xlpm.ARRAY), 0)))))</f>
        <v/>
      </c>
      <c r="B41" t="str" cm="1">
        <f t="array" ref="B41">IF(A41="","",_xlfn.CHOOSECOLS('Prematch Backend 2A'!41:41,_xlfn.MAKEARRAY(1,A41-2,_xlfn.LAMBDA(_xlpm.r,_xlpm.c,_xlpm.c))))</f>
        <v/>
      </c>
    </row>
    <row r="42" spans="1:2" x14ac:dyDescent="0.2">
      <c r="A42" t="str" cm="1">
        <f t="array" ref="A42">IF(MAX(_xlfn.BYCOL('Prematch Backend 7A'!42:42, _xlfn.LAMBDA(_xlpm.ARRAY,IF(_xlpm.ARRAY="teleOp", COLUMN(_xlpm.ARRAY), 0))))=0,"",MAX(_xlfn.BYCOL('Prematch Backend 7A'!42:42, _xlfn.LAMBDA(_xlpm.ARRAY,IF(_xlpm.ARRAY="teleOp", COLUMN(_xlpm.ARRAY), 0)))))</f>
        <v/>
      </c>
      <c r="B42" t="str" cm="1">
        <f t="array" ref="B42">IF(A42="","",_xlfn.CHOOSECOLS('Prematch Backend 2A'!42:42,_xlfn.MAKEARRAY(1,A42-2,_xlfn.LAMBDA(_xlpm.r,_xlpm.c,_xlpm.c))))</f>
        <v/>
      </c>
    </row>
    <row r="43" spans="1:2" x14ac:dyDescent="0.2">
      <c r="A43" t="str" cm="1">
        <f t="array" ref="A43">IF(MAX(_xlfn.BYCOL('Prematch Backend 7A'!43:43, _xlfn.LAMBDA(_xlpm.ARRAY,IF(_xlpm.ARRAY="teleOp", COLUMN(_xlpm.ARRAY), 0))))=0,"",MAX(_xlfn.BYCOL('Prematch Backend 7A'!43:43, _xlfn.LAMBDA(_xlpm.ARRAY,IF(_xlpm.ARRAY="teleOp", COLUMN(_xlpm.ARRAY), 0)))))</f>
        <v/>
      </c>
      <c r="B43" t="str" cm="1">
        <f t="array" ref="B43">IF(A43="","",_xlfn.CHOOSECOLS('Prematch Backend 2A'!43:43,_xlfn.MAKEARRAY(1,A43-2,_xlfn.LAMBDA(_xlpm.r,_xlpm.c,_xlpm.c))))</f>
        <v/>
      </c>
    </row>
    <row r="44" spans="1:2" x14ac:dyDescent="0.2">
      <c r="A44" t="str" cm="1">
        <f t="array" ref="A44">IF(MAX(_xlfn.BYCOL('Prematch Backend 7A'!44:44, _xlfn.LAMBDA(_xlpm.ARRAY,IF(_xlpm.ARRAY="teleOp", COLUMN(_xlpm.ARRAY), 0))))=0,"",MAX(_xlfn.BYCOL('Prematch Backend 7A'!44:44, _xlfn.LAMBDA(_xlpm.ARRAY,IF(_xlpm.ARRAY="teleOp", COLUMN(_xlpm.ARRAY), 0)))))</f>
        <v/>
      </c>
      <c r="B44" t="str" cm="1">
        <f t="array" ref="B44">IF(A44="","",_xlfn.CHOOSECOLS('Prematch Backend 2A'!44:44,_xlfn.MAKEARRAY(1,A44-2,_xlfn.LAMBDA(_xlpm.r,_xlpm.c,_xlpm.c))))</f>
        <v/>
      </c>
    </row>
    <row r="45" spans="1:2" x14ac:dyDescent="0.2">
      <c r="A45" t="str" cm="1">
        <f t="array" ref="A45">IF(MAX(_xlfn.BYCOL('Prematch Backend 7A'!45:45, _xlfn.LAMBDA(_xlpm.ARRAY,IF(_xlpm.ARRAY="teleOp", COLUMN(_xlpm.ARRAY), 0))))=0,"",MAX(_xlfn.BYCOL('Prematch Backend 7A'!45:45, _xlfn.LAMBDA(_xlpm.ARRAY,IF(_xlpm.ARRAY="teleOp", COLUMN(_xlpm.ARRAY), 0)))))</f>
        <v/>
      </c>
      <c r="B45" t="str" cm="1">
        <f t="array" ref="B45">IF(A45="","",_xlfn.CHOOSECOLS('Prematch Backend 2A'!45:45,_xlfn.MAKEARRAY(1,A45-2,_xlfn.LAMBDA(_xlpm.r,_xlpm.c,_xlpm.c))))</f>
        <v/>
      </c>
    </row>
    <row r="46" spans="1:2" x14ac:dyDescent="0.2">
      <c r="A46" t="str" cm="1">
        <f t="array" ref="A46">IF(MAX(_xlfn.BYCOL('Prematch Backend 7A'!46:46, _xlfn.LAMBDA(_xlpm.ARRAY,IF(_xlpm.ARRAY="teleOp", COLUMN(_xlpm.ARRAY), 0))))=0,"",MAX(_xlfn.BYCOL('Prematch Backend 7A'!46:46, _xlfn.LAMBDA(_xlpm.ARRAY,IF(_xlpm.ARRAY="teleOp", COLUMN(_xlpm.ARRAY), 0)))))</f>
        <v/>
      </c>
      <c r="B46" t="str" cm="1">
        <f t="array" ref="B46">IF(A46="","",_xlfn.CHOOSECOLS('Prematch Backend 2A'!46:46,_xlfn.MAKEARRAY(1,A46-2,_xlfn.LAMBDA(_xlpm.r,_xlpm.c,_xlpm.c))))</f>
        <v/>
      </c>
    </row>
    <row r="47" spans="1:2" x14ac:dyDescent="0.2">
      <c r="A47" t="str" cm="1">
        <f t="array" ref="A47">IF(MAX(_xlfn.BYCOL('Prematch Backend 7A'!47:47, _xlfn.LAMBDA(_xlpm.ARRAY,IF(_xlpm.ARRAY="teleOp", COLUMN(_xlpm.ARRAY), 0))))=0,"",MAX(_xlfn.BYCOL('Prematch Backend 7A'!47:47, _xlfn.LAMBDA(_xlpm.ARRAY,IF(_xlpm.ARRAY="teleOp", COLUMN(_xlpm.ARRAY), 0)))))</f>
        <v/>
      </c>
      <c r="B47" t="str" cm="1">
        <f t="array" ref="B47">IF(A47="","",_xlfn.CHOOSECOLS('Prematch Backend 2A'!47:47,_xlfn.MAKEARRAY(1,A47-2,_xlfn.LAMBDA(_xlpm.r,_xlpm.c,_xlpm.c))))</f>
        <v/>
      </c>
    </row>
    <row r="48" spans="1:2" x14ac:dyDescent="0.2">
      <c r="A48" t="str" cm="1">
        <f t="array" ref="A48">IF(MAX(_xlfn.BYCOL('Prematch Backend 7A'!48:48, _xlfn.LAMBDA(_xlpm.ARRAY,IF(_xlpm.ARRAY="teleOp", COLUMN(_xlpm.ARRAY), 0))))=0,"",MAX(_xlfn.BYCOL('Prematch Backend 7A'!48:48, _xlfn.LAMBDA(_xlpm.ARRAY,IF(_xlpm.ARRAY="teleOp", COLUMN(_xlpm.ARRAY), 0)))))</f>
        <v/>
      </c>
      <c r="B48" t="str" cm="1">
        <f t="array" ref="B48">IF(A48="","",_xlfn.CHOOSECOLS('Prematch Backend 2A'!48:48,_xlfn.MAKEARRAY(1,A48-2,_xlfn.LAMBDA(_xlpm.r,_xlpm.c,_xlpm.c))))</f>
        <v/>
      </c>
    </row>
    <row r="49" spans="1:2" x14ac:dyDescent="0.2">
      <c r="A49" t="str" cm="1">
        <f t="array" ref="A49">IF(MAX(_xlfn.BYCOL('Prematch Backend 7A'!49:49, _xlfn.LAMBDA(_xlpm.ARRAY,IF(_xlpm.ARRAY="teleOp", COLUMN(_xlpm.ARRAY), 0))))=0,"",MAX(_xlfn.BYCOL('Prematch Backend 7A'!49:49, _xlfn.LAMBDA(_xlpm.ARRAY,IF(_xlpm.ARRAY="teleOp", COLUMN(_xlpm.ARRAY), 0)))))</f>
        <v/>
      </c>
      <c r="B49" t="str" cm="1">
        <f t="array" ref="B49">IF(A49="","",_xlfn.CHOOSECOLS('Prematch Backend 2A'!49:49,_xlfn.MAKEARRAY(1,A49-2,_xlfn.LAMBDA(_xlpm.r,_xlpm.c,_xlpm.c))))</f>
        <v/>
      </c>
    </row>
    <row r="50" spans="1:2" x14ac:dyDescent="0.2">
      <c r="A50" t="str" cm="1">
        <f t="array" ref="A50">IF(MAX(_xlfn.BYCOL('Prematch Backend 7A'!50:50, _xlfn.LAMBDA(_xlpm.ARRAY,IF(_xlpm.ARRAY="teleOp", COLUMN(_xlpm.ARRAY), 0))))=0,"",MAX(_xlfn.BYCOL('Prematch Backend 7A'!50:50, _xlfn.LAMBDA(_xlpm.ARRAY,IF(_xlpm.ARRAY="teleOp", COLUMN(_xlpm.ARRAY), 0)))))</f>
        <v/>
      </c>
      <c r="B50" t="str" cm="1">
        <f t="array" ref="B50">IF(A50="","",_xlfn.CHOOSECOLS('Prematch Backend 2A'!50:50,_xlfn.MAKEARRAY(1,A50-2,_xlfn.LAMBDA(_xlpm.r,_xlpm.c,_xlpm.c))))</f>
        <v/>
      </c>
    </row>
    <row r="51" spans="1:2" x14ac:dyDescent="0.2">
      <c r="A51" t="str" cm="1">
        <f t="array" ref="A51">IF(MAX(_xlfn.BYCOL('Prematch Backend 7A'!51:51, _xlfn.LAMBDA(_xlpm.ARRAY,IF(_xlpm.ARRAY="teleOp", COLUMN(_xlpm.ARRAY), 0))))=0,"",MAX(_xlfn.BYCOL('Prematch Backend 7A'!51:51, _xlfn.LAMBDA(_xlpm.ARRAY,IF(_xlpm.ARRAY="teleOp", COLUMN(_xlpm.ARRAY), 0)))))</f>
        <v/>
      </c>
      <c r="B51" t="str" cm="1">
        <f t="array" ref="B51">IF(A51="","",_xlfn.CHOOSECOLS('Prematch Backend 2A'!51:51,_xlfn.MAKEARRAY(1,A51-2,_xlfn.LAMBDA(_xlpm.r,_xlpm.c,_xlpm.c))))</f>
        <v/>
      </c>
    </row>
    <row r="52" spans="1:2" x14ac:dyDescent="0.2">
      <c r="A52" t="str" cm="1">
        <f t="array" ref="A52">IF(MAX(_xlfn.BYCOL('Prematch Backend 7A'!52:52, _xlfn.LAMBDA(_xlpm.ARRAY,IF(_xlpm.ARRAY="teleOp", COLUMN(_xlpm.ARRAY), 0))))=0,"",MAX(_xlfn.BYCOL('Prematch Backend 7A'!52:52, _xlfn.LAMBDA(_xlpm.ARRAY,IF(_xlpm.ARRAY="teleOp", COLUMN(_xlpm.ARRAY), 0)))))</f>
        <v/>
      </c>
      <c r="B52" t="str" cm="1">
        <f t="array" ref="B52">IF(A52="","",_xlfn.CHOOSECOLS('Prematch Backend 2A'!52:52,_xlfn.MAKEARRAY(1,A52-2,_xlfn.LAMBDA(_xlpm.r,_xlpm.c,_xlpm.c))))</f>
        <v/>
      </c>
    </row>
    <row r="53" spans="1:2" x14ac:dyDescent="0.2">
      <c r="A53" t="str" cm="1">
        <f t="array" ref="A53">IF(MAX(_xlfn.BYCOL('Prematch Backend 7A'!53:53, _xlfn.LAMBDA(_xlpm.ARRAY,IF(_xlpm.ARRAY="teleOp", COLUMN(_xlpm.ARRAY), 0))))=0,"",MAX(_xlfn.BYCOL('Prematch Backend 7A'!53:53, _xlfn.LAMBDA(_xlpm.ARRAY,IF(_xlpm.ARRAY="teleOp", COLUMN(_xlpm.ARRAY), 0)))))</f>
        <v/>
      </c>
      <c r="B53" t="str" cm="1">
        <f t="array" ref="B53">IF(A53="","",_xlfn.CHOOSECOLS('Prematch Backend 2A'!53:53,_xlfn.MAKEARRAY(1,A53-2,_xlfn.LAMBDA(_xlpm.r,_xlpm.c,_xlpm.c))))</f>
        <v/>
      </c>
    </row>
    <row r="54" spans="1:2" x14ac:dyDescent="0.2">
      <c r="A54" t="str" cm="1">
        <f t="array" ref="A54">IF(MAX(_xlfn.BYCOL('Prematch Backend 7A'!54:54, _xlfn.LAMBDA(_xlpm.ARRAY,IF(_xlpm.ARRAY="teleOp", COLUMN(_xlpm.ARRAY), 0))))=0,"",MAX(_xlfn.BYCOL('Prematch Backend 7A'!54:54, _xlfn.LAMBDA(_xlpm.ARRAY,IF(_xlpm.ARRAY="teleOp", COLUMN(_xlpm.ARRAY), 0)))))</f>
        <v/>
      </c>
      <c r="B54" t="str" cm="1">
        <f t="array" ref="B54">IF(A54="","",_xlfn.CHOOSECOLS('Prematch Backend 2A'!54:54,_xlfn.MAKEARRAY(1,A54-2,_xlfn.LAMBDA(_xlpm.r,_xlpm.c,_xlpm.c))))</f>
        <v/>
      </c>
    </row>
    <row r="55" spans="1:2" x14ac:dyDescent="0.2">
      <c r="A55" t="str" cm="1">
        <f t="array" ref="A55">IF(MAX(_xlfn.BYCOL('Prematch Backend 7A'!55:55, _xlfn.LAMBDA(_xlpm.ARRAY,IF(_xlpm.ARRAY="teleOp", COLUMN(_xlpm.ARRAY), 0))))=0,"",MAX(_xlfn.BYCOL('Prematch Backend 7A'!55:55, _xlfn.LAMBDA(_xlpm.ARRAY,IF(_xlpm.ARRAY="teleOp", COLUMN(_xlpm.ARRAY), 0)))))</f>
        <v/>
      </c>
      <c r="B55" t="str" cm="1">
        <f t="array" ref="B55">IF(A55="","",_xlfn.CHOOSECOLS('Prematch Backend 2A'!55:55,_xlfn.MAKEARRAY(1,A55-2,_xlfn.LAMBDA(_xlpm.r,_xlpm.c,_xlpm.c))))</f>
        <v/>
      </c>
    </row>
    <row r="56" spans="1:2" x14ac:dyDescent="0.2">
      <c r="A56" t="str" cm="1">
        <f t="array" ref="A56">IF(MAX(_xlfn.BYCOL('Prematch Backend 7A'!56:56, _xlfn.LAMBDA(_xlpm.ARRAY,IF(_xlpm.ARRAY="teleOp", COLUMN(_xlpm.ARRAY), 0))))=0,"",MAX(_xlfn.BYCOL('Prematch Backend 7A'!56:56, _xlfn.LAMBDA(_xlpm.ARRAY,IF(_xlpm.ARRAY="teleOp", COLUMN(_xlpm.ARRAY), 0)))))</f>
        <v/>
      </c>
      <c r="B56" t="str" cm="1">
        <f t="array" ref="B56">IF(A56="","",_xlfn.CHOOSECOLS('Prematch Backend 2A'!56:56,_xlfn.MAKEARRAY(1,A56-2,_xlfn.LAMBDA(_xlpm.r,_xlpm.c,_xlpm.c))))</f>
        <v/>
      </c>
    </row>
    <row r="57" spans="1:2" x14ac:dyDescent="0.2">
      <c r="A57" t="str" cm="1">
        <f t="array" ref="A57">IF(MAX(_xlfn.BYCOL('Prematch Backend 7A'!57:57, _xlfn.LAMBDA(_xlpm.ARRAY,IF(_xlpm.ARRAY="teleOp", COLUMN(_xlpm.ARRAY), 0))))=0,"",MAX(_xlfn.BYCOL('Prematch Backend 7A'!57:57, _xlfn.LAMBDA(_xlpm.ARRAY,IF(_xlpm.ARRAY="teleOp", COLUMN(_xlpm.ARRAY), 0)))))</f>
        <v/>
      </c>
      <c r="B57" t="str" cm="1">
        <f t="array" ref="B57">IF(A57="","",_xlfn.CHOOSECOLS('Prematch Backend 2A'!57:57,_xlfn.MAKEARRAY(1,A57-2,_xlfn.LAMBDA(_xlpm.r,_xlpm.c,_xlpm.c))))</f>
        <v/>
      </c>
    </row>
    <row r="58" spans="1:2" x14ac:dyDescent="0.2">
      <c r="A58" t="str" cm="1">
        <f t="array" ref="A58">IF(MAX(_xlfn.BYCOL('Prematch Backend 7A'!58:58, _xlfn.LAMBDA(_xlpm.ARRAY,IF(_xlpm.ARRAY="teleOp", COLUMN(_xlpm.ARRAY), 0))))=0,"",MAX(_xlfn.BYCOL('Prematch Backend 7A'!58:58, _xlfn.LAMBDA(_xlpm.ARRAY,IF(_xlpm.ARRAY="teleOp", COLUMN(_xlpm.ARRAY), 0)))))</f>
        <v/>
      </c>
      <c r="B58" t="str" cm="1">
        <f t="array" ref="B58">IF(A58="","",_xlfn.CHOOSECOLS('Prematch Backend 2A'!58:58,_xlfn.MAKEARRAY(1,A58-2,_xlfn.LAMBDA(_xlpm.r,_xlpm.c,_xlpm.c))))</f>
        <v/>
      </c>
    </row>
    <row r="59" spans="1:2" x14ac:dyDescent="0.2">
      <c r="A59" t="str" cm="1">
        <f t="array" ref="A59">IF(MAX(_xlfn.BYCOL('Prematch Backend 7A'!59:59, _xlfn.LAMBDA(_xlpm.ARRAY,IF(_xlpm.ARRAY="teleOp", COLUMN(_xlpm.ARRAY), 0))))=0,"",MAX(_xlfn.BYCOL('Prematch Backend 7A'!59:59, _xlfn.LAMBDA(_xlpm.ARRAY,IF(_xlpm.ARRAY="teleOp", COLUMN(_xlpm.ARRAY), 0)))))</f>
        <v/>
      </c>
      <c r="B59" t="str" cm="1">
        <f t="array" ref="B59">IF(A59="","",_xlfn.CHOOSECOLS('Prematch Backend 2A'!59:59,_xlfn.MAKEARRAY(1,A59-2,_xlfn.LAMBDA(_xlpm.r,_xlpm.c,_xlpm.c))))</f>
        <v/>
      </c>
    </row>
    <row r="60" spans="1:2" x14ac:dyDescent="0.2">
      <c r="A60" t="str" cm="1">
        <f t="array" ref="A60">IF(MAX(_xlfn.BYCOL('Prematch Backend 7A'!60:60, _xlfn.LAMBDA(_xlpm.ARRAY,IF(_xlpm.ARRAY="teleOp", COLUMN(_xlpm.ARRAY), 0))))=0,"",MAX(_xlfn.BYCOL('Prematch Backend 7A'!60:60, _xlfn.LAMBDA(_xlpm.ARRAY,IF(_xlpm.ARRAY="teleOp", COLUMN(_xlpm.ARRAY), 0)))))</f>
        <v/>
      </c>
      <c r="B60" t="str" cm="1">
        <f t="array" ref="B60">IF(A60="","",_xlfn.CHOOSECOLS('Prematch Backend 2A'!60:60,_xlfn.MAKEARRAY(1,A60-2,_xlfn.LAMBDA(_xlpm.r,_xlpm.c,_xlpm.c))))</f>
        <v/>
      </c>
    </row>
    <row r="61" spans="1:2" x14ac:dyDescent="0.2">
      <c r="A61" t="str" cm="1">
        <f t="array" ref="A61">IF(MAX(_xlfn.BYCOL('Prematch Backend 7A'!61:61, _xlfn.LAMBDA(_xlpm.ARRAY,IF(_xlpm.ARRAY="teleOp", COLUMN(_xlpm.ARRAY), 0))))=0,"",MAX(_xlfn.BYCOL('Prematch Backend 7A'!61:61, _xlfn.LAMBDA(_xlpm.ARRAY,IF(_xlpm.ARRAY="teleOp", COLUMN(_xlpm.ARRAY), 0)))))</f>
        <v/>
      </c>
      <c r="B61" t="str" cm="1">
        <f t="array" ref="B61">IF(A61="","",_xlfn.CHOOSECOLS('Prematch Backend 2A'!61:61,_xlfn.MAKEARRAY(1,A61-2,_xlfn.LAMBDA(_xlpm.r,_xlpm.c,_xlpm.c))))</f>
        <v/>
      </c>
    </row>
    <row r="62" spans="1:2" x14ac:dyDescent="0.2">
      <c r="A62" t="str" cm="1">
        <f t="array" ref="A62">IF(MAX(_xlfn.BYCOL('Prematch Backend 7A'!62:62, _xlfn.LAMBDA(_xlpm.ARRAY,IF(_xlpm.ARRAY="teleOp", COLUMN(_xlpm.ARRAY), 0))))=0,"",MAX(_xlfn.BYCOL('Prematch Backend 7A'!62:62, _xlfn.LAMBDA(_xlpm.ARRAY,IF(_xlpm.ARRAY="teleOp", COLUMN(_xlpm.ARRAY), 0)))))</f>
        <v/>
      </c>
      <c r="B62" t="str" cm="1">
        <f t="array" ref="B62">IF(A62="","",_xlfn.CHOOSECOLS('Prematch Backend 2A'!62:62,_xlfn.MAKEARRAY(1,A62-2,_xlfn.LAMBDA(_xlpm.r,_xlpm.c,_xlpm.c))))</f>
        <v/>
      </c>
    </row>
    <row r="63" spans="1:2" x14ac:dyDescent="0.2">
      <c r="A63" t="str" cm="1">
        <f t="array" ref="A63">IF(MAX(_xlfn.BYCOL('Prematch Backend 7A'!63:63, _xlfn.LAMBDA(_xlpm.ARRAY,IF(_xlpm.ARRAY="teleOp", COLUMN(_xlpm.ARRAY), 0))))=0,"",MAX(_xlfn.BYCOL('Prematch Backend 7A'!63:63, _xlfn.LAMBDA(_xlpm.ARRAY,IF(_xlpm.ARRAY="teleOp", COLUMN(_xlpm.ARRAY), 0)))))</f>
        <v/>
      </c>
      <c r="B63" t="str" cm="1">
        <f t="array" ref="B63">IF(A63="","",_xlfn.CHOOSECOLS('Prematch Backend 2A'!63:63,_xlfn.MAKEARRAY(1,A63-2,_xlfn.LAMBDA(_xlpm.r,_xlpm.c,_xlpm.c))))</f>
        <v/>
      </c>
    </row>
    <row r="64" spans="1:2" x14ac:dyDescent="0.2">
      <c r="A64" t="str" cm="1">
        <f t="array" ref="A64">IF(MAX(_xlfn.BYCOL('Prematch Backend 7A'!64:64, _xlfn.LAMBDA(_xlpm.ARRAY,IF(_xlpm.ARRAY="teleOp", COLUMN(_xlpm.ARRAY), 0))))=0,"",MAX(_xlfn.BYCOL('Prematch Backend 7A'!64:64, _xlfn.LAMBDA(_xlpm.ARRAY,IF(_xlpm.ARRAY="teleOp", COLUMN(_xlpm.ARRAY), 0)))))</f>
        <v/>
      </c>
      <c r="B64" t="str" cm="1">
        <f t="array" ref="B64">IF(A64="","",_xlfn.CHOOSECOLS('Prematch Backend 2A'!64:64,_xlfn.MAKEARRAY(1,A64-2,_xlfn.LAMBDA(_xlpm.r,_xlpm.c,_xlpm.c))))</f>
        <v/>
      </c>
    </row>
    <row r="65" spans="1:2" x14ac:dyDescent="0.2">
      <c r="A65" t="str" cm="1">
        <f t="array" ref="A65">IF(MAX(_xlfn.BYCOL('Prematch Backend 7A'!65:65, _xlfn.LAMBDA(_xlpm.ARRAY,IF(_xlpm.ARRAY="teleOp", COLUMN(_xlpm.ARRAY), 0))))=0,"",MAX(_xlfn.BYCOL('Prematch Backend 7A'!65:65, _xlfn.LAMBDA(_xlpm.ARRAY,IF(_xlpm.ARRAY="teleOp", COLUMN(_xlpm.ARRAY), 0)))))</f>
        <v/>
      </c>
      <c r="B65" t="str" cm="1">
        <f t="array" ref="B65">IF(A65="","",_xlfn.CHOOSECOLS('Prematch Backend 2A'!65:65,_xlfn.MAKEARRAY(1,A65-2,_xlfn.LAMBDA(_xlpm.r,_xlpm.c,_xlpm.c))))</f>
        <v/>
      </c>
    </row>
    <row r="66" spans="1:2" x14ac:dyDescent="0.2">
      <c r="A66" t="str" cm="1">
        <f t="array" ref="A66">IF(MAX(_xlfn.BYCOL('Prematch Backend 7A'!66:66, _xlfn.LAMBDA(_xlpm.ARRAY,IF(_xlpm.ARRAY="teleOp", COLUMN(_xlpm.ARRAY), 0))))=0,"",MAX(_xlfn.BYCOL('Prematch Backend 7A'!66:66, _xlfn.LAMBDA(_xlpm.ARRAY,IF(_xlpm.ARRAY="teleOp", COLUMN(_xlpm.ARRAY), 0)))))</f>
        <v/>
      </c>
      <c r="B66" t="str" cm="1">
        <f t="array" ref="B66">IF(A66="","",_xlfn.CHOOSECOLS('Prematch Backend 2A'!66:66,_xlfn.MAKEARRAY(1,A66-2,_xlfn.LAMBDA(_xlpm.r,_xlpm.c,_xlpm.c))))</f>
        <v/>
      </c>
    </row>
    <row r="67" spans="1:2" x14ac:dyDescent="0.2">
      <c r="A67" t="str" cm="1">
        <f t="array" ref="A67">IF(MAX(_xlfn.BYCOL('Prematch Backend 7A'!67:67, _xlfn.LAMBDA(_xlpm.ARRAY,IF(_xlpm.ARRAY="teleOp", COLUMN(_xlpm.ARRAY), 0))))=0,"",MAX(_xlfn.BYCOL('Prematch Backend 7A'!67:67, _xlfn.LAMBDA(_xlpm.ARRAY,IF(_xlpm.ARRAY="teleOp", COLUMN(_xlpm.ARRAY), 0)))))</f>
        <v/>
      </c>
      <c r="B67" t="str" cm="1">
        <f t="array" ref="B67">IF(A67="","",_xlfn.CHOOSECOLS('Prematch Backend 2A'!67:67,_xlfn.MAKEARRAY(1,A67-2,_xlfn.LAMBDA(_xlpm.r,_xlpm.c,_xlpm.c))))</f>
        <v/>
      </c>
    </row>
    <row r="68" spans="1:2" x14ac:dyDescent="0.2">
      <c r="A68" t="str" cm="1">
        <f t="array" ref="A68">IF(MAX(_xlfn.BYCOL('Prematch Backend 7A'!68:68, _xlfn.LAMBDA(_xlpm.ARRAY,IF(_xlpm.ARRAY="teleOp", COLUMN(_xlpm.ARRAY), 0))))=0,"",MAX(_xlfn.BYCOL('Prematch Backend 7A'!68:68, _xlfn.LAMBDA(_xlpm.ARRAY,IF(_xlpm.ARRAY="teleOp", COLUMN(_xlpm.ARRAY), 0)))))</f>
        <v/>
      </c>
      <c r="B68" t="str" cm="1">
        <f t="array" ref="B68">IF(A68="","",_xlfn.CHOOSECOLS('Prematch Backend 2A'!68:68,_xlfn.MAKEARRAY(1,A68-2,_xlfn.LAMBDA(_xlpm.r,_xlpm.c,_xlpm.c))))</f>
        <v/>
      </c>
    </row>
    <row r="69" spans="1:2" x14ac:dyDescent="0.2">
      <c r="A69" t="str" cm="1">
        <f t="array" ref="A69">IF(MAX(_xlfn.BYCOL('Prematch Backend 7A'!69:69, _xlfn.LAMBDA(_xlpm.ARRAY,IF(_xlpm.ARRAY="teleOp", COLUMN(_xlpm.ARRAY), 0))))=0,"",MAX(_xlfn.BYCOL('Prematch Backend 7A'!69:69, _xlfn.LAMBDA(_xlpm.ARRAY,IF(_xlpm.ARRAY="teleOp", COLUMN(_xlpm.ARRAY), 0)))))</f>
        <v/>
      </c>
      <c r="B69" t="str" cm="1">
        <f t="array" ref="B69">IF(A69="","",_xlfn.CHOOSECOLS('Prematch Backend 2A'!69:69,_xlfn.MAKEARRAY(1,A69-2,_xlfn.LAMBDA(_xlpm.r,_xlpm.c,_xlpm.c))))</f>
        <v/>
      </c>
    </row>
    <row r="70" spans="1:2" x14ac:dyDescent="0.2">
      <c r="A70" t="str" cm="1">
        <f t="array" ref="A70">IF(MAX(_xlfn.BYCOL('Prematch Backend 7A'!70:70, _xlfn.LAMBDA(_xlpm.ARRAY,IF(_xlpm.ARRAY="teleOp", COLUMN(_xlpm.ARRAY), 0))))=0,"",MAX(_xlfn.BYCOL('Prematch Backend 7A'!70:70, _xlfn.LAMBDA(_xlpm.ARRAY,IF(_xlpm.ARRAY="teleOp", COLUMN(_xlpm.ARRAY), 0)))))</f>
        <v/>
      </c>
      <c r="B70" t="str" cm="1">
        <f t="array" ref="B70">IF(A70="","",_xlfn.CHOOSECOLS('Prematch Backend 2A'!70:70,_xlfn.MAKEARRAY(1,A70-2,_xlfn.LAMBDA(_xlpm.r,_xlpm.c,_xlpm.c))))</f>
        <v/>
      </c>
    </row>
    <row r="71" spans="1:2" x14ac:dyDescent="0.2">
      <c r="A71" t="str" cm="1">
        <f t="array" ref="A71">IF(MAX(_xlfn.BYCOL('Prematch Backend 7A'!71:71, _xlfn.LAMBDA(_xlpm.ARRAY,IF(_xlpm.ARRAY="teleOp", COLUMN(_xlpm.ARRAY), 0))))=0,"",MAX(_xlfn.BYCOL('Prematch Backend 7A'!71:71, _xlfn.LAMBDA(_xlpm.ARRAY,IF(_xlpm.ARRAY="teleOp", COLUMN(_xlpm.ARRAY), 0)))))</f>
        <v/>
      </c>
      <c r="B71" t="str" cm="1">
        <f t="array" ref="B71">IF(A71="","",_xlfn.CHOOSECOLS('Prematch Backend 2A'!71:71,_xlfn.MAKEARRAY(1,A71-2,_xlfn.LAMBDA(_xlpm.r,_xlpm.c,_xlpm.c))))</f>
        <v/>
      </c>
    </row>
    <row r="72" spans="1:2" x14ac:dyDescent="0.2">
      <c r="A72" t="str" cm="1">
        <f t="array" ref="A72">IF(MAX(_xlfn.BYCOL('Prematch Backend 7A'!72:72, _xlfn.LAMBDA(_xlpm.ARRAY,IF(_xlpm.ARRAY="teleOp", COLUMN(_xlpm.ARRAY), 0))))=0,"",MAX(_xlfn.BYCOL('Prematch Backend 7A'!72:72, _xlfn.LAMBDA(_xlpm.ARRAY,IF(_xlpm.ARRAY="teleOp", COLUMN(_xlpm.ARRAY), 0)))))</f>
        <v/>
      </c>
      <c r="B72" t="str" cm="1">
        <f t="array" ref="B72">IF(A72="","",_xlfn.CHOOSECOLS('Prematch Backend 2A'!72:72,_xlfn.MAKEARRAY(1,A72-2,_xlfn.LAMBDA(_xlpm.r,_xlpm.c,_xlpm.c))))</f>
        <v/>
      </c>
    </row>
    <row r="73" spans="1:2" x14ac:dyDescent="0.2">
      <c r="A73" t="str" cm="1">
        <f t="array" ref="A73">IF(MAX(_xlfn.BYCOL('Prematch Backend 7A'!73:73, _xlfn.LAMBDA(_xlpm.ARRAY,IF(_xlpm.ARRAY="teleOp", COLUMN(_xlpm.ARRAY), 0))))=0,"",MAX(_xlfn.BYCOL('Prematch Backend 7A'!73:73, _xlfn.LAMBDA(_xlpm.ARRAY,IF(_xlpm.ARRAY="teleOp", COLUMN(_xlpm.ARRAY), 0)))))</f>
        <v/>
      </c>
      <c r="B73" t="str" cm="1">
        <f t="array" ref="B73">IF(A73="","",_xlfn.CHOOSECOLS('Prematch Backend 2A'!73:73,_xlfn.MAKEARRAY(1,A73-2,_xlfn.LAMBDA(_xlpm.r,_xlpm.c,_xlpm.c))))</f>
        <v/>
      </c>
    </row>
    <row r="74" spans="1:2" x14ac:dyDescent="0.2">
      <c r="A74" t="str" cm="1">
        <f t="array" ref="A74">IF(MAX(_xlfn.BYCOL('Prematch Backend 7A'!74:74, _xlfn.LAMBDA(_xlpm.ARRAY,IF(_xlpm.ARRAY="teleOp", COLUMN(_xlpm.ARRAY), 0))))=0,"",MAX(_xlfn.BYCOL('Prematch Backend 7A'!74:74, _xlfn.LAMBDA(_xlpm.ARRAY,IF(_xlpm.ARRAY="teleOp", COLUMN(_xlpm.ARRAY), 0)))))</f>
        <v/>
      </c>
      <c r="B74" t="str" cm="1">
        <f t="array" ref="B74">IF(A74="","",_xlfn.CHOOSECOLS('Prematch Backend 2A'!74:74,_xlfn.MAKEARRAY(1,A74-2,_xlfn.LAMBDA(_xlpm.r,_xlpm.c,_xlpm.c))))</f>
        <v/>
      </c>
    </row>
    <row r="75" spans="1:2" x14ac:dyDescent="0.2">
      <c r="A75" t="str" cm="1">
        <f t="array" ref="A75">IF(MAX(_xlfn.BYCOL('Prematch Backend 7A'!75:75, _xlfn.LAMBDA(_xlpm.ARRAY,IF(_xlpm.ARRAY="teleOp", COLUMN(_xlpm.ARRAY), 0))))=0,"",MAX(_xlfn.BYCOL('Prematch Backend 7A'!75:75, _xlfn.LAMBDA(_xlpm.ARRAY,IF(_xlpm.ARRAY="teleOp", COLUMN(_xlpm.ARRAY), 0)))))</f>
        <v/>
      </c>
      <c r="B75" t="str" cm="1">
        <f t="array" ref="B75">IF(A75="","",_xlfn.CHOOSECOLS('Prematch Backend 2A'!75:75,_xlfn.MAKEARRAY(1,A75-2,_xlfn.LAMBDA(_xlpm.r,_xlpm.c,_xlpm.c))))</f>
        <v/>
      </c>
    </row>
    <row r="76" spans="1:2" x14ac:dyDescent="0.2">
      <c r="A76" t="str" cm="1">
        <f t="array" ref="A76">IF(MAX(_xlfn.BYCOL('Prematch Backend 7A'!76:76, _xlfn.LAMBDA(_xlpm.ARRAY,IF(_xlpm.ARRAY="teleOp", COLUMN(_xlpm.ARRAY), 0))))=0,"",MAX(_xlfn.BYCOL('Prematch Backend 7A'!76:76, _xlfn.LAMBDA(_xlpm.ARRAY,IF(_xlpm.ARRAY="teleOp", COLUMN(_xlpm.ARRAY), 0)))))</f>
        <v/>
      </c>
      <c r="B76" t="str" cm="1">
        <f t="array" ref="B76">IF(A76="","",_xlfn.CHOOSECOLS('Prematch Backend 2A'!76:76,_xlfn.MAKEARRAY(1,A76-2,_xlfn.LAMBDA(_xlpm.r,_xlpm.c,_xlpm.c))))</f>
        <v/>
      </c>
    </row>
    <row r="77" spans="1:2" x14ac:dyDescent="0.2">
      <c r="A77" t="str" cm="1">
        <f t="array" ref="A77">IF(MAX(_xlfn.BYCOL('Prematch Backend 7A'!77:77, _xlfn.LAMBDA(_xlpm.ARRAY,IF(_xlpm.ARRAY="teleOp", COLUMN(_xlpm.ARRAY), 0))))=0,"",MAX(_xlfn.BYCOL('Prematch Backend 7A'!77:77, _xlfn.LAMBDA(_xlpm.ARRAY,IF(_xlpm.ARRAY="teleOp", COLUMN(_xlpm.ARRAY), 0)))))</f>
        <v/>
      </c>
      <c r="B77" t="str" cm="1">
        <f t="array" ref="B77">IF(A77="","",_xlfn.CHOOSECOLS('Prematch Backend 2A'!77:77,_xlfn.MAKEARRAY(1,A77-2,_xlfn.LAMBDA(_xlpm.r,_xlpm.c,_xlpm.c))))</f>
        <v/>
      </c>
    </row>
    <row r="78" spans="1:2" x14ac:dyDescent="0.2">
      <c r="A78" t="str" cm="1">
        <f t="array" ref="A78">IF(MAX(_xlfn.BYCOL('Prematch Backend 7A'!78:78, _xlfn.LAMBDA(_xlpm.ARRAY,IF(_xlpm.ARRAY="teleOp", COLUMN(_xlpm.ARRAY), 0))))=0,"",MAX(_xlfn.BYCOL('Prematch Backend 7A'!78:78, _xlfn.LAMBDA(_xlpm.ARRAY,IF(_xlpm.ARRAY="teleOp", COLUMN(_xlpm.ARRAY), 0)))))</f>
        <v/>
      </c>
      <c r="B78" t="str" cm="1">
        <f t="array" ref="B78">IF(A78="","",_xlfn.CHOOSECOLS('Prematch Backend 2A'!78:78,_xlfn.MAKEARRAY(1,A78-2,_xlfn.LAMBDA(_xlpm.r,_xlpm.c,_xlpm.c))))</f>
        <v/>
      </c>
    </row>
    <row r="79" spans="1:2" x14ac:dyDescent="0.2">
      <c r="A79" t="str" cm="1">
        <f t="array" ref="A79">IF(MAX(_xlfn.BYCOL('Prematch Backend 7A'!79:79, _xlfn.LAMBDA(_xlpm.ARRAY,IF(_xlpm.ARRAY="teleOp", COLUMN(_xlpm.ARRAY), 0))))=0,"",MAX(_xlfn.BYCOL('Prematch Backend 7A'!79:79, _xlfn.LAMBDA(_xlpm.ARRAY,IF(_xlpm.ARRAY="teleOp", COLUMN(_xlpm.ARRAY), 0)))))</f>
        <v/>
      </c>
      <c r="B79" t="str" cm="1">
        <f t="array" ref="B79">IF(A79="","",_xlfn.CHOOSECOLS('Prematch Backend 2A'!79:79,_xlfn.MAKEARRAY(1,A79-2,_xlfn.LAMBDA(_xlpm.r,_xlpm.c,_xlpm.c))))</f>
        <v/>
      </c>
    </row>
    <row r="80" spans="1:2" x14ac:dyDescent="0.2">
      <c r="A80" t="str" cm="1">
        <f t="array" ref="A80">IF(MAX(_xlfn.BYCOL('Prematch Backend 7A'!80:80, _xlfn.LAMBDA(_xlpm.ARRAY,IF(_xlpm.ARRAY="teleOp", COLUMN(_xlpm.ARRAY), 0))))=0,"",MAX(_xlfn.BYCOL('Prematch Backend 7A'!80:80, _xlfn.LAMBDA(_xlpm.ARRAY,IF(_xlpm.ARRAY="teleOp", COLUMN(_xlpm.ARRAY), 0)))))</f>
        <v/>
      </c>
      <c r="B80" t="str" cm="1">
        <f t="array" ref="B80">IF(A80="","",_xlfn.CHOOSECOLS('Prematch Backend 2A'!80:80,_xlfn.MAKEARRAY(1,A80-2,_xlfn.LAMBDA(_xlpm.r,_xlpm.c,_xlpm.c))))</f>
        <v/>
      </c>
    </row>
    <row r="81" spans="1:2" x14ac:dyDescent="0.2">
      <c r="A81" t="str" cm="1">
        <f t="array" ref="A81">IF(MAX(_xlfn.BYCOL('Prematch Backend 7A'!81:81, _xlfn.LAMBDA(_xlpm.ARRAY,IF(_xlpm.ARRAY="teleOp", COLUMN(_xlpm.ARRAY), 0))))=0,"",MAX(_xlfn.BYCOL('Prematch Backend 7A'!81:81, _xlfn.LAMBDA(_xlpm.ARRAY,IF(_xlpm.ARRAY="teleOp", COLUMN(_xlpm.ARRAY), 0)))))</f>
        <v/>
      </c>
      <c r="B81" t="str" cm="1">
        <f t="array" ref="B81">IF(A81="","",_xlfn.CHOOSECOLS('Prematch Backend 2A'!81:81,_xlfn.MAKEARRAY(1,A81-2,_xlfn.LAMBDA(_xlpm.r,_xlpm.c,_xlpm.c))))</f>
        <v/>
      </c>
    </row>
    <row r="82" spans="1:2" x14ac:dyDescent="0.2">
      <c r="A82" t="str" cm="1">
        <f t="array" ref="A82">IF(MAX(_xlfn.BYCOL('Prematch Backend 7A'!82:82, _xlfn.LAMBDA(_xlpm.ARRAY,IF(_xlpm.ARRAY="teleOp", COLUMN(_xlpm.ARRAY), 0))))=0,"",MAX(_xlfn.BYCOL('Prematch Backend 7A'!82:82, _xlfn.LAMBDA(_xlpm.ARRAY,IF(_xlpm.ARRAY="teleOp", COLUMN(_xlpm.ARRAY), 0)))))</f>
        <v/>
      </c>
      <c r="B82" t="str" cm="1">
        <f t="array" ref="B82">IF(A82="","",_xlfn.CHOOSECOLS('Prematch Backend 2A'!82:82,_xlfn.MAKEARRAY(1,A82-2,_xlfn.LAMBDA(_xlpm.r,_xlpm.c,_xlpm.c))))</f>
        <v/>
      </c>
    </row>
    <row r="83" spans="1:2" x14ac:dyDescent="0.2">
      <c r="A83" t="str" cm="1">
        <f t="array" ref="A83">IF(MAX(_xlfn.BYCOL('Prematch Backend 7A'!83:83, _xlfn.LAMBDA(_xlpm.ARRAY,IF(_xlpm.ARRAY="teleOp", COLUMN(_xlpm.ARRAY), 0))))=0,"",MAX(_xlfn.BYCOL('Prematch Backend 7A'!83:83, _xlfn.LAMBDA(_xlpm.ARRAY,IF(_xlpm.ARRAY="teleOp", COLUMN(_xlpm.ARRAY), 0)))))</f>
        <v/>
      </c>
      <c r="B83" t="str" cm="1">
        <f t="array" ref="B83">IF(A83="","",_xlfn.CHOOSECOLS('Prematch Backend 2A'!83:83,_xlfn.MAKEARRAY(1,A83-2,_xlfn.LAMBDA(_xlpm.r,_xlpm.c,_xlpm.c))))</f>
        <v/>
      </c>
    </row>
    <row r="84" spans="1:2" x14ac:dyDescent="0.2">
      <c r="A84" t="str" cm="1">
        <f t="array" ref="A84">IF(MAX(_xlfn.BYCOL('Prematch Backend 7A'!84:84, _xlfn.LAMBDA(_xlpm.ARRAY,IF(_xlpm.ARRAY="teleOp", COLUMN(_xlpm.ARRAY), 0))))=0,"",MAX(_xlfn.BYCOL('Prematch Backend 7A'!84:84, _xlfn.LAMBDA(_xlpm.ARRAY,IF(_xlpm.ARRAY="teleOp", COLUMN(_xlpm.ARRAY), 0)))))</f>
        <v/>
      </c>
      <c r="B84" t="str" cm="1">
        <f t="array" ref="B84">IF(A84="","",_xlfn.CHOOSECOLS('Prematch Backend 2A'!84:84,_xlfn.MAKEARRAY(1,A84-2,_xlfn.LAMBDA(_xlpm.r,_xlpm.c,_xlpm.c))))</f>
        <v/>
      </c>
    </row>
    <row r="85" spans="1:2" x14ac:dyDescent="0.2">
      <c r="A85" t="str" cm="1">
        <f t="array" ref="A85">IF(MAX(_xlfn.BYCOL('Prematch Backend 7A'!85:85, _xlfn.LAMBDA(_xlpm.ARRAY,IF(_xlpm.ARRAY="teleOp", COLUMN(_xlpm.ARRAY), 0))))=0,"",MAX(_xlfn.BYCOL('Prematch Backend 7A'!85:85, _xlfn.LAMBDA(_xlpm.ARRAY,IF(_xlpm.ARRAY="teleOp", COLUMN(_xlpm.ARRAY), 0)))))</f>
        <v/>
      </c>
      <c r="B85" t="str" cm="1">
        <f t="array" ref="B85">IF(A85="","",_xlfn.CHOOSECOLS('Prematch Backend 2A'!85:85,_xlfn.MAKEARRAY(1,A85-2,_xlfn.LAMBDA(_xlpm.r,_xlpm.c,_xlpm.c))))</f>
        <v/>
      </c>
    </row>
    <row r="86" spans="1:2" x14ac:dyDescent="0.2">
      <c r="A86" t="str" cm="1">
        <f t="array" ref="A86">IF(MAX(_xlfn.BYCOL('Prematch Backend 7A'!86:86, _xlfn.LAMBDA(_xlpm.ARRAY,IF(_xlpm.ARRAY="teleOp", COLUMN(_xlpm.ARRAY), 0))))=0,"",MAX(_xlfn.BYCOL('Prematch Backend 7A'!86:86, _xlfn.LAMBDA(_xlpm.ARRAY,IF(_xlpm.ARRAY="teleOp", COLUMN(_xlpm.ARRAY), 0)))))</f>
        <v/>
      </c>
      <c r="B86" t="str" cm="1">
        <f t="array" ref="B86">IF(A86="","",_xlfn.CHOOSECOLS('Prematch Backend 2A'!86:86,_xlfn.MAKEARRAY(1,A86-2,_xlfn.LAMBDA(_xlpm.r,_xlpm.c,_xlpm.c))))</f>
        <v/>
      </c>
    </row>
    <row r="87" spans="1:2" x14ac:dyDescent="0.2">
      <c r="A87" t="str" cm="1">
        <f t="array" ref="A87">IF(MAX(_xlfn.BYCOL('Prematch Backend 7A'!87:87, _xlfn.LAMBDA(_xlpm.ARRAY,IF(_xlpm.ARRAY="teleOp", COLUMN(_xlpm.ARRAY), 0))))=0,"",MAX(_xlfn.BYCOL('Prematch Backend 7A'!87:87, _xlfn.LAMBDA(_xlpm.ARRAY,IF(_xlpm.ARRAY="teleOp", COLUMN(_xlpm.ARRAY), 0)))))</f>
        <v/>
      </c>
      <c r="B87" t="str" cm="1">
        <f t="array" ref="B87">IF(A87="","",_xlfn.CHOOSECOLS('Prematch Backend 2A'!87:87,_xlfn.MAKEARRAY(1,A87-2,_xlfn.LAMBDA(_xlpm.r,_xlpm.c,_xlpm.c))))</f>
        <v/>
      </c>
    </row>
    <row r="88" spans="1:2" x14ac:dyDescent="0.2">
      <c r="A88" t="str" cm="1">
        <f t="array" ref="A88">IF(MAX(_xlfn.BYCOL('Prematch Backend 7A'!88:88, _xlfn.LAMBDA(_xlpm.ARRAY,IF(_xlpm.ARRAY="teleOp", COLUMN(_xlpm.ARRAY), 0))))=0,"",MAX(_xlfn.BYCOL('Prematch Backend 7A'!88:88, _xlfn.LAMBDA(_xlpm.ARRAY,IF(_xlpm.ARRAY="teleOp", COLUMN(_xlpm.ARRAY), 0)))))</f>
        <v/>
      </c>
      <c r="B88" t="str" cm="1">
        <f t="array" ref="B88">IF(A88="","",_xlfn.CHOOSECOLS('Prematch Backend 2A'!88:88,_xlfn.MAKEARRAY(1,A88-2,_xlfn.LAMBDA(_xlpm.r,_xlpm.c,_xlpm.c))))</f>
        <v/>
      </c>
    </row>
    <row r="89" spans="1:2" x14ac:dyDescent="0.2">
      <c r="A89" t="str" cm="1">
        <f t="array" ref="A89">IF(MAX(_xlfn.BYCOL('Prematch Backend 7A'!89:89, _xlfn.LAMBDA(_xlpm.ARRAY,IF(_xlpm.ARRAY="teleOp", COLUMN(_xlpm.ARRAY), 0))))=0,"",MAX(_xlfn.BYCOL('Prematch Backend 7A'!89:89, _xlfn.LAMBDA(_xlpm.ARRAY,IF(_xlpm.ARRAY="teleOp", COLUMN(_xlpm.ARRAY), 0)))))</f>
        <v/>
      </c>
      <c r="B89" t="str" cm="1">
        <f t="array" ref="B89">IF(A89="","",_xlfn.CHOOSECOLS('Prematch Backend 2A'!89:89,_xlfn.MAKEARRAY(1,A89-2,_xlfn.LAMBDA(_xlpm.r,_xlpm.c,_xlpm.c))))</f>
        <v/>
      </c>
    </row>
    <row r="90" spans="1:2" x14ac:dyDescent="0.2">
      <c r="A90" t="str" cm="1">
        <f t="array" ref="A90">IF(MAX(_xlfn.BYCOL('Prematch Backend 7A'!90:90, _xlfn.LAMBDA(_xlpm.ARRAY,IF(_xlpm.ARRAY="teleOp", COLUMN(_xlpm.ARRAY), 0))))=0,"",MAX(_xlfn.BYCOL('Prematch Backend 7A'!90:90, _xlfn.LAMBDA(_xlpm.ARRAY,IF(_xlpm.ARRAY="teleOp", COLUMN(_xlpm.ARRAY), 0)))))</f>
        <v/>
      </c>
      <c r="B90" t="str" cm="1">
        <f t="array" ref="B90">IF(A90="","",_xlfn.CHOOSECOLS('Prematch Backend 2A'!90:90,_xlfn.MAKEARRAY(1,A90-2,_xlfn.LAMBDA(_xlpm.r,_xlpm.c,_xlpm.c))))</f>
        <v/>
      </c>
    </row>
    <row r="91" spans="1:2" x14ac:dyDescent="0.2">
      <c r="A91" t="str" cm="1">
        <f t="array" ref="A91">IF(MAX(_xlfn.BYCOL('Prematch Backend 7A'!91:91, _xlfn.LAMBDA(_xlpm.ARRAY,IF(_xlpm.ARRAY="teleOp", COLUMN(_xlpm.ARRAY), 0))))=0,"",MAX(_xlfn.BYCOL('Prematch Backend 7A'!91:91, _xlfn.LAMBDA(_xlpm.ARRAY,IF(_xlpm.ARRAY="teleOp", COLUMN(_xlpm.ARRAY), 0)))))</f>
        <v/>
      </c>
      <c r="B91" t="str" cm="1">
        <f t="array" ref="B91">IF(A91="","",_xlfn.CHOOSECOLS('Prematch Backend 2A'!91:91,_xlfn.MAKEARRAY(1,A91-2,_xlfn.LAMBDA(_xlpm.r,_xlpm.c,_xlpm.c))))</f>
        <v/>
      </c>
    </row>
    <row r="92" spans="1:2" x14ac:dyDescent="0.2">
      <c r="A92" t="str" cm="1">
        <f t="array" ref="A92">IF(MAX(_xlfn.BYCOL('Prematch Backend 7A'!92:92, _xlfn.LAMBDA(_xlpm.ARRAY,IF(_xlpm.ARRAY="teleOp", COLUMN(_xlpm.ARRAY), 0))))=0,"",MAX(_xlfn.BYCOL('Prematch Backend 7A'!92:92, _xlfn.LAMBDA(_xlpm.ARRAY,IF(_xlpm.ARRAY="teleOp", COLUMN(_xlpm.ARRAY), 0)))))</f>
        <v/>
      </c>
      <c r="B92" t="str" cm="1">
        <f t="array" ref="B92">IF(A92="","",_xlfn.CHOOSECOLS('Prematch Backend 2A'!92:92,_xlfn.MAKEARRAY(1,A92-2,_xlfn.LAMBDA(_xlpm.r,_xlpm.c,_xlpm.c))))</f>
        <v/>
      </c>
    </row>
    <row r="93" spans="1:2" x14ac:dyDescent="0.2">
      <c r="A93" t="str" cm="1">
        <f t="array" ref="A93">IF(MAX(_xlfn.BYCOL('Prematch Backend 7A'!93:93, _xlfn.LAMBDA(_xlpm.ARRAY,IF(_xlpm.ARRAY="teleOp", COLUMN(_xlpm.ARRAY), 0))))=0,"",MAX(_xlfn.BYCOL('Prematch Backend 7A'!93:93, _xlfn.LAMBDA(_xlpm.ARRAY,IF(_xlpm.ARRAY="teleOp", COLUMN(_xlpm.ARRAY), 0)))))</f>
        <v/>
      </c>
      <c r="B93" t="str" cm="1">
        <f t="array" ref="B93">IF(A93="","",_xlfn.CHOOSECOLS('Prematch Backend 2A'!93:93,_xlfn.MAKEARRAY(1,A93-2,_xlfn.LAMBDA(_xlpm.r,_xlpm.c,_xlpm.c))))</f>
        <v/>
      </c>
    </row>
    <row r="94" spans="1:2" x14ac:dyDescent="0.2">
      <c r="A94" t="str" cm="1">
        <f t="array" ref="A94">IF(MAX(_xlfn.BYCOL('Prematch Backend 7A'!94:94, _xlfn.LAMBDA(_xlpm.ARRAY,IF(_xlpm.ARRAY="teleOp", COLUMN(_xlpm.ARRAY), 0))))=0,"",MAX(_xlfn.BYCOL('Prematch Backend 7A'!94:94, _xlfn.LAMBDA(_xlpm.ARRAY,IF(_xlpm.ARRAY="teleOp", COLUMN(_xlpm.ARRAY), 0)))))</f>
        <v/>
      </c>
      <c r="B94" t="str" cm="1">
        <f t="array" ref="B94">IF(A94="","",_xlfn.CHOOSECOLS('Prematch Backend 2A'!94:94,_xlfn.MAKEARRAY(1,A94-2,_xlfn.LAMBDA(_xlpm.r,_xlpm.c,_xlpm.c))))</f>
        <v/>
      </c>
    </row>
    <row r="95" spans="1:2" x14ac:dyDescent="0.2">
      <c r="A95" t="str" cm="1">
        <f t="array" ref="A95">IF(MAX(_xlfn.BYCOL('Prematch Backend 7A'!95:95, _xlfn.LAMBDA(_xlpm.ARRAY,IF(_xlpm.ARRAY="teleOp", COLUMN(_xlpm.ARRAY), 0))))=0,"",MAX(_xlfn.BYCOL('Prematch Backend 7A'!95:95, _xlfn.LAMBDA(_xlpm.ARRAY,IF(_xlpm.ARRAY="teleOp", COLUMN(_xlpm.ARRAY), 0)))))</f>
        <v/>
      </c>
      <c r="B95" t="str" cm="1">
        <f t="array" ref="B95">IF(A95="","",_xlfn.CHOOSECOLS('Prematch Backend 2A'!95:95,_xlfn.MAKEARRAY(1,A95-2,_xlfn.LAMBDA(_xlpm.r,_xlpm.c,_xlpm.c))))</f>
        <v/>
      </c>
    </row>
    <row r="96" spans="1:2" x14ac:dyDescent="0.2">
      <c r="A96" t="str" cm="1">
        <f t="array" ref="A96">IF(MAX(_xlfn.BYCOL('Prematch Backend 7A'!96:96, _xlfn.LAMBDA(_xlpm.ARRAY,IF(_xlpm.ARRAY="teleOp", COLUMN(_xlpm.ARRAY), 0))))=0,"",MAX(_xlfn.BYCOL('Prematch Backend 7A'!96:96, _xlfn.LAMBDA(_xlpm.ARRAY,IF(_xlpm.ARRAY="teleOp", COLUMN(_xlpm.ARRAY), 0)))))</f>
        <v/>
      </c>
      <c r="B96" t="str" cm="1">
        <f t="array" ref="B96">IF(A96="","",_xlfn.CHOOSECOLS('Prematch Backend 2A'!96:96,_xlfn.MAKEARRAY(1,A96-2,_xlfn.LAMBDA(_xlpm.r,_xlpm.c,_xlpm.c))))</f>
        <v/>
      </c>
    </row>
    <row r="97" spans="1:2" x14ac:dyDescent="0.2">
      <c r="A97" t="str" cm="1">
        <f t="array" ref="A97">IF(MAX(_xlfn.BYCOL('Prematch Backend 7A'!97:97, _xlfn.LAMBDA(_xlpm.ARRAY,IF(_xlpm.ARRAY="teleOp", COLUMN(_xlpm.ARRAY), 0))))=0,"",MAX(_xlfn.BYCOL('Prematch Backend 7A'!97:97, _xlfn.LAMBDA(_xlpm.ARRAY,IF(_xlpm.ARRAY="teleOp", COLUMN(_xlpm.ARRAY), 0)))))</f>
        <v/>
      </c>
      <c r="B97" t="str" cm="1">
        <f t="array" ref="B97">IF(A97="","",_xlfn.CHOOSECOLS('Prematch Backend 2A'!97:97,_xlfn.MAKEARRAY(1,A97-2,_xlfn.LAMBDA(_xlpm.r,_xlpm.c,_xlpm.c))))</f>
        <v/>
      </c>
    </row>
    <row r="98" spans="1:2" x14ac:dyDescent="0.2">
      <c r="A98" t="str" cm="1">
        <f t="array" ref="A98">IF(MAX(_xlfn.BYCOL('Prematch Backend 7A'!98:98, _xlfn.LAMBDA(_xlpm.ARRAY,IF(_xlpm.ARRAY="teleOp", COLUMN(_xlpm.ARRAY), 0))))=0,"",MAX(_xlfn.BYCOL('Prematch Backend 7A'!98:98, _xlfn.LAMBDA(_xlpm.ARRAY,IF(_xlpm.ARRAY="teleOp", COLUMN(_xlpm.ARRAY), 0)))))</f>
        <v/>
      </c>
      <c r="B98" t="str" cm="1">
        <f t="array" ref="B98">IF(A98="","",_xlfn.CHOOSECOLS('Prematch Backend 2A'!98:98,_xlfn.MAKEARRAY(1,A98-2,_xlfn.LAMBDA(_xlpm.r,_xlpm.c,_xlpm.c))))</f>
        <v/>
      </c>
    </row>
    <row r="99" spans="1:2" x14ac:dyDescent="0.2">
      <c r="A99" t="str" cm="1">
        <f t="array" ref="A99">IF(MAX(_xlfn.BYCOL('Prematch Backend 7A'!99:99, _xlfn.LAMBDA(_xlpm.ARRAY,IF(_xlpm.ARRAY="teleOp", COLUMN(_xlpm.ARRAY), 0))))=0,"",MAX(_xlfn.BYCOL('Prematch Backend 7A'!99:99, _xlfn.LAMBDA(_xlpm.ARRAY,IF(_xlpm.ARRAY="teleOp", COLUMN(_xlpm.ARRAY), 0)))))</f>
        <v/>
      </c>
      <c r="B99" t="str" cm="1">
        <f t="array" ref="B99">IF(A99="","",_xlfn.CHOOSECOLS('Prematch Backend 2A'!99:99,_xlfn.MAKEARRAY(1,A99-2,_xlfn.LAMBDA(_xlpm.r,_xlpm.c,_xlpm.c))))</f>
        <v/>
      </c>
    </row>
    <row r="100" spans="1:2" x14ac:dyDescent="0.2">
      <c r="A100" t="str" cm="1">
        <f t="array" ref="A100">IF(MAX(_xlfn.BYCOL('Prematch Backend 7A'!100:100, _xlfn.LAMBDA(_xlpm.ARRAY,IF(_xlpm.ARRAY="teleOp", COLUMN(_xlpm.ARRAY), 0))))=0,"",MAX(_xlfn.BYCOL('Prematch Backend 7A'!100:100, _xlfn.LAMBDA(_xlpm.ARRAY,IF(_xlpm.ARRAY="teleOp", COLUMN(_xlpm.ARRAY), 0)))))</f>
        <v/>
      </c>
      <c r="B100" t="str" cm="1">
        <f t="array" ref="B100">IF(A100="","",_xlfn.CHOOSECOLS('Prematch Backend 2A'!100:100,_xlfn.MAKEARRAY(1,A100-2,_xlfn.LAMBDA(_xlpm.r,_xlpm.c,_xlpm.c))))</f>
        <v/>
      </c>
    </row>
    <row r="101" spans="1:2" x14ac:dyDescent="0.2">
      <c r="A101" t="str" cm="1">
        <f t="array" ref="A101">IF(MAX(_xlfn.BYCOL('Prematch Backend 7A'!101:101, _xlfn.LAMBDA(_xlpm.ARRAY,IF(_xlpm.ARRAY="teleOp", COLUMN(_xlpm.ARRAY), 0))))=0,"",MAX(_xlfn.BYCOL('Prematch Backend 7A'!101:101, _xlfn.LAMBDA(_xlpm.ARRAY,IF(_xlpm.ARRAY="teleOp", COLUMN(_xlpm.ARRAY), 0)))))</f>
        <v/>
      </c>
      <c r="B101" t="str" cm="1">
        <f t="array" ref="B101">IF(A101="","",_xlfn.CHOOSECOLS('Prematch Backend 2A'!101:101,_xlfn.MAKEARRAY(1,A101-2,_xlfn.LAMBDA(_xlpm.r,_xlpm.c,_xlpm.c))))</f>
        <v/>
      </c>
    </row>
    <row r="102" spans="1:2" x14ac:dyDescent="0.2">
      <c r="A102" t="str" cm="1">
        <f t="array" ref="A102">IF(MAX(_xlfn.BYCOL('Prematch Backend 7A'!102:102, _xlfn.LAMBDA(_xlpm.ARRAY,IF(_xlpm.ARRAY="teleOp", COLUMN(_xlpm.ARRAY), 0))))=0,"",MAX(_xlfn.BYCOL('Prematch Backend 7A'!102:102, _xlfn.LAMBDA(_xlpm.ARRAY,IF(_xlpm.ARRAY="teleOp", COLUMN(_xlpm.ARRAY), 0)))))</f>
        <v/>
      </c>
      <c r="B102" t="str" cm="1">
        <f t="array" ref="B102">IF(A102="","",_xlfn.CHOOSECOLS('Prematch Backend 2A'!102:102,_xlfn.MAKEARRAY(1,A102-2,_xlfn.LAMBDA(_xlpm.r,_xlpm.c,_xlpm.c))))</f>
        <v/>
      </c>
    </row>
    <row r="103" spans="1:2" x14ac:dyDescent="0.2">
      <c r="A103" t="str" cm="1">
        <f t="array" ref="A103">IF(MAX(_xlfn.BYCOL('Prematch Backend 7A'!103:103, _xlfn.LAMBDA(_xlpm.ARRAY,IF(_xlpm.ARRAY="teleOp", COLUMN(_xlpm.ARRAY), 0))))=0,"",MAX(_xlfn.BYCOL('Prematch Backend 7A'!103:103, _xlfn.LAMBDA(_xlpm.ARRAY,IF(_xlpm.ARRAY="teleOp", COLUMN(_xlpm.ARRAY), 0)))))</f>
        <v/>
      </c>
      <c r="B103" t="str" cm="1">
        <f t="array" ref="B103">IF(A103="","",_xlfn.CHOOSECOLS('Prematch Backend 2A'!103:103,_xlfn.MAKEARRAY(1,A103-2,_xlfn.LAMBDA(_xlpm.r,_xlpm.c,_xlpm.c))))</f>
        <v/>
      </c>
    </row>
    <row r="104" spans="1:2" x14ac:dyDescent="0.2">
      <c r="A104" t="str" cm="1">
        <f t="array" ref="A104">IF(MAX(_xlfn.BYCOL('Prematch Backend 7A'!104:104, _xlfn.LAMBDA(_xlpm.ARRAY,IF(_xlpm.ARRAY="teleOp", COLUMN(_xlpm.ARRAY), 0))))=0,"",MAX(_xlfn.BYCOL('Prematch Backend 7A'!104:104, _xlfn.LAMBDA(_xlpm.ARRAY,IF(_xlpm.ARRAY="teleOp", COLUMN(_xlpm.ARRAY), 0)))))</f>
        <v/>
      </c>
      <c r="B104" t="str" cm="1">
        <f t="array" ref="B104">IF(A104="","",_xlfn.CHOOSECOLS('Prematch Backend 2A'!104:104,_xlfn.MAKEARRAY(1,A104-2,_xlfn.LAMBDA(_xlpm.r,_xlpm.c,_xlpm.c))))</f>
        <v/>
      </c>
    </row>
    <row r="105" spans="1:2" x14ac:dyDescent="0.2">
      <c r="A105" t="str" cm="1">
        <f t="array" ref="A105">IF(MAX(_xlfn.BYCOL('Prematch Backend 7A'!105:105, _xlfn.LAMBDA(_xlpm.ARRAY,IF(_xlpm.ARRAY="teleOp", COLUMN(_xlpm.ARRAY), 0))))=0,"",MAX(_xlfn.BYCOL('Prematch Backend 7A'!105:105, _xlfn.LAMBDA(_xlpm.ARRAY,IF(_xlpm.ARRAY="teleOp", COLUMN(_xlpm.ARRAY), 0)))))</f>
        <v/>
      </c>
      <c r="B105" t="str" cm="1">
        <f t="array" ref="B105">IF(A105="","",_xlfn.CHOOSECOLS('Prematch Backend 2A'!105:105,_xlfn.MAKEARRAY(1,A105-2,_xlfn.LAMBDA(_xlpm.r,_xlpm.c,_xlpm.c))))</f>
        <v/>
      </c>
    </row>
    <row r="106" spans="1:2" x14ac:dyDescent="0.2">
      <c r="A106" t="str" cm="1">
        <f t="array" ref="A106">IF(MAX(_xlfn.BYCOL('Prematch Backend 7A'!106:106, _xlfn.LAMBDA(_xlpm.ARRAY,IF(_xlpm.ARRAY="teleOp", COLUMN(_xlpm.ARRAY), 0))))=0,"",MAX(_xlfn.BYCOL('Prematch Backend 7A'!106:106, _xlfn.LAMBDA(_xlpm.ARRAY,IF(_xlpm.ARRAY="teleOp", COLUMN(_xlpm.ARRAY), 0)))))</f>
        <v/>
      </c>
      <c r="B106" t="str" cm="1">
        <f t="array" ref="B106">IF(A106="","",_xlfn.CHOOSECOLS('Prematch Backend 2A'!106:106,_xlfn.MAKEARRAY(1,A106-2,_xlfn.LAMBDA(_xlpm.r,_xlpm.c,_xlpm.c))))</f>
        <v/>
      </c>
    </row>
    <row r="107" spans="1:2" x14ac:dyDescent="0.2">
      <c r="A107" t="str" cm="1">
        <f t="array" ref="A107">IF(MAX(_xlfn.BYCOL('Prematch Backend 7A'!107:107, _xlfn.LAMBDA(_xlpm.ARRAY,IF(_xlpm.ARRAY="teleOp", COLUMN(_xlpm.ARRAY), 0))))=0,"",MAX(_xlfn.BYCOL('Prematch Backend 7A'!107:107, _xlfn.LAMBDA(_xlpm.ARRAY,IF(_xlpm.ARRAY="teleOp", COLUMN(_xlpm.ARRAY), 0)))))</f>
        <v/>
      </c>
      <c r="B107" t="str" cm="1">
        <f t="array" ref="B107">IF(A107="","",_xlfn.CHOOSECOLS('Prematch Backend 2A'!107:107,_xlfn.MAKEARRAY(1,A107-2,_xlfn.LAMBDA(_xlpm.r,_xlpm.c,_xlpm.c))))</f>
        <v/>
      </c>
    </row>
    <row r="108" spans="1:2" x14ac:dyDescent="0.2">
      <c r="A108" t="str" cm="1">
        <f t="array" ref="A108">IF(MAX(_xlfn.BYCOL('Prematch Backend 7A'!108:108, _xlfn.LAMBDA(_xlpm.ARRAY,IF(_xlpm.ARRAY="teleOp", COLUMN(_xlpm.ARRAY), 0))))=0,"",MAX(_xlfn.BYCOL('Prematch Backend 7A'!108:108, _xlfn.LAMBDA(_xlpm.ARRAY,IF(_xlpm.ARRAY="teleOp", COLUMN(_xlpm.ARRAY), 0)))))</f>
        <v/>
      </c>
      <c r="B108" t="str" cm="1">
        <f t="array" ref="B108">IF(A108="","",_xlfn.CHOOSECOLS('Prematch Backend 2A'!108:108,_xlfn.MAKEARRAY(1,A108-2,_xlfn.LAMBDA(_xlpm.r,_xlpm.c,_xlpm.c))))</f>
        <v/>
      </c>
    </row>
    <row r="109" spans="1:2" x14ac:dyDescent="0.2">
      <c r="A109" t="str" cm="1">
        <f t="array" ref="A109">IF(MAX(_xlfn.BYCOL('Prematch Backend 7A'!109:109, _xlfn.LAMBDA(_xlpm.ARRAY,IF(_xlpm.ARRAY="teleOp", COLUMN(_xlpm.ARRAY), 0))))=0,"",MAX(_xlfn.BYCOL('Prematch Backend 7A'!109:109, _xlfn.LAMBDA(_xlpm.ARRAY,IF(_xlpm.ARRAY="teleOp", COLUMN(_xlpm.ARRAY), 0)))))</f>
        <v/>
      </c>
      <c r="B109" t="str" cm="1">
        <f t="array" ref="B109">IF(A109="","",_xlfn.CHOOSECOLS('Prematch Backend 2A'!109:109,_xlfn.MAKEARRAY(1,A109-2,_xlfn.LAMBDA(_xlpm.r,_xlpm.c,_xlpm.c))))</f>
        <v/>
      </c>
    </row>
    <row r="110" spans="1:2" x14ac:dyDescent="0.2">
      <c r="A110" t="str" cm="1">
        <f t="array" ref="A110">IF(MAX(_xlfn.BYCOL('Prematch Backend 7A'!110:110, _xlfn.LAMBDA(_xlpm.ARRAY,IF(_xlpm.ARRAY="teleOp", COLUMN(_xlpm.ARRAY), 0))))=0,"",MAX(_xlfn.BYCOL('Prematch Backend 7A'!110:110, _xlfn.LAMBDA(_xlpm.ARRAY,IF(_xlpm.ARRAY="teleOp", COLUMN(_xlpm.ARRAY), 0)))))</f>
        <v/>
      </c>
      <c r="B110" t="str" cm="1">
        <f t="array" ref="B110">IF(A110="","",_xlfn.CHOOSECOLS('Prematch Backend 2A'!110:110,_xlfn.MAKEARRAY(1,A110-2,_xlfn.LAMBDA(_xlpm.r,_xlpm.c,_xlpm.c))))</f>
        <v/>
      </c>
    </row>
    <row r="111" spans="1:2" x14ac:dyDescent="0.2">
      <c r="A111" t="str" cm="1">
        <f t="array" ref="A111">IF(MAX(_xlfn.BYCOL('Prematch Backend 7A'!111:111, _xlfn.LAMBDA(_xlpm.ARRAY,IF(_xlpm.ARRAY="teleOp", COLUMN(_xlpm.ARRAY), 0))))=0,"",MAX(_xlfn.BYCOL('Prematch Backend 7A'!111:111, _xlfn.LAMBDA(_xlpm.ARRAY,IF(_xlpm.ARRAY="teleOp", COLUMN(_xlpm.ARRAY), 0)))))</f>
        <v/>
      </c>
      <c r="B111" t="str" cm="1">
        <f t="array" ref="B111">IF(A111="","",_xlfn.CHOOSECOLS('Prematch Backend 2A'!111:111,_xlfn.MAKEARRAY(1,A111-2,_xlfn.LAMBDA(_xlpm.r,_xlpm.c,_xlpm.c))))</f>
        <v/>
      </c>
    </row>
    <row r="112" spans="1:2" x14ac:dyDescent="0.2">
      <c r="A112" t="str" cm="1">
        <f t="array" ref="A112">IF(MAX(_xlfn.BYCOL('Prematch Backend 7A'!112:112, _xlfn.LAMBDA(_xlpm.ARRAY,IF(_xlpm.ARRAY="teleOp", COLUMN(_xlpm.ARRAY), 0))))=0,"",MAX(_xlfn.BYCOL('Prematch Backend 7A'!112:112, _xlfn.LAMBDA(_xlpm.ARRAY,IF(_xlpm.ARRAY="teleOp", COLUMN(_xlpm.ARRAY), 0)))))</f>
        <v/>
      </c>
      <c r="B112" t="str" cm="1">
        <f t="array" ref="B112">IF(A112="","",_xlfn.CHOOSECOLS('Prematch Backend 2A'!112:112,_xlfn.MAKEARRAY(1,A112-2,_xlfn.LAMBDA(_xlpm.r,_xlpm.c,_xlpm.c))))</f>
        <v/>
      </c>
    </row>
    <row r="113" spans="1:2" x14ac:dyDescent="0.2">
      <c r="A113" t="str" cm="1">
        <f t="array" ref="A113">IF(MAX(_xlfn.BYCOL('Prematch Backend 7A'!113:113, _xlfn.LAMBDA(_xlpm.ARRAY,IF(_xlpm.ARRAY="teleOp", COLUMN(_xlpm.ARRAY), 0))))=0,"",MAX(_xlfn.BYCOL('Prematch Backend 7A'!113:113, _xlfn.LAMBDA(_xlpm.ARRAY,IF(_xlpm.ARRAY="teleOp", COLUMN(_xlpm.ARRAY), 0)))))</f>
        <v/>
      </c>
      <c r="B113" t="str" cm="1">
        <f t="array" ref="B113">IF(A113="","",_xlfn.CHOOSECOLS('Prematch Backend 2A'!113:113,_xlfn.MAKEARRAY(1,A113-2,_xlfn.LAMBDA(_xlpm.r,_xlpm.c,_xlpm.c))))</f>
        <v/>
      </c>
    </row>
    <row r="114" spans="1:2" x14ac:dyDescent="0.2">
      <c r="A114" t="str" cm="1">
        <f t="array" ref="A114">IF(MAX(_xlfn.BYCOL('Prematch Backend 7A'!114:114, _xlfn.LAMBDA(_xlpm.ARRAY,IF(_xlpm.ARRAY="teleOp", COLUMN(_xlpm.ARRAY), 0))))=0,"",MAX(_xlfn.BYCOL('Prematch Backend 7A'!114:114, _xlfn.LAMBDA(_xlpm.ARRAY,IF(_xlpm.ARRAY="teleOp", COLUMN(_xlpm.ARRAY), 0)))))</f>
        <v/>
      </c>
      <c r="B114" t="str" cm="1">
        <f t="array" ref="B114">IF(A114="","",_xlfn.CHOOSECOLS('Prematch Backend 2A'!114:114,_xlfn.MAKEARRAY(1,A114-2,_xlfn.LAMBDA(_xlpm.r,_xlpm.c,_xlpm.c))))</f>
        <v/>
      </c>
    </row>
    <row r="115" spans="1:2" x14ac:dyDescent="0.2">
      <c r="A115" t="str" cm="1">
        <f t="array" ref="A115">IF(MAX(_xlfn.BYCOL('Prematch Backend 7A'!115:115, _xlfn.LAMBDA(_xlpm.ARRAY,IF(_xlpm.ARRAY="teleOp", COLUMN(_xlpm.ARRAY), 0))))=0,"",MAX(_xlfn.BYCOL('Prematch Backend 7A'!115:115, _xlfn.LAMBDA(_xlpm.ARRAY,IF(_xlpm.ARRAY="teleOp", COLUMN(_xlpm.ARRAY), 0)))))</f>
        <v/>
      </c>
      <c r="B115" t="str" cm="1">
        <f t="array" ref="B115">IF(A115="","",_xlfn.CHOOSECOLS('Prematch Backend 2A'!115:115,_xlfn.MAKEARRAY(1,A115-2,_xlfn.LAMBDA(_xlpm.r,_xlpm.c,_xlpm.c))))</f>
        <v/>
      </c>
    </row>
    <row r="116" spans="1:2" x14ac:dyDescent="0.2">
      <c r="A116" t="str" cm="1">
        <f t="array" ref="A116">IF(MAX(_xlfn.BYCOL('Prematch Backend 7A'!116:116, _xlfn.LAMBDA(_xlpm.ARRAY,IF(_xlpm.ARRAY="teleOp", COLUMN(_xlpm.ARRAY), 0))))=0,"",MAX(_xlfn.BYCOL('Prematch Backend 7A'!116:116, _xlfn.LAMBDA(_xlpm.ARRAY,IF(_xlpm.ARRAY="teleOp", COLUMN(_xlpm.ARRAY), 0)))))</f>
        <v/>
      </c>
      <c r="B116" t="str" cm="1">
        <f t="array" ref="B116">IF(A116="","",_xlfn.CHOOSECOLS('Prematch Backend 2A'!116:116,_xlfn.MAKEARRAY(1,A116-2,_xlfn.LAMBDA(_xlpm.r,_xlpm.c,_xlpm.c))))</f>
        <v/>
      </c>
    </row>
    <row r="117" spans="1:2" x14ac:dyDescent="0.2">
      <c r="A117" t="str" cm="1">
        <f t="array" ref="A117">IF(MAX(_xlfn.BYCOL('Prematch Backend 7A'!117:117, _xlfn.LAMBDA(_xlpm.ARRAY,IF(_xlpm.ARRAY="teleOp", COLUMN(_xlpm.ARRAY), 0))))=0,"",MAX(_xlfn.BYCOL('Prematch Backend 7A'!117:117, _xlfn.LAMBDA(_xlpm.ARRAY,IF(_xlpm.ARRAY="teleOp", COLUMN(_xlpm.ARRAY), 0)))))</f>
        <v/>
      </c>
      <c r="B117" t="str" cm="1">
        <f t="array" ref="B117">IF(A117="","",_xlfn.CHOOSECOLS('Prematch Backend 2A'!117:117,_xlfn.MAKEARRAY(1,A117-2,_xlfn.LAMBDA(_xlpm.r,_xlpm.c,_xlpm.c))))</f>
        <v/>
      </c>
    </row>
    <row r="118" spans="1:2" x14ac:dyDescent="0.2">
      <c r="A118" t="str" cm="1">
        <f t="array" ref="A118">IF(MAX(_xlfn.BYCOL('Prematch Backend 7A'!118:118, _xlfn.LAMBDA(_xlpm.ARRAY,IF(_xlpm.ARRAY="teleOp", COLUMN(_xlpm.ARRAY), 0))))=0,"",MAX(_xlfn.BYCOL('Prematch Backend 7A'!118:118, _xlfn.LAMBDA(_xlpm.ARRAY,IF(_xlpm.ARRAY="teleOp", COLUMN(_xlpm.ARRAY), 0)))))</f>
        <v/>
      </c>
      <c r="B118" t="str" cm="1">
        <f t="array" ref="B118">IF(A118="","",_xlfn.CHOOSECOLS('Prematch Backend 2A'!118:118,_xlfn.MAKEARRAY(1,A118-2,_xlfn.LAMBDA(_xlpm.r,_xlpm.c,_xlpm.c))))</f>
        <v/>
      </c>
    </row>
    <row r="119" spans="1:2" x14ac:dyDescent="0.2">
      <c r="A119" t="str" cm="1">
        <f t="array" ref="A119">IF(MAX(_xlfn.BYCOL('Prematch Backend 7A'!119:119, _xlfn.LAMBDA(_xlpm.ARRAY,IF(_xlpm.ARRAY="teleOp", COLUMN(_xlpm.ARRAY), 0))))=0,"",MAX(_xlfn.BYCOL('Prematch Backend 7A'!119:119, _xlfn.LAMBDA(_xlpm.ARRAY,IF(_xlpm.ARRAY="teleOp", COLUMN(_xlpm.ARRAY), 0)))))</f>
        <v/>
      </c>
      <c r="B119" t="str" cm="1">
        <f t="array" ref="B119">IF(A119="","",_xlfn.CHOOSECOLS('Prematch Backend 2A'!119:119,_xlfn.MAKEARRAY(1,A119-2,_xlfn.LAMBDA(_xlpm.r,_xlpm.c,_xlpm.c))))</f>
        <v/>
      </c>
    </row>
    <row r="120" spans="1:2" x14ac:dyDescent="0.2">
      <c r="A120" t="str" cm="1">
        <f t="array" ref="A120">IF(MAX(_xlfn.BYCOL('Prematch Backend 7A'!120:120, _xlfn.LAMBDA(_xlpm.ARRAY,IF(_xlpm.ARRAY="teleOp", COLUMN(_xlpm.ARRAY), 0))))=0,"",MAX(_xlfn.BYCOL('Prematch Backend 7A'!120:120, _xlfn.LAMBDA(_xlpm.ARRAY,IF(_xlpm.ARRAY="teleOp", COLUMN(_xlpm.ARRAY), 0)))))</f>
        <v/>
      </c>
      <c r="B120" t="str" cm="1">
        <f t="array" ref="B120">IF(A120="","",_xlfn.CHOOSECOLS('Prematch Backend 2A'!120:120,_xlfn.MAKEARRAY(1,A120-2,_xlfn.LAMBDA(_xlpm.r,_xlpm.c,_xlpm.c))))</f>
        <v/>
      </c>
    </row>
    <row r="121" spans="1:2" x14ac:dyDescent="0.2">
      <c r="A121" t="str" cm="1">
        <f t="array" ref="A121">IF(MAX(_xlfn.BYCOL('Prematch Backend 7A'!121:121, _xlfn.LAMBDA(_xlpm.ARRAY,IF(_xlpm.ARRAY="teleOp", COLUMN(_xlpm.ARRAY), 0))))=0,"",MAX(_xlfn.BYCOL('Prematch Backend 7A'!121:121, _xlfn.LAMBDA(_xlpm.ARRAY,IF(_xlpm.ARRAY="teleOp", COLUMN(_xlpm.ARRAY), 0)))))</f>
        <v/>
      </c>
      <c r="B121" t="str" cm="1">
        <f t="array" ref="B121">IF(A121="","",_xlfn.CHOOSECOLS('Prematch Backend 2A'!121:121,_xlfn.MAKEARRAY(1,A121-2,_xlfn.LAMBDA(_xlpm.r,_xlpm.c,_xlpm.c))))</f>
        <v/>
      </c>
    </row>
    <row r="122" spans="1:2" x14ac:dyDescent="0.2">
      <c r="A122" t="str" cm="1">
        <f t="array" ref="A122">IF(MAX(_xlfn.BYCOL('Prematch Backend 7A'!122:122, _xlfn.LAMBDA(_xlpm.ARRAY,IF(_xlpm.ARRAY="teleOp", COLUMN(_xlpm.ARRAY), 0))))=0,"",MAX(_xlfn.BYCOL('Prematch Backend 7A'!122:122, _xlfn.LAMBDA(_xlpm.ARRAY,IF(_xlpm.ARRAY="teleOp", COLUMN(_xlpm.ARRAY), 0)))))</f>
        <v/>
      </c>
      <c r="B122" t="str" cm="1">
        <f t="array" ref="B122">IF(A122="","",_xlfn.CHOOSECOLS('Prematch Backend 2A'!122:122,_xlfn.MAKEARRAY(1,A122-2,_xlfn.LAMBDA(_xlpm.r,_xlpm.c,_xlpm.c))))</f>
        <v/>
      </c>
    </row>
    <row r="123" spans="1:2" x14ac:dyDescent="0.2">
      <c r="A123" t="str" cm="1">
        <f t="array" ref="A123">IF(MAX(_xlfn.BYCOL('Prematch Backend 7A'!123:123, _xlfn.LAMBDA(_xlpm.ARRAY,IF(_xlpm.ARRAY="teleOp", COLUMN(_xlpm.ARRAY), 0))))=0,"",MAX(_xlfn.BYCOL('Prematch Backend 7A'!123:123, _xlfn.LAMBDA(_xlpm.ARRAY,IF(_xlpm.ARRAY="teleOp", COLUMN(_xlpm.ARRAY), 0)))))</f>
        <v/>
      </c>
      <c r="B123" t="str" cm="1">
        <f t="array" ref="B123">IF(A123="","",_xlfn.CHOOSECOLS('Prematch Backend 2A'!123:123,_xlfn.MAKEARRAY(1,A123-2,_xlfn.LAMBDA(_xlpm.r,_xlpm.c,_xlpm.c))))</f>
        <v/>
      </c>
    </row>
    <row r="124" spans="1:2" x14ac:dyDescent="0.2">
      <c r="A124" t="str" cm="1">
        <f t="array" ref="A124">IF(MAX(_xlfn.BYCOL('Prematch Backend 7A'!124:124, _xlfn.LAMBDA(_xlpm.ARRAY,IF(_xlpm.ARRAY="teleOp", COLUMN(_xlpm.ARRAY), 0))))=0,"",MAX(_xlfn.BYCOL('Prematch Backend 7A'!124:124, _xlfn.LAMBDA(_xlpm.ARRAY,IF(_xlpm.ARRAY="teleOp", COLUMN(_xlpm.ARRAY), 0)))))</f>
        <v/>
      </c>
      <c r="B124" t="str" cm="1">
        <f t="array" ref="B124">IF(A124="","",_xlfn.CHOOSECOLS('Prematch Backend 2A'!124:124,_xlfn.MAKEARRAY(1,A124-2,_xlfn.LAMBDA(_xlpm.r,_xlpm.c,_xlpm.c))))</f>
        <v/>
      </c>
    </row>
    <row r="125" spans="1:2" x14ac:dyDescent="0.2">
      <c r="A125" t="str" cm="1">
        <f t="array" ref="A125">IF(MAX(_xlfn.BYCOL('Prematch Backend 7A'!125:125, _xlfn.LAMBDA(_xlpm.ARRAY,IF(_xlpm.ARRAY="teleOp", COLUMN(_xlpm.ARRAY), 0))))=0,"",MAX(_xlfn.BYCOL('Prematch Backend 7A'!125:125, _xlfn.LAMBDA(_xlpm.ARRAY,IF(_xlpm.ARRAY="teleOp", COLUMN(_xlpm.ARRAY), 0)))))</f>
        <v/>
      </c>
      <c r="B125" t="str" cm="1">
        <f t="array" ref="B125">IF(A125="","",_xlfn.CHOOSECOLS('Prematch Backend 2A'!125:125,_xlfn.MAKEARRAY(1,A125-2,_xlfn.LAMBDA(_xlpm.r,_xlpm.c,_xlpm.c))))</f>
        <v/>
      </c>
    </row>
    <row r="126" spans="1:2" x14ac:dyDescent="0.2">
      <c r="A126" t="str" cm="1">
        <f t="array" ref="A126">IF(MAX(_xlfn.BYCOL('Prematch Backend 7A'!126:126, _xlfn.LAMBDA(_xlpm.ARRAY,IF(_xlpm.ARRAY="teleOp", COLUMN(_xlpm.ARRAY), 0))))=0,"",MAX(_xlfn.BYCOL('Prematch Backend 7A'!126:126, _xlfn.LAMBDA(_xlpm.ARRAY,IF(_xlpm.ARRAY="teleOp", COLUMN(_xlpm.ARRAY), 0)))))</f>
        <v/>
      </c>
      <c r="B126" t="str" cm="1">
        <f t="array" ref="B126">IF(A126="","",_xlfn.CHOOSECOLS('Prematch Backend 2A'!126:126,_xlfn.MAKEARRAY(1,A126-2,_xlfn.LAMBDA(_xlpm.r,_xlpm.c,_xlpm.c))))</f>
        <v/>
      </c>
    </row>
    <row r="127" spans="1:2" x14ac:dyDescent="0.2">
      <c r="A127" t="str" cm="1">
        <f t="array" ref="A127">IF(MAX(_xlfn.BYCOL('Prematch Backend 7A'!127:127, _xlfn.LAMBDA(_xlpm.ARRAY,IF(_xlpm.ARRAY="teleOp", COLUMN(_xlpm.ARRAY), 0))))=0,"",MAX(_xlfn.BYCOL('Prematch Backend 7A'!127:127, _xlfn.LAMBDA(_xlpm.ARRAY,IF(_xlpm.ARRAY="teleOp", COLUMN(_xlpm.ARRAY), 0)))))</f>
        <v/>
      </c>
      <c r="B127" t="str" cm="1">
        <f t="array" ref="B127">IF(A127="","",_xlfn.CHOOSECOLS('Prematch Backend 2A'!127:127,_xlfn.MAKEARRAY(1,A127-2,_xlfn.LAMBDA(_xlpm.r,_xlpm.c,_xlpm.c))))</f>
        <v/>
      </c>
    </row>
    <row r="128" spans="1:2" x14ac:dyDescent="0.2">
      <c r="A128" t="str" cm="1">
        <f t="array" ref="A128">IF(MAX(_xlfn.BYCOL('Prematch Backend 7A'!128:128, _xlfn.LAMBDA(_xlpm.ARRAY,IF(_xlpm.ARRAY="teleOp", COLUMN(_xlpm.ARRAY), 0))))=0,"",MAX(_xlfn.BYCOL('Prematch Backend 7A'!128:128, _xlfn.LAMBDA(_xlpm.ARRAY,IF(_xlpm.ARRAY="teleOp", COLUMN(_xlpm.ARRAY), 0)))))</f>
        <v/>
      </c>
      <c r="B128" t="str" cm="1">
        <f t="array" ref="B128">IF(A128="","",_xlfn.CHOOSECOLS('Prematch Backend 2A'!128:128,_xlfn.MAKEARRAY(1,A128-2,_xlfn.LAMBDA(_xlpm.r,_xlpm.c,_xlpm.c))))</f>
        <v/>
      </c>
    </row>
    <row r="129" spans="1:2" x14ac:dyDescent="0.2">
      <c r="A129" t="str" cm="1">
        <f t="array" ref="A129">IF(MAX(_xlfn.BYCOL('Prematch Backend 7A'!129:129, _xlfn.LAMBDA(_xlpm.ARRAY,IF(_xlpm.ARRAY="teleOp", COLUMN(_xlpm.ARRAY), 0))))=0,"",MAX(_xlfn.BYCOL('Prematch Backend 7A'!129:129, _xlfn.LAMBDA(_xlpm.ARRAY,IF(_xlpm.ARRAY="teleOp", COLUMN(_xlpm.ARRAY), 0)))))</f>
        <v/>
      </c>
      <c r="B129" t="str" cm="1">
        <f t="array" ref="B129">IF(A129="","",_xlfn.CHOOSECOLS('Prematch Backend 2A'!129:129,_xlfn.MAKEARRAY(1,A129-2,_xlfn.LAMBDA(_xlpm.r,_xlpm.c,_xlpm.c))))</f>
        <v/>
      </c>
    </row>
    <row r="130" spans="1:2" x14ac:dyDescent="0.2">
      <c r="A130" t="str" cm="1">
        <f t="array" ref="A130">IF(MAX(_xlfn.BYCOL('Prematch Backend 7A'!130:130, _xlfn.LAMBDA(_xlpm.ARRAY,IF(_xlpm.ARRAY="teleOp", COLUMN(_xlpm.ARRAY), 0))))=0,"",MAX(_xlfn.BYCOL('Prematch Backend 7A'!130:130, _xlfn.LAMBDA(_xlpm.ARRAY,IF(_xlpm.ARRAY="teleOp", COLUMN(_xlpm.ARRAY), 0)))))</f>
        <v/>
      </c>
      <c r="B130" t="str" cm="1">
        <f t="array" ref="B130">IF(A130="","",_xlfn.CHOOSECOLS('Prematch Backend 2A'!130:130,_xlfn.MAKEARRAY(1,A130-2,_xlfn.LAMBDA(_xlpm.r,_xlpm.c,_xlpm.c))))</f>
        <v/>
      </c>
    </row>
    <row r="131" spans="1:2" x14ac:dyDescent="0.2">
      <c r="A131" t="str" cm="1">
        <f t="array" ref="A131">IF(MAX(_xlfn.BYCOL('Prematch Backend 7A'!131:131, _xlfn.LAMBDA(_xlpm.ARRAY,IF(_xlpm.ARRAY="teleOp", COLUMN(_xlpm.ARRAY), 0))))=0,"",MAX(_xlfn.BYCOL('Prematch Backend 7A'!131:131, _xlfn.LAMBDA(_xlpm.ARRAY,IF(_xlpm.ARRAY="teleOp", COLUMN(_xlpm.ARRAY), 0)))))</f>
        <v/>
      </c>
      <c r="B131" t="str" cm="1">
        <f t="array" ref="B131">IF(A131="","",_xlfn.CHOOSECOLS('Prematch Backend 2A'!131:131,_xlfn.MAKEARRAY(1,A131-2,_xlfn.LAMBDA(_xlpm.r,_xlpm.c,_xlpm.c))))</f>
        <v/>
      </c>
    </row>
    <row r="132" spans="1:2" x14ac:dyDescent="0.2">
      <c r="A132" t="str" cm="1">
        <f t="array" ref="A132">IF(MAX(_xlfn.BYCOL('Prematch Backend 7A'!132:132, _xlfn.LAMBDA(_xlpm.ARRAY,IF(_xlpm.ARRAY="teleOp", COLUMN(_xlpm.ARRAY), 0))))=0,"",MAX(_xlfn.BYCOL('Prematch Backend 7A'!132:132, _xlfn.LAMBDA(_xlpm.ARRAY,IF(_xlpm.ARRAY="teleOp", COLUMN(_xlpm.ARRAY), 0)))))</f>
        <v/>
      </c>
      <c r="B132" t="str" cm="1">
        <f t="array" ref="B132">IF(A132="","",_xlfn.CHOOSECOLS('Prematch Backend 2A'!132:132,_xlfn.MAKEARRAY(1,A132-2,_xlfn.LAMBDA(_xlpm.r,_xlpm.c,_xlpm.c))))</f>
        <v/>
      </c>
    </row>
    <row r="133" spans="1:2" x14ac:dyDescent="0.2">
      <c r="A133" t="str" cm="1">
        <f t="array" ref="A133">IF(MAX(_xlfn.BYCOL('Prematch Backend 7A'!133:133, _xlfn.LAMBDA(_xlpm.ARRAY,IF(_xlpm.ARRAY="teleOp", COLUMN(_xlpm.ARRAY), 0))))=0,"",MAX(_xlfn.BYCOL('Prematch Backend 7A'!133:133, _xlfn.LAMBDA(_xlpm.ARRAY,IF(_xlpm.ARRAY="teleOp", COLUMN(_xlpm.ARRAY), 0)))))</f>
        <v/>
      </c>
      <c r="B133" t="str" cm="1">
        <f t="array" ref="B133">IF(A133="","",_xlfn.CHOOSECOLS('Prematch Backend 2A'!133:133,_xlfn.MAKEARRAY(1,A133-2,_xlfn.LAMBDA(_xlpm.r,_xlpm.c,_xlpm.c))))</f>
        <v/>
      </c>
    </row>
    <row r="134" spans="1:2" x14ac:dyDescent="0.2">
      <c r="A134" t="str" cm="1">
        <f t="array" ref="A134">IF(MAX(_xlfn.BYCOL('Prematch Backend 7A'!134:134, _xlfn.LAMBDA(_xlpm.ARRAY,IF(_xlpm.ARRAY="teleOp", COLUMN(_xlpm.ARRAY), 0))))=0,"",MAX(_xlfn.BYCOL('Prematch Backend 7A'!134:134, _xlfn.LAMBDA(_xlpm.ARRAY,IF(_xlpm.ARRAY="teleOp", COLUMN(_xlpm.ARRAY), 0)))))</f>
        <v/>
      </c>
      <c r="B134" t="str" cm="1">
        <f t="array" ref="B134">IF(A134="","",_xlfn.CHOOSECOLS('Prematch Backend 2A'!134:134,_xlfn.MAKEARRAY(1,A134-2,_xlfn.LAMBDA(_xlpm.r,_xlpm.c,_xlpm.c))))</f>
        <v/>
      </c>
    </row>
    <row r="135" spans="1:2" x14ac:dyDescent="0.2">
      <c r="A135" t="str" cm="1">
        <f t="array" ref="A135">IF(MAX(_xlfn.BYCOL('Prematch Backend 7A'!135:135, _xlfn.LAMBDA(_xlpm.ARRAY,IF(_xlpm.ARRAY="teleOp", COLUMN(_xlpm.ARRAY), 0))))=0,"",MAX(_xlfn.BYCOL('Prematch Backend 7A'!135:135, _xlfn.LAMBDA(_xlpm.ARRAY,IF(_xlpm.ARRAY="teleOp", COLUMN(_xlpm.ARRAY), 0)))))</f>
        <v/>
      </c>
      <c r="B135" t="str" cm="1">
        <f t="array" ref="B135">IF(A135="","",_xlfn.CHOOSECOLS('Prematch Backend 2A'!135:135,_xlfn.MAKEARRAY(1,A135-2,_xlfn.LAMBDA(_xlpm.r,_xlpm.c,_xlpm.c))))</f>
        <v/>
      </c>
    </row>
    <row r="136" spans="1:2" x14ac:dyDescent="0.2">
      <c r="A136" t="str" cm="1">
        <f t="array" ref="A136">IF(MAX(_xlfn.BYCOL('Prematch Backend 7A'!136:136, _xlfn.LAMBDA(_xlpm.ARRAY,IF(_xlpm.ARRAY="teleOp", COLUMN(_xlpm.ARRAY), 0))))=0,"",MAX(_xlfn.BYCOL('Prematch Backend 7A'!136:136, _xlfn.LAMBDA(_xlpm.ARRAY,IF(_xlpm.ARRAY="teleOp", COLUMN(_xlpm.ARRAY), 0)))))</f>
        <v/>
      </c>
      <c r="B136" t="str" cm="1">
        <f t="array" ref="B136">IF(A136="","",_xlfn.CHOOSECOLS('Prematch Backend 2A'!136:136,_xlfn.MAKEARRAY(1,A136-2,_xlfn.LAMBDA(_xlpm.r,_xlpm.c,_xlpm.c))))</f>
        <v/>
      </c>
    </row>
    <row r="137" spans="1:2" x14ac:dyDescent="0.2">
      <c r="A137" t="str" cm="1">
        <f t="array" ref="A137">IF(MAX(_xlfn.BYCOL('Prematch Backend 7A'!137:137, _xlfn.LAMBDA(_xlpm.ARRAY,IF(_xlpm.ARRAY="teleOp", COLUMN(_xlpm.ARRAY), 0))))=0,"",MAX(_xlfn.BYCOL('Prematch Backend 7A'!137:137, _xlfn.LAMBDA(_xlpm.ARRAY,IF(_xlpm.ARRAY="teleOp", COLUMN(_xlpm.ARRAY), 0)))))</f>
        <v/>
      </c>
      <c r="B137" t="str" cm="1">
        <f t="array" ref="B137">IF(A137="","",_xlfn.CHOOSECOLS('Prematch Backend 2A'!137:137,_xlfn.MAKEARRAY(1,A137-2,_xlfn.LAMBDA(_xlpm.r,_xlpm.c,_xlpm.c))))</f>
        <v/>
      </c>
    </row>
    <row r="138" spans="1:2" x14ac:dyDescent="0.2">
      <c r="A138" t="str" cm="1">
        <f t="array" ref="A138">IF(MAX(_xlfn.BYCOL('Prematch Backend 7A'!138:138, _xlfn.LAMBDA(_xlpm.ARRAY,IF(_xlpm.ARRAY="teleOp", COLUMN(_xlpm.ARRAY), 0))))=0,"",MAX(_xlfn.BYCOL('Prematch Backend 7A'!138:138, _xlfn.LAMBDA(_xlpm.ARRAY,IF(_xlpm.ARRAY="teleOp", COLUMN(_xlpm.ARRAY), 0)))))</f>
        <v/>
      </c>
      <c r="B138" t="str" cm="1">
        <f t="array" ref="B138">IF(A138="","",_xlfn.CHOOSECOLS('Prematch Backend 2A'!138:138,_xlfn.MAKEARRAY(1,A138-2,_xlfn.LAMBDA(_xlpm.r,_xlpm.c,_xlpm.c))))</f>
        <v/>
      </c>
    </row>
    <row r="139" spans="1:2" x14ac:dyDescent="0.2">
      <c r="A139" t="str" cm="1">
        <f t="array" ref="A139">IF(MAX(_xlfn.BYCOL('Prematch Backend 7A'!139:139, _xlfn.LAMBDA(_xlpm.ARRAY,IF(_xlpm.ARRAY="teleOp", COLUMN(_xlpm.ARRAY), 0))))=0,"",MAX(_xlfn.BYCOL('Prematch Backend 7A'!139:139, _xlfn.LAMBDA(_xlpm.ARRAY,IF(_xlpm.ARRAY="teleOp", COLUMN(_xlpm.ARRAY), 0)))))</f>
        <v/>
      </c>
      <c r="B139" t="str" cm="1">
        <f t="array" ref="B139">IF(A139="","",_xlfn.CHOOSECOLS('Prematch Backend 2A'!139:139,_xlfn.MAKEARRAY(1,A139-2,_xlfn.LAMBDA(_xlpm.r,_xlpm.c,_xlpm.c))))</f>
        <v/>
      </c>
    </row>
    <row r="140" spans="1:2" x14ac:dyDescent="0.2">
      <c r="A140" t="str" cm="1">
        <f t="array" ref="A140">IF(MAX(_xlfn.BYCOL('Prematch Backend 7A'!140:140, _xlfn.LAMBDA(_xlpm.ARRAY,IF(_xlpm.ARRAY="teleOp", COLUMN(_xlpm.ARRAY), 0))))=0,"",MAX(_xlfn.BYCOL('Prematch Backend 7A'!140:140, _xlfn.LAMBDA(_xlpm.ARRAY,IF(_xlpm.ARRAY="teleOp", COLUMN(_xlpm.ARRAY), 0)))))</f>
        <v/>
      </c>
      <c r="B140" t="str" cm="1">
        <f t="array" ref="B140">IF(A140="","",_xlfn.CHOOSECOLS('Prematch Backend 2A'!140:140,_xlfn.MAKEARRAY(1,A140-2,_xlfn.LAMBDA(_xlpm.r,_xlpm.c,_xlpm.c))))</f>
        <v/>
      </c>
    </row>
    <row r="141" spans="1:2" x14ac:dyDescent="0.2">
      <c r="B141" t="str" cm="1">
        <f t="array" ref="B141">IF(A141="","",_xlfn.CHOOSECOLS('Prematch Backend 2A'!141:141,_xlfn.MAKEARRAY(1,A141-2,_xlfn.LAMBDA(_xlpm.r,_xlpm.c,_xlpm.c))))</f>
        <v/>
      </c>
    </row>
    <row r="142" spans="1:2" x14ac:dyDescent="0.2">
      <c r="B142" t="str" cm="1">
        <f t="array" ref="B142">IF(A142="","",_xlfn.CHOOSECOLS('Prematch Backend 2A'!142:142,_xlfn.MAKEARRAY(1,A142-2,_xlfn.LAMBDA(_xlpm.r,_xlpm.c,_xlpm.c))))</f>
        <v/>
      </c>
    </row>
    <row r="143" spans="1:2" x14ac:dyDescent="0.2">
      <c r="B143" t="str" cm="1">
        <f t="array" ref="B143">IF(A143="","",_xlfn.CHOOSECOLS('Prematch Backend 2A'!143:143,_xlfn.MAKEARRAY(1,A143-2,_xlfn.LAMBDA(_xlpm.r,_xlpm.c,_xlpm.c))))</f>
        <v/>
      </c>
    </row>
    <row r="144" spans="1:2" x14ac:dyDescent="0.2">
      <c r="B144" t="str" cm="1">
        <f t="array" ref="B144">IF(A144="","",_xlfn.CHOOSECOLS('Prematch Backend 2A'!144:144,_xlfn.MAKEARRAY(1,A144-2,_xlfn.LAMBDA(_xlpm.r,_xlpm.c,_xlpm.c))))</f>
        <v/>
      </c>
    </row>
    <row r="145" spans="2:2" x14ac:dyDescent="0.2">
      <c r="B145" t="str" cm="1">
        <f t="array" ref="B145">IF(A145="","",_xlfn.CHOOSECOLS('Prematch Backend 2A'!145:145,_xlfn.MAKEARRAY(1,A145-2,_xlfn.LAMBDA(_xlpm.r,_xlpm.c,_xlpm.c))))</f>
        <v/>
      </c>
    </row>
    <row r="146" spans="2:2" x14ac:dyDescent="0.2">
      <c r="B146" t="str" cm="1">
        <f t="array" ref="B146">IF(A146="","",_xlfn.CHOOSECOLS('Prematch Backend 2A'!146:146,_xlfn.MAKEARRAY(1,A146-2,_xlfn.LAMBDA(_xlpm.r,_xlpm.c,_xlpm.c))))</f>
        <v/>
      </c>
    </row>
    <row r="147" spans="2:2" x14ac:dyDescent="0.2">
      <c r="B147" t="str" cm="1">
        <f t="array" ref="B147">IF(A147="","",_xlfn.CHOOSECOLS('Prematch Backend 2A'!147:147,_xlfn.MAKEARRAY(1,A147-2,_xlfn.LAMBDA(_xlpm.r,_xlpm.c,_xlpm.c))))</f>
        <v/>
      </c>
    </row>
    <row r="148" spans="2:2" x14ac:dyDescent="0.2">
      <c r="B148" t="str" cm="1">
        <f t="array" ref="B148">IF(A148="","",_xlfn.CHOOSECOLS('Prematch Backend 2A'!148:148,_xlfn.MAKEARRAY(1,A148-2,_xlfn.LAMBDA(_xlpm.r,_xlpm.c,_xlpm.c))))</f>
        <v/>
      </c>
    </row>
    <row r="149" spans="2:2" x14ac:dyDescent="0.2">
      <c r="B149" t="str" cm="1">
        <f t="array" ref="B149">IF(A149="","",_xlfn.CHOOSECOLS('Prematch Backend 2A'!149:149,_xlfn.MAKEARRAY(1,A149-2,_xlfn.LAMBDA(_xlpm.r,_xlpm.c,_xlpm.c))))</f>
        <v/>
      </c>
    </row>
    <row r="150" spans="2:2" x14ac:dyDescent="0.2">
      <c r="B150" t="str" cm="1">
        <f t="array" ref="B150">IF(A150="","",_xlfn.CHOOSECOLS('Prematch Backend 2A'!150:150,_xlfn.MAKEARRAY(1,A150-2,_xlfn.LAMBDA(_xlpm.r,_xlpm.c,_xlpm.c))))</f>
        <v/>
      </c>
    </row>
    <row r="151" spans="2:2" x14ac:dyDescent="0.2">
      <c r="B151" t="str" cm="1">
        <f t="array" ref="B151">IF(A151="","",_xlfn.CHOOSECOLS('Prematch Backend 2A'!151:151,_xlfn.MAKEARRAY(1,A151-2,_xlfn.LAMBDA(_xlpm.r,_xlpm.c,_xlpm.c))))</f>
        <v/>
      </c>
    </row>
    <row r="152" spans="2:2" x14ac:dyDescent="0.2">
      <c r="B152" t="str" cm="1">
        <f t="array" ref="B152">IF(A152="","",_xlfn.CHOOSECOLS('Prematch Backend 2A'!152:152,_xlfn.MAKEARRAY(1,A152-2,_xlfn.LAMBDA(_xlpm.r,_xlpm.c,_xlpm.c))))</f>
        <v/>
      </c>
    </row>
    <row r="153" spans="2:2" x14ac:dyDescent="0.2">
      <c r="B153" t="str" cm="1">
        <f t="array" ref="B153">IF(A153="","",_xlfn.CHOOSECOLS('Prematch Backend 2A'!153:153,_xlfn.MAKEARRAY(1,A153-2,_xlfn.LAMBDA(_xlpm.r,_xlpm.c,_xlpm.c))))</f>
        <v/>
      </c>
    </row>
    <row r="154" spans="2:2" x14ac:dyDescent="0.2">
      <c r="B154" t="str" cm="1">
        <f t="array" ref="B154">IF(A154="","",_xlfn.CHOOSECOLS('Prematch Backend 2A'!154:154,_xlfn.MAKEARRAY(1,A154-2,_xlfn.LAMBDA(_xlpm.r,_xlpm.c,_xlpm.c))))</f>
        <v/>
      </c>
    </row>
    <row r="155" spans="2:2" x14ac:dyDescent="0.2">
      <c r="B155" t="str" cm="1">
        <f t="array" ref="B155">IF(A155="","",_xlfn.CHOOSECOLS('Prematch Backend 2A'!155:155,_xlfn.MAKEARRAY(1,A155-2,_xlfn.LAMBDA(_xlpm.r,_xlpm.c,_xlpm.c))))</f>
        <v/>
      </c>
    </row>
    <row r="156" spans="2:2" x14ac:dyDescent="0.2">
      <c r="B156" t="str" cm="1">
        <f t="array" ref="B156">IF(A156="","",_xlfn.CHOOSECOLS('Prematch Backend 2A'!156:156,_xlfn.MAKEARRAY(1,A156-2,_xlfn.LAMBDA(_xlpm.r,_xlpm.c,_xlpm.c))))</f>
        <v/>
      </c>
    </row>
    <row r="157" spans="2:2" x14ac:dyDescent="0.2">
      <c r="B157" t="str" cm="1">
        <f t="array" ref="B157">IF(A157="","",_xlfn.CHOOSECOLS('Prematch Backend 2A'!157:157,_xlfn.MAKEARRAY(1,A157-2,_xlfn.LAMBDA(_xlpm.r,_xlpm.c,_xlpm.c))))</f>
        <v/>
      </c>
    </row>
    <row r="158" spans="2:2" x14ac:dyDescent="0.2">
      <c r="B158" t="str" cm="1">
        <f t="array" ref="B158">IF(A158="","",_xlfn.CHOOSECOLS('Prematch Backend 2A'!158:158,_xlfn.MAKEARRAY(1,A158-2,_xlfn.LAMBDA(_xlpm.r,_xlpm.c,_xlpm.c))))</f>
        <v/>
      </c>
    </row>
    <row r="159" spans="2:2" x14ac:dyDescent="0.2">
      <c r="B159" t="str" cm="1">
        <f t="array" ref="B159">IF(A159="","",_xlfn.CHOOSECOLS('Prematch Backend 2A'!159:159,_xlfn.MAKEARRAY(1,A159-2,_xlfn.LAMBDA(_xlpm.r,_xlpm.c,_xlpm.c))))</f>
        <v/>
      </c>
    </row>
    <row r="160" spans="2:2" x14ac:dyDescent="0.2">
      <c r="B160" t="str" cm="1">
        <f t="array" ref="B160">IF(A160="","",_xlfn.CHOOSECOLS('Prematch Backend 2A'!160:160,_xlfn.MAKEARRAY(1,A160-2,_xlfn.LAMBDA(_xlpm.r,_xlpm.c,_xlpm.c))))</f>
        <v/>
      </c>
    </row>
    <row r="161" spans="2:2" x14ac:dyDescent="0.2">
      <c r="B161" t="str" cm="1">
        <f t="array" ref="B161">IF(A161="","",_xlfn.CHOOSECOLS('Prematch Backend 2A'!161:161,_xlfn.MAKEARRAY(1,A161-2,_xlfn.LAMBDA(_xlpm.r,_xlpm.c,_xlpm.c))))</f>
        <v/>
      </c>
    </row>
    <row r="162" spans="2:2" x14ac:dyDescent="0.2">
      <c r="B162" t="str" cm="1">
        <f t="array" ref="B162">IF(A162="","",_xlfn.CHOOSECOLS('Prematch Backend 2A'!162:162,_xlfn.MAKEARRAY(1,A162-2,_xlfn.LAMBDA(_xlpm.r,_xlpm.c,_xlpm.c))))</f>
        <v/>
      </c>
    </row>
    <row r="163" spans="2:2" x14ac:dyDescent="0.2">
      <c r="B163" t="str" cm="1">
        <f t="array" ref="B163">IF(A163="","",_xlfn.CHOOSECOLS('Prematch Backend 2A'!163:163,_xlfn.MAKEARRAY(1,A163-2,_xlfn.LAMBDA(_xlpm.r,_xlpm.c,_xlpm.c))))</f>
        <v/>
      </c>
    </row>
    <row r="164" spans="2:2" x14ac:dyDescent="0.2">
      <c r="B164" t="str" cm="1">
        <f t="array" ref="B164">IF(A164="","",_xlfn.CHOOSECOLS('Prematch Backend 2A'!164:164,_xlfn.MAKEARRAY(1,A164-2,_xlfn.LAMBDA(_xlpm.r,_xlpm.c,_xlpm.c))))</f>
        <v/>
      </c>
    </row>
    <row r="165" spans="2:2" x14ac:dyDescent="0.2">
      <c r="B165" t="str" cm="1">
        <f t="array" ref="B165">IF(A165="","",_xlfn.CHOOSECOLS('Prematch Backend 2A'!165:165,_xlfn.MAKEARRAY(1,A165-2,_xlfn.LAMBDA(_xlpm.r,_xlpm.c,_xlpm.c))))</f>
        <v/>
      </c>
    </row>
    <row r="166" spans="2:2" x14ac:dyDescent="0.2">
      <c r="B166" t="str" cm="1">
        <f t="array" ref="B166">IF(A166="","",_xlfn.CHOOSECOLS('Prematch Backend 2A'!166:166,_xlfn.MAKEARRAY(1,A166-2,_xlfn.LAMBDA(_xlpm.r,_xlpm.c,_xlpm.c))))</f>
        <v/>
      </c>
    </row>
    <row r="167" spans="2:2" x14ac:dyDescent="0.2">
      <c r="B167" t="str" cm="1">
        <f t="array" ref="B167">IF(A167="","",_xlfn.CHOOSECOLS('Prematch Backend 2A'!167:167,_xlfn.MAKEARRAY(1,A167-2,_xlfn.LAMBDA(_xlpm.r,_xlpm.c,_xlpm.c))))</f>
        <v/>
      </c>
    </row>
    <row r="168" spans="2:2" x14ac:dyDescent="0.2">
      <c r="B168" t="str" cm="1">
        <f t="array" ref="B168">IF(A168="","",_xlfn.CHOOSECOLS('Prematch Backend 2A'!168:168,_xlfn.MAKEARRAY(1,A168-2,_xlfn.LAMBDA(_xlpm.r,_xlpm.c,_xlpm.c))))</f>
        <v/>
      </c>
    </row>
    <row r="169" spans="2:2" x14ac:dyDescent="0.2">
      <c r="B169" t="str" cm="1">
        <f t="array" ref="B169">IF(A169="","",_xlfn.CHOOSECOLS('Prematch Backend 2A'!169:169,_xlfn.MAKEARRAY(1,A169-2,_xlfn.LAMBDA(_xlpm.r,_xlpm.c,_xlpm.c))))</f>
        <v/>
      </c>
    </row>
    <row r="170" spans="2:2" x14ac:dyDescent="0.2">
      <c r="B170" t="str" cm="1">
        <f t="array" ref="B170">IF(A170="","",_xlfn.CHOOSECOLS('Prematch Backend 2A'!170:170,_xlfn.MAKEARRAY(1,A170-2,_xlfn.LAMBDA(_xlpm.r,_xlpm.c,_xlpm.c))))</f>
        <v/>
      </c>
    </row>
    <row r="171" spans="2:2" x14ac:dyDescent="0.2">
      <c r="B171" t="str" cm="1">
        <f t="array" ref="B171">IF(A171="","",_xlfn.CHOOSECOLS('Prematch Backend 2A'!171:171,_xlfn.MAKEARRAY(1,A171-2,_xlfn.LAMBDA(_xlpm.r,_xlpm.c,_xlpm.c))))</f>
        <v/>
      </c>
    </row>
    <row r="172" spans="2:2" x14ac:dyDescent="0.2">
      <c r="B172" t="str" cm="1">
        <f t="array" ref="B172">IF(A172="","",_xlfn.CHOOSECOLS('Prematch Backend 2A'!172:172,_xlfn.MAKEARRAY(1,A172-2,_xlfn.LAMBDA(_xlpm.r,_xlpm.c,_xlpm.c))))</f>
        <v/>
      </c>
    </row>
    <row r="173" spans="2:2" x14ac:dyDescent="0.2">
      <c r="B173" t="str" cm="1">
        <f t="array" ref="B173">IF(A173="","",_xlfn.CHOOSECOLS('Prematch Backend 2A'!173:173,_xlfn.MAKEARRAY(1,A173-2,_xlfn.LAMBDA(_xlpm.r,_xlpm.c,_xlpm.c))))</f>
        <v/>
      </c>
    </row>
    <row r="174" spans="2:2" x14ac:dyDescent="0.2">
      <c r="B174" t="str" cm="1">
        <f t="array" ref="B174">IF(A174="","",_xlfn.CHOOSECOLS('Prematch Backend 2A'!174:174,_xlfn.MAKEARRAY(1,A174-2,_xlfn.LAMBDA(_xlpm.r,_xlpm.c,_xlpm.c))))</f>
        <v/>
      </c>
    </row>
    <row r="175" spans="2:2" x14ac:dyDescent="0.2">
      <c r="B175" t="str" cm="1">
        <f t="array" ref="B175">IF(A175="","",_xlfn.CHOOSECOLS('Prematch Backend 2A'!175:175,_xlfn.MAKEARRAY(1,A175-2,_xlfn.LAMBDA(_xlpm.r,_xlpm.c,_xlpm.c))))</f>
        <v/>
      </c>
    </row>
    <row r="176" spans="2:2" x14ac:dyDescent="0.2">
      <c r="B176" t="str" cm="1">
        <f t="array" ref="B176">IF(A176="","",_xlfn.CHOOSECOLS('Prematch Backend 2A'!176:176,_xlfn.MAKEARRAY(1,A176-2,_xlfn.LAMBDA(_xlpm.r,_xlpm.c,_xlpm.c))))</f>
        <v/>
      </c>
    </row>
    <row r="177" spans="2:2" x14ac:dyDescent="0.2">
      <c r="B177" t="str" cm="1">
        <f t="array" ref="B177">IF(A177="","",_xlfn.CHOOSECOLS('Prematch Backend 2A'!177:177,_xlfn.MAKEARRAY(1,A177-2,_xlfn.LAMBDA(_xlpm.r,_xlpm.c,_xlpm.c))))</f>
        <v/>
      </c>
    </row>
    <row r="178" spans="2:2" x14ac:dyDescent="0.2">
      <c r="B178" t="str" cm="1">
        <f t="array" ref="B178">IF(A178="","",_xlfn.CHOOSECOLS('Prematch Backend 2A'!178:178,_xlfn.MAKEARRAY(1,A178-2,_xlfn.LAMBDA(_xlpm.r,_xlpm.c,_xlpm.c))))</f>
        <v/>
      </c>
    </row>
    <row r="179" spans="2:2" x14ac:dyDescent="0.2">
      <c r="B179" t="str" cm="1">
        <f t="array" ref="B179">IF(A179="","",_xlfn.CHOOSECOLS('Prematch Backend 2A'!179:179,_xlfn.MAKEARRAY(1,A179-2,_xlfn.LAMBDA(_xlpm.r,_xlpm.c,_xlpm.c))))</f>
        <v/>
      </c>
    </row>
    <row r="180" spans="2:2" x14ac:dyDescent="0.2">
      <c r="B180" t="str" cm="1">
        <f t="array" ref="B180">IF(A180="","",_xlfn.CHOOSECOLS('Prematch Backend 2A'!180:180,_xlfn.MAKEARRAY(1,A180-2,_xlfn.LAMBDA(_xlpm.r,_xlpm.c,_xlpm.c))))</f>
        <v/>
      </c>
    </row>
    <row r="181" spans="2:2" x14ac:dyDescent="0.2">
      <c r="B181" t="str" cm="1">
        <f t="array" ref="B181">IF(A181="","",_xlfn.CHOOSECOLS('Prematch Backend 2A'!181:181,_xlfn.MAKEARRAY(1,A181-2,_xlfn.LAMBDA(_xlpm.r,_xlpm.c,_xlpm.c))))</f>
        <v/>
      </c>
    </row>
    <row r="182" spans="2:2" x14ac:dyDescent="0.2">
      <c r="B182" t="str" cm="1">
        <f t="array" ref="B182">IF(A182="","",_xlfn.CHOOSECOLS('Prematch Backend 2A'!182:182,_xlfn.MAKEARRAY(1,A182-2,_xlfn.LAMBDA(_xlpm.r,_xlpm.c,_xlpm.c))))</f>
        <v/>
      </c>
    </row>
    <row r="183" spans="2:2" x14ac:dyDescent="0.2">
      <c r="B183" t="str" cm="1">
        <f t="array" ref="B183">IF(A183="","",_xlfn.CHOOSECOLS('Prematch Backend 2A'!183:183,_xlfn.MAKEARRAY(1,A183-2,_xlfn.LAMBDA(_xlpm.r,_xlpm.c,_xlpm.c))))</f>
        <v/>
      </c>
    </row>
    <row r="184" spans="2:2" x14ac:dyDescent="0.2">
      <c r="B184" t="str" cm="1">
        <f t="array" ref="B184">IF(A184="","",_xlfn.CHOOSECOLS('Prematch Backend 2A'!184:184,_xlfn.MAKEARRAY(1,A184-2,_xlfn.LAMBDA(_xlpm.r,_xlpm.c,_xlpm.c))))</f>
        <v/>
      </c>
    </row>
    <row r="185" spans="2:2" x14ac:dyDescent="0.2">
      <c r="B185" t="str" cm="1">
        <f t="array" ref="B185">IF(A185="","",_xlfn.CHOOSECOLS('Prematch Backend 2A'!185:185,_xlfn.MAKEARRAY(1,A185-2,_xlfn.LAMBDA(_xlpm.r,_xlpm.c,_xlpm.c))))</f>
        <v/>
      </c>
    </row>
    <row r="186" spans="2:2" x14ac:dyDescent="0.2">
      <c r="B186" t="str" cm="1">
        <f t="array" ref="B186">IF(A186="","",_xlfn.CHOOSECOLS('Prematch Backend 2A'!186:186,_xlfn.MAKEARRAY(1,A186-2,_xlfn.LAMBDA(_xlpm.r,_xlpm.c,_xlpm.c))))</f>
        <v/>
      </c>
    </row>
    <row r="187" spans="2:2" x14ac:dyDescent="0.2">
      <c r="B187" t="str" cm="1">
        <f t="array" ref="B187">IF(A187="","",_xlfn.CHOOSECOLS('Prematch Backend 2A'!187:187,_xlfn.MAKEARRAY(1,A187-2,_xlfn.LAMBDA(_xlpm.r,_xlpm.c,_xlpm.c))))</f>
        <v/>
      </c>
    </row>
    <row r="188" spans="2:2" x14ac:dyDescent="0.2">
      <c r="B188" t="str" cm="1">
        <f t="array" ref="B188">IF(A188="","",_xlfn.CHOOSECOLS('Prematch Backend 2A'!188:188,_xlfn.MAKEARRAY(1,A188-2,_xlfn.LAMBDA(_xlpm.r,_xlpm.c,_xlpm.c))))</f>
        <v/>
      </c>
    </row>
    <row r="189" spans="2:2" x14ac:dyDescent="0.2">
      <c r="B189" t="str" cm="1">
        <f t="array" ref="B189">IF(A189="","",_xlfn.CHOOSECOLS('Prematch Backend 2A'!189:189,_xlfn.MAKEARRAY(1,A189-2,_xlfn.LAMBDA(_xlpm.r,_xlpm.c,_xlpm.c))))</f>
        <v/>
      </c>
    </row>
    <row r="190" spans="2:2" x14ac:dyDescent="0.2">
      <c r="B190" t="str" cm="1">
        <f t="array" ref="B190">IF(A190="","",_xlfn.CHOOSECOLS('Prematch Backend 2A'!190:190,_xlfn.MAKEARRAY(1,A190-2,_xlfn.LAMBDA(_xlpm.r,_xlpm.c,_xlpm.c))))</f>
        <v/>
      </c>
    </row>
    <row r="191" spans="2:2" x14ac:dyDescent="0.2">
      <c r="B191" t="str" cm="1">
        <f t="array" ref="B191">IF(A191="","",_xlfn.CHOOSECOLS('Prematch Backend 2A'!191:191,_xlfn.MAKEARRAY(1,A191-2,_xlfn.LAMBDA(_xlpm.r,_xlpm.c,_xlpm.c))))</f>
        <v/>
      </c>
    </row>
    <row r="192" spans="2:2" x14ac:dyDescent="0.2">
      <c r="B192" t="str" cm="1">
        <f t="array" ref="B192">IF(A192="","",_xlfn.CHOOSECOLS('Prematch Backend 2A'!192:192,_xlfn.MAKEARRAY(1,A192-2,_xlfn.LAMBDA(_xlpm.r,_xlpm.c,_xlpm.c))))</f>
        <v/>
      </c>
    </row>
    <row r="193" spans="2:2" x14ac:dyDescent="0.2">
      <c r="B193" t="str" cm="1">
        <f t="array" ref="B193">IF(A193="","",_xlfn.CHOOSECOLS('Prematch Backend 2A'!193:193,_xlfn.MAKEARRAY(1,A193-2,_xlfn.LAMBDA(_xlpm.r,_xlpm.c,_xlpm.c))))</f>
        <v/>
      </c>
    </row>
    <row r="194" spans="2:2" x14ac:dyDescent="0.2">
      <c r="B194" t="str" cm="1">
        <f t="array" ref="B194">IF(A194="","",_xlfn.CHOOSECOLS('Prematch Backend 2A'!194:194,_xlfn.MAKEARRAY(1,A194-2,_xlfn.LAMBDA(_xlpm.r,_xlpm.c,_xlpm.c))))</f>
        <v/>
      </c>
    </row>
    <row r="195" spans="2:2" x14ac:dyDescent="0.2">
      <c r="B195" t="str" cm="1">
        <f t="array" ref="B195">IF(A195="","",_xlfn.CHOOSECOLS('Prematch Backend 2A'!195:195,_xlfn.MAKEARRAY(1,A195-2,_xlfn.LAMBDA(_xlpm.r,_xlpm.c,_xlpm.c))))</f>
        <v/>
      </c>
    </row>
    <row r="196" spans="2:2" x14ac:dyDescent="0.2">
      <c r="B196" t="str" cm="1">
        <f t="array" ref="B196">IF(A196="","",_xlfn.CHOOSECOLS('Prematch Backend 2A'!196:196,_xlfn.MAKEARRAY(1,A196-2,_xlfn.LAMBDA(_xlpm.r,_xlpm.c,_xlpm.c))))</f>
        <v/>
      </c>
    </row>
    <row r="197" spans="2:2" x14ac:dyDescent="0.2">
      <c r="B197" t="str" cm="1">
        <f t="array" ref="B197">IF(A197="","",_xlfn.CHOOSECOLS('Prematch Backend 2A'!197:197,_xlfn.MAKEARRAY(1,A197-2,_xlfn.LAMBDA(_xlpm.r,_xlpm.c,_xlpm.c))))</f>
        <v/>
      </c>
    </row>
    <row r="198" spans="2:2" x14ac:dyDescent="0.2">
      <c r="B198" t="str" cm="1">
        <f t="array" ref="B198">IF(A198="","",_xlfn.CHOOSECOLS('Prematch Backend 2A'!198:198,_xlfn.MAKEARRAY(1,A198-2,_xlfn.LAMBDA(_xlpm.r,_xlpm.c,_xlpm.c))))</f>
        <v/>
      </c>
    </row>
    <row r="199" spans="2:2" x14ac:dyDescent="0.2">
      <c r="B199" t="str" cm="1">
        <f t="array" ref="B199">IF(A199="","",_xlfn.CHOOSECOLS('Prematch Backend 2A'!199:199,_xlfn.MAKEARRAY(1,A199-2,_xlfn.LAMBDA(_xlpm.r,_xlpm.c,_xlpm.c))))</f>
        <v/>
      </c>
    </row>
    <row r="200" spans="2:2" x14ac:dyDescent="0.2">
      <c r="B200" t="str" cm="1">
        <f t="array" ref="B200">IF(A200="","",_xlfn.CHOOSECOLS('Prematch Backend 2A'!200:200,_xlfn.MAKEARRAY(1,A200-2,_xlfn.LAMBDA(_xlpm.r,_xlpm.c,_xlpm.c))))</f>
        <v/>
      </c>
    </row>
    <row r="201" spans="2:2" x14ac:dyDescent="0.2">
      <c r="B201" t="str" cm="1">
        <f t="array" ref="B201">IF(A201="","",_xlfn.CHOOSECOLS('Prematch Backend 2A'!201:201,_xlfn.MAKEARRAY(1,A201-2,_xlfn.LAMBDA(_xlpm.r,_xlpm.c,_xlpm.c))))</f>
        <v/>
      </c>
    </row>
    <row r="202" spans="2:2" x14ac:dyDescent="0.2">
      <c r="B202" t="str" cm="1">
        <f t="array" ref="B202">IF(A202="","",_xlfn.CHOOSECOLS('Prematch Backend 2A'!202:202,_xlfn.MAKEARRAY(1,A202-2,_xlfn.LAMBDA(_xlpm.r,_xlpm.c,_xlpm.c))))</f>
        <v/>
      </c>
    </row>
    <row r="203" spans="2:2" x14ac:dyDescent="0.2">
      <c r="B203" t="str" cm="1">
        <f t="array" ref="B203">IF(A203="","",_xlfn.CHOOSECOLS('Prematch Backend 2A'!203:203,_xlfn.MAKEARRAY(1,A203-2,_xlfn.LAMBDA(_xlpm.r,_xlpm.c,_xlpm.c))))</f>
        <v/>
      </c>
    </row>
    <row r="204" spans="2:2" x14ac:dyDescent="0.2">
      <c r="B204" t="str" cm="1">
        <f t="array" ref="B204">IF(A204="","",_xlfn.CHOOSECOLS('Prematch Backend 2A'!204:204,_xlfn.MAKEARRAY(1,A204-2,_xlfn.LAMBDA(_xlpm.r,_xlpm.c,_xlpm.c))))</f>
        <v/>
      </c>
    </row>
    <row r="205" spans="2:2" x14ac:dyDescent="0.2">
      <c r="B205" t="str" cm="1">
        <f t="array" ref="B205">IF(A205="","",_xlfn.CHOOSECOLS('Prematch Backend 2A'!205:205,_xlfn.MAKEARRAY(1,A205-2,_xlfn.LAMBDA(_xlpm.r,_xlpm.c,_xlpm.c))))</f>
        <v/>
      </c>
    </row>
    <row r="206" spans="2:2" x14ac:dyDescent="0.2">
      <c r="B206" t="str" cm="1">
        <f t="array" ref="B206">IF(A206="","",_xlfn.CHOOSECOLS('Prematch Backend 2A'!206:206,_xlfn.MAKEARRAY(1,A206-2,_xlfn.LAMBDA(_xlpm.r,_xlpm.c,_xlpm.c))))</f>
        <v/>
      </c>
    </row>
    <row r="207" spans="2:2" x14ac:dyDescent="0.2">
      <c r="B207" t="str" cm="1">
        <f t="array" ref="B207">IF(A207="","",_xlfn.CHOOSECOLS('Prematch Backend 2A'!207:207,_xlfn.MAKEARRAY(1,A207-2,_xlfn.LAMBDA(_xlpm.r,_xlpm.c,_xlpm.c))))</f>
        <v/>
      </c>
    </row>
    <row r="208" spans="2:2" x14ac:dyDescent="0.2">
      <c r="B208" t="str" cm="1">
        <f t="array" ref="B208">IF(A208="","",_xlfn.CHOOSECOLS('Prematch Backend 2A'!208:208,_xlfn.MAKEARRAY(1,A208-2,_xlfn.LAMBDA(_xlpm.r,_xlpm.c,_xlpm.c))))</f>
        <v/>
      </c>
    </row>
    <row r="209" spans="2:2" x14ac:dyDescent="0.2">
      <c r="B209" t="str" cm="1">
        <f t="array" ref="B209">IF(A209="","",_xlfn.CHOOSECOLS('Prematch Backend 2A'!209:209,_xlfn.MAKEARRAY(1,A209-2,_xlfn.LAMBDA(_xlpm.r,_xlpm.c,_xlpm.c))))</f>
        <v/>
      </c>
    </row>
    <row r="210" spans="2:2" x14ac:dyDescent="0.2">
      <c r="B210" t="str" cm="1">
        <f t="array" ref="B210">IF(A210="","",_xlfn.CHOOSECOLS('Prematch Backend 2A'!210:210,_xlfn.MAKEARRAY(1,A210-2,_xlfn.LAMBDA(_xlpm.r,_xlpm.c,_xlpm.c))))</f>
        <v/>
      </c>
    </row>
    <row r="211" spans="2:2" x14ac:dyDescent="0.2">
      <c r="B211" t="str" cm="1">
        <f t="array" ref="B211">IF(A211="","",_xlfn.CHOOSECOLS('Prematch Backend 2A'!211:211,_xlfn.MAKEARRAY(1,A211-2,_xlfn.LAMBDA(_xlpm.r,_xlpm.c,_xlpm.c))))</f>
        <v/>
      </c>
    </row>
    <row r="212" spans="2:2" x14ac:dyDescent="0.2">
      <c r="B212" t="str" cm="1">
        <f t="array" ref="B212">IF(A212="","",_xlfn.CHOOSECOLS('Prematch Backend 2A'!212:212,_xlfn.MAKEARRAY(1,A212-2,_xlfn.LAMBDA(_xlpm.r,_xlpm.c,_xlpm.c))))</f>
        <v/>
      </c>
    </row>
    <row r="213" spans="2:2" x14ac:dyDescent="0.2">
      <c r="B213" t="str" cm="1">
        <f t="array" ref="B213">IF(A213="","",_xlfn.CHOOSECOLS('Prematch Backend 2A'!213:213,_xlfn.MAKEARRAY(1,A213-2,_xlfn.LAMBDA(_xlpm.r,_xlpm.c,_xlpm.c))))</f>
        <v/>
      </c>
    </row>
    <row r="214" spans="2:2" x14ac:dyDescent="0.2">
      <c r="B214" t="str" cm="1">
        <f t="array" ref="B214">IF(A214="","",_xlfn.CHOOSECOLS('Prematch Backend 2A'!214:214,_xlfn.MAKEARRAY(1,A214-2,_xlfn.LAMBDA(_xlpm.r,_xlpm.c,_xlpm.c))))</f>
        <v/>
      </c>
    </row>
    <row r="215" spans="2:2" x14ac:dyDescent="0.2">
      <c r="B215" t="str" cm="1">
        <f t="array" ref="B215">IF(A215="","",_xlfn.CHOOSECOLS('Prematch Backend 2A'!215:215,_xlfn.MAKEARRAY(1,A215-2,_xlfn.LAMBDA(_xlpm.r,_xlpm.c,_xlpm.c))))</f>
        <v/>
      </c>
    </row>
    <row r="216" spans="2:2" x14ac:dyDescent="0.2">
      <c r="B216" t="str" cm="1">
        <f t="array" ref="B216">IF(A216="","",_xlfn.CHOOSECOLS('Prematch Backend 2A'!216:216,_xlfn.MAKEARRAY(1,A216-2,_xlfn.LAMBDA(_xlpm.r,_xlpm.c,_xlpm.c))))</f>
        <v/>
      </c>
    </row>
    <row r="217" spans="2:2" x14ac:dyDescent="0.2">
      <c r="B217" t="str" cm="1">
        <f t="array" ref="B217">IF(A217="","",_xlfn.CHOOSECOLS('Prematch Backend 2A'!217:217,_xlfn.MAKEARRAY(1,A217-2,_xlfn.LAMBDA(_xlpm.r,_xlpm.c,_xlpm.c))))</f>
        <v/>
      </c>
    </row>
    <row r="218" spans="2:2" x14ac:dyDescent="0.2">
      <c r="B218" t="str" cm="1">
        <f t="array" ref="B218">IF(A218="","",_xlfn.CHOOSECOLS('Prematch Backend 2A'!218:218,_xlfn.MAKEARRAY(1,A218-2,_xlfn.LAMBDA(_xlpm.r,_xlpm.c,_xlpm.c))))</f>
        <v/>
      </c>
    </row>
    <row r="219" spans="2:2" x14ac:dyDescent="0.2">
      <c r="B219" t="str" cm="1">
        <f t="array" ref="B219">IF(A219="","",_xlfn.CHOOSECOLS('Prematch Backend 2A'!219:219,_xlfn.MAKEARRAY(1,A219-2,_xlfn.LAMBDA(_xlpm.r,_xlpm.c,_xlpm.c))))</f>
        <v/>
      </c>
    </row>
    <row r="220" spans="2:2" x14ac:dyDescent="0.2">
      <c r="B220" t="str" cm="1">
        <f t="array" ref="B220">IF(A220="","",_xlfn.CHOOSECOLS('Prematch Backend 2A'!220:220,_xlfn.MAKEARRAY(1,A220-2,_xlfn.LAMBDA(_xlpm.r,_xlpm.c,_xlpm.c))))</f>
        <v/>
      </c>
    </row>
    <row r="221" spans="2:2" x14ac:dyDescent="0.2">
      <c r="B221" t="str" cm="1">
        <f t="array" ref="B221">IF(A221="","",_xlfn.CHOOSECOLS('Prematch Backend 2A'!221:221,_xlfn.MAKEARRAY(1,A221-2,_xlfn.LAMBDA(_xlpm.r,_xlpm.c,_xlpm.c))))</f>
        <v/>
      </c>
    </row>
    <row r="222" spans="2:2" x14ac:dyDescent="0.2">
      <c r="B222" t="str" cm="1">
        <f t="array" ref="B222">IF(A222="","",_xlfn.CHOOSECOLS('Prematch Backend 2A'!222:222,_xlfn.MAKEARRAY(1,A222-2,_xlfn.LAMBDA(_xlpm.r,_xlpm.c,_xlpm.c))))</f>
        <v/>
      </c>
    </row>
    <row r="223" spans="2:2" x14ac:dyDescent="0.2">
      <c r="B223" t="str" cm="1">
        <f t="array" ref="B223">IF(A223="","",_xlfn.CHOOSECOLS('Prematch Backend 2A'!223:223,_xlfn.MAKEARRAY(1,A223-2,_xlfn.LAMBDA(_xlpm.r,_xlpm.c,_xlpm.c))))</f>
        <v/>
      </c>
    </row>
    <row r="224" spans="2:2" x14ac:dyDescent="0.2">
      <c r="B224" t="str" cm="1">
        <f t="array" ref="B224">IF(A224="","",_xlfn.CHOOSECOLS('Prematch Backend 2A'!224:224,_xlfn.MAKEARRAY(1,A224-2,_xlfn.LAMBDA(_xlpm.r,_xlpm.c,_xlpm.c))))</f>
        <v/>
      </c>
    </row>
    <row r="225" spans="2:2" x14ac:dyDescent="0.2">
      <c r="B225" t="str" cm="1">
        <f t="array" ref="B225">IF(A225="","",_xlfn.CHOOSECOLS('Prematch Backend 2A'!225:225,_xlfn.MAKEARRAY(1,A225-2,_xlfn.LAMBDA(_xlpm.r,_xlpm.c,_xlpm.c))))</f>
        <v/>
      </c>
    </row>
    <row r="226" spans="2:2" x14ac:dyDescent="0.2">
      <c r="B226" t="str" cm="1">
        <f t="array" ref="B226">IF(A226="","",_xlfn.CHOOSECOLS('Prematch Backend 2A'!226:226,_xlfn.MAKEARRAY(1,A226-2,_xlfn.LAMBDA(_xlpm.r,_xlpm.c,_xlpm.c))))</f>
        <v/>
      </c>
    </row>
    <row r="227" spans="2:2" x14ac:dyDescent="0.2">
      <c r="B227" t="str" cm="1">
        <f t="array" ref="B227">IF(A227="","",_xlfn.CHOOSECOLS('Prematch Backend 2A'!227:227,_xlfn.MAKEARRAY(1,A227-2,_xlfn.LAMBDA(_xlpm.r,_xlpm.c,_xlpm.c))))</f>
        <v/>
      </c>
    </row>
    <row r="228" spans="2:2" x14ac:dyDescent="0.2">
      <c r="B228" t="str" cm="1">
        <f t="array" ref="B228">IF(A228="","",_xlfn.CHOOSECOLS('Prematch Backend 2A'!228:228,_xlfn.MAKEARRAY(1,A228-2,_xlfn.LAMBDA(_xlpm.r,_xlpm.c,_xlpm.c))))</f>
        <v/>
      </c>
    </row>
    <row r="229" spans="2:2" x14ac:dyDescent="0.2">
      <c r="B229" t="str" cm="1">
        <f t="array" ref="B229">IF(A229="","",_xlfn.CHOOSECOLS('Prematch Backend 2A'!229:229,_xlfn.MAKEARRAY(1,A229-2,_xlfn.LAMBDA(_xlpm.r,_xlpm.c,_xlpm.c))))</f>
        <v/>
      </c>
    </row>
    <row r="230" spans="2:2" x14ac:dyDescent="0.2">
      <c r="B230" t="str" cm="1">
        <f t="array" ref="B230">IF(A230="","",_xlfn.CHOOSECOLS('Prematch Backend 2A'!230:230,_xlfn.MAKEARRAY(1,A230-2,_xlfn.LAMBDA(_xlpm.r,_xlpm.c,_xlpm.c))))</f>
        <v/>
      </c>
    </row>
    <row r="231" spans="2:2" x14ac:dyDescent="0.2">
      <c r="B231" t="str" cm="1">
        <f t="array" ref="B231">IF(A231="","",_xlfn.CHOOSECOLS('Prematch Backend 2A'!231:231,_xlfn.MAKEARRAY(1,A231-2,_xlfn.LAMBDA(_xlpm.r,_xlpm.c,_xlpm.c))))</f>
        <v/>
      </c>
    </row>
    <row r="232" spans="2:2" x14ac:dyDescent="0.2">
      <c r="B232" t="str" cm="1">
        <f t="array" ref="B232">IF(A232="","",_xlfn.CHOOSECOLS('Prematch Backend 2A'!232:232,_xlfn.MAKEARRAY(1,A232-2,_xlfn.LAMBDA(_xlpm.r,_xlpm.c,_xlpm.c))))</f>
        <v/>
      </c>
    </row>
    <row r="233" spans="2:2" x14ac:dyDescent="0.2">
      <c r="B233" t="str" cm="1">
        <f t="array" ref="B233">IF(A233="","",_xlfn.CHOOSECOLS('Prematch Backend 2A'!233:233,_xlfn.MAKEARRAY(1,A233-2,_xlfn.LAMBDA(_xlpm.r,_xlpm.c,_xlpm.c))))</f>
        <v/>
      </c>
    </row>
    <row r="234" spans="2:2" x14ac:dyDescent="0.2">
      <c r="B234" t="str" cm="1">
        <f t="array" ref="B234">IF(A234="","",_xlfn.CHOOSECOLS('Prematch Backend 2A'!234:234,_xlfn.MAKEARRAY(1,A234-2,_xlfn.LAMBDA(_xlpm.r,_xlpm.c,_xlpm.c))))</f>
        <v/>
      </c>
    </row>
    <row r="235" spans="2:2" x14ac:dyDescent="0.2">
      <c r="B235" t="str" cm="1">
        <f t="array" ref="B235">IF(A235="","",_xlfn.CHOOSECOLS('Prematch Backend 2A'!235:235,_xlfn.MAKEARRAY(1,A235-2,_xlfn.LAMBDA(_xlpm.r,_xlpm.c,_xlpm.c))))</f>
        <v/>
      </c>
    </row>
    <row r="236" spans="2:2" x14ac:dyDescent="0.2">
      <c r="B236" t="str" cm="1">
        <f t="array" ref="B236">IF(A236="","",_xlfn.CHOOSECOLS('Prematch Backend 2A'!236:236,_xlfn.MAKEARRAY(1,A236-2,_xlfn.LAMBDA(_xlpm.r,_xlpm.c,_xlpm.c))))</f>
        <v/>
      </c>
    </row>
    <row r="237" spans="2:2" x14ac:dyDescent="0.2">
      <c r="B237" t="str" cm="1">
        <f t="array" ref="B237">IF(A237="","",_xlfn.CHOOSECOLS('Prematch Backend 2A'!237:237,_xlfn.MAKEARRAY(1,A237-2,_xlfn.LAMBDA(_xlpm.r,_xlpm.c,_xlpm.c))))</f>
        <v/>
      </c>
    </row>
    <row r="238" spans="2:2" x14ac:dyDescent="0.2">
      <c r="B238" t="str" cm="1">
        <f t="array" ref="B238">IF(A238="","",_xlfn.CHOOSECOLS('Prematch Backend 2A'!238:238,_xlfn.MAKEARRAY(1,A238-2,_xlfn.LAMBDA(_xlpm.r,_xlpm.c,_xlpm.c))))</f>
        <v/>
      </c>
    </row>
    <row r="239" spans="2:2" x14ac:dyDescent="0.2">
      <c r="B239" t="str" cm="1">
        <f t="array" ref="B239">IF(A239="","",_xlfn.CHOOSECOLS('Prematch Backend 2A'!239:239,_xlfn.MAKEARRAY(1,A239-2,_xlfn.LAMBDA(_xlpm.r,_xlpm.c,_xlpm.c))))</f>
        <v/>
      </c>
    </row>
    <row r="240" spans="2:2" x14ac:dyDescent="0.2">
      <c r="B240" t="str" cm="1">
        <f t="array" ref="B240">IF(A240="","",_xlfn.CHOOSECOLS('Prematch Backend 2A'!240:240,_xlfn.MAKEARRAY(1,A240-2,_xlfn.LAMBDA(_xlpm.r,_xlpm.c,_xlpm.c))))</f>
        <v/>
      </c>
    </row>
    <row r="241" spans="2:2" x14ac:dyDescent="0.2">
      <c r="B241" t="str" cm="1">
        <f t="array" ref="B241">IF(A241="","",_xlfn.CHOOSECOLS('Prematch Backend 2A'!241:241,_xlfn.MAKEARRAY(1,A241-2,_xlfn.LAMBDA(_xlpm.r,_xlpm.c,_xlpm.c))))</f>
        <v/>
      </c>
    </row>
    <row r="242" spans="2:2" x14ac:dyDescent="0.2">
      <c r="B242" t="str" cm="1">
        <f t="array" ref="B242">IF(A242="","",_xlfn.CHOOSECOLS('Prematch Backend 2A'!242:242,_xlfn.MAKEARRAY(1,A242-2,_xlfn.LAMBDA(_xlpm.r,_xlpm.c,_xlpm.c))))</f>
        <v/>
      </c>
    </row>
    <row r="243" spans="2:2" x14ac:dyDescent="0.2">
      <c r="B243" t="str" cm="1">
        <f t="array" ref="B243">IF(A243="","",_xlfn.CHOOSECOLS('Prematch Backend 2A'!243:243,_xlfn.MAKEARRAY(1,A243-2,_xlfn.LAMBDA(_xlpm.r,_xlpm.c,_xlpm.c))))</f>
        <v/>
      </c>
    </row>
    <row r="244" spans="2:2" x14ac:dyDescent="0.2">
      <c r="B244" t="str" cm="1">
        <f t="array" ref="B244">IF(A244="","",_xlfn.CHOOSECOLS('Prematch Backend 2A'!244:244,_xlfn.MAKEARRAY(1,A244-2,_xlfn.LAMBDA(_xlpm.r,_xlpm.c,_xlpm.c))))</f>
        <v/>
      </c>
    </row>
    <row r="245" spans="2:2" x14ac:dyDescent="0.2">
      <c r="B245" t="str" cm="1">
        <f t="array" ref="B245">IF(A245="","",_xlfn.CHOOSECOLS('Prematch Backend 2A'!245:245,_xlfn.MAKEARRAY(1,A245-2,_xlfn.LAMBDA(_xlpm.r,_xlpm.c,_xlpm.c))))</f>
        <v/>
      </c>
    </row>
    <row r="246" spans="2:2" x14ac:dyDescent="0.2">
      <c r="B246" t="str" cm="1">
        <f t="array" ref="B246">IF(A246="","",_xlfn.CHOOSECOLS('Prematch Backend 2A'!246:246,_xlfn.MAKEARRAY(1,A246-2,_xlfn.LAMBDA(_xlpm.r,_xlpm.c,_xlpm.c))))</f>
        <v/>
      </c>
    </row>
    <row r="247" spans="2:2" x14ac:dyDescent="0.2">
      <c r="B247" t="str" cm="1">
        <f t="array" ref="B247">IF(A247="","",_xlfn.CHOOSECOLS('Prematch Backend 2A'!247:247,_xlfn.MAKEARRAY(1,A247-2,_xlfn.LAMBDA(_xlpm.r,_xlpm.c,_xlpm.c))))</f>
        <v/>
      </c>
    </row>
    <row r="248" spans="2:2" x14ac:dyDescent="0.2">
      <c r="B248" t="str" cm="1">
        <f t="array" ref="B248">IF(A248="","",_xlfn.CHOOSECOLS('Prematch Backend 2A'!248:248,_xlfn.MAKEARRAY(1,A248-2,_xlfn.LAMBDA(_xlpm.r,_xlpm.c,_xlpm.c))))</f>
        <v/>
      </c>
    </row>
    <row r="249" spans="2:2" x14ac:dyDescent="0.2">
      <c r="B249" t="str" cm="1">
        <f t="array" ref="B249">IF(A249="","",_xlfn.CHOOSECOLS('Prematch Backend 2A'!249:249,_xlfn.MAKEARRAY(1,A249-2,_xlfn.LAMBDA(_xlpm.r,_xlpm.c,_xlpm.c))))</f>
        <v/>
      </c>
    </row>
    <row r="250" spans="2:2" x14ac:dyDescent="0.2">
      <c r="B250" t="str" cm="1">
        <f t="array" ref="B250">IF(A250="","",_xlfn.CHOOSECOLS('Prematch Backend 2A'!250:250,_xlfn.MAKEARRAY(1,A250-2,_xlfn.LAMBDA(_xlpm.r,_xlpm.c,_xlpm.c))))</f>
        <v/>
      </c>
    </row>
    <row r="251" spans="2:2" x14ac:dyDescent="0.2">
      <c r="B251" t="str" cm="1">
        <f t="array" ref="B251">IF(A251="","",_xlfn.CHOOSECOLS('Prematch Backend 2A'!251:251,_xlfn.MAKEARRAY(1,A251-2,_xlfn.LAMBDA(_xlpm.r,_xlpm.c,_xlpm.c))))</f>
        <v/>
      </c>
    </row>
    <row r="252" spans="2:2" x14ac:dyDescent="0.2">
      <c r="B252" t="str" cm="1">
        <f t="array" ref="B252">IF(A252="","",_xlfn.CHOOSECOLS('Prematch Backend 2A'!252:252,_xlfn.MAKEARRAY(1,A252-2,_xlfn.LAMBDA(_xlpm.r,_xlpm.c,_xlpm.c))))</f>
        <v/>
      </c>
    </row>
    <row r="253" spans="2:2" x14ac:dyDescent="0.2">
      <c r="B253" t="str" cm="1">
        <f t="array" ref="B253">IF(A253="","",_xlfn.CHOOSECOLS('Prematch Backend 2A'!253:253,_xlfn.MAKEARRAY(1,A253-2,_xlfn.LAMBDA(_xlpm.r,_xlpm.c,_xlpm.c))))</f>
        <v/>
      </c>
    </row>
    <row r="254" spans="2:2" x14ac:dyDescent="0.2">
      <c r="B254" t="str" cm="1">
        <f t="array" ref="B254">IF(A254="","",_xlfn.CHOOSECOLS('Prematch Backend 2A'!254:254,_xlfn.MAKEARRAY(1,A254-2,_xlfn.LAMBDA(_xlpm.r,_xlpm.c,_xlpm.c))))</f>
        <v/>
      </c>
    </row>
    <row r="255" spans="2:2" x14ac:dyDescent="0.2">
      <c r="B255" t="str" cm="1">
        <f t="array" ref="B255">IF(A255="","",_xlfn.CHOOSECOLS('Prematch Backend 2A'!255:255,_xlfn.MAKEARRAY(1,A255-2,_xlfn.LAMBDA(_xlpm.r,_xlpm.c,_xlpm.c))))</f>
        <v/>
      </c>
    </row>
    <row r="256" spans="2:2" x14ac:dyDescent="0.2">
      <c r="B256" t="str" cm="1">
        <f t="array" ref="B256">IF(A256="","",_xlfn.CHOOSECOLS('Prematch Backend 2A'!256:256,_xlfn.MAKEARRAY(1,A256-2,_xlfn.LAMBDA(_xlpm.r,_xlpm.c,_xlpm.c))))</f>
        <v/>
      </c>
    </row>
    <row r="257" spans="2:2" x14ac:dyDescent="0.2">
      <c r="B257" t="str" cm="1">
        <f t="array" ref="B257">IF(A257="","",_xlfn.CHOOSECOLS('Prematch Backend 2A'!257:257,_xlfn.MAKEARRAY(1,A257-2,_xlfn.LAMBDA(_xlpm.r,_xlpm.c,_xlpm.c))))</f>
        <v/>
      </c>
    </row>
    <row r="258" spans="2:2" x14ac:dyDescent="0.2">
      <c r="B258" t="str" cm="1">
        <f t="array" ref="B258">IF(A258="","",_xlfn.CHOOSECOLS('Prematch Backend 2A'!258:258,_xlfn.MAKEARRAY(1,A258-2,_xlfn.LAMBDA(_xlpm.r,_xlpm.c,_xlpm.c))))</f>
        <v/>
      </c>
    </row>
    <row r="259" spans="2:2" x14ac:dyDescent="0.2">
      <c r="B259" t="str" cm="1">
        <f t="array" ref="B259">IF(A259="","",_xlfn.CHOOSECOLS('Prematch Backend 2A'!259:259,_xlfn.MAKEARRAY(1,A259-2,_xlfn.LAMBDA(_xlpm.r,_xlpm.c,_xlpm.c))))</f>
        <v/>
      </c>
    </row>
    <row r="260" spans="2:2" x14ac:dyDescent="0.2">
      <c r="B260" t="str" cm="1">
        <f t="array" ref="B260">IF(A260="","",_xlfn.CHOOSECOLS('Prematch Backend 2A'!260:260,_xlfn.MAKEARRAY(1,A260-2,_xlfn.LAMBDA(_xlpm.r,_xlpm.c,_xlpm.c))))</f>
        <v/>
      </c>
    </row>
    <row r="261" spans="2:2" x14ac:dyDescent="0.2">
      <c r="B261" t="str" cm="1">
        <f t="array" ref="B261">IF(A261="","",_xlfn.CHOOSECOLS('Prematch Backend 2A'!261:261,_xlfn.MAKEARRAY(1,A261-2,_xlfn.LAMBDA(_xlpm.r,_xlpm.c,_xlpm.c))))</f>
        <v/>
      </c>
    </row>
    <row r="262" spans="2:2" x14ac:dyDescent="0.2">
      <c r="B262" t="str" cm="1">
        <f t="array" ref="B262">IF(A262="","",_xlfn.CHOOSECOLS('Prematch Backend 2A'!262:262,_xlfn.MAKEARRAY(1,A262-2,_xlfn.LAMBDA(_xlpm.r,_xlpm.c,_xlpm.c))))</f>
        <v/>
      </c>
    </row>
    <row r="263" spans="2:2" x14ac:dyDescent="0.2">
      <c r="B263" t="str" cm="1">
        <f t="array" ref="B263">IF(A263="","",_xlfn.CHOOSECOLS('Prematch Backend 2A'!263:263,_xlfn.MAKEARRAY(1,A263-2,_xlfn.LAMBDA(_xlpm.r,_xlpm.c,_xlpm.c))))</f>
        <v/>
      </c>
    </row>
    <row r="264" spans="2:2" x14ac:dyDescent="0.2">
      <c r="B264" t="str" cm="1">
        <f t="array" ref="B264">IF(A264="","",_xlfn.CHOOSECOLS('Prematch Backend 2A'!264:264,_xlfn.MAKEARRAY(1,A264-2,_xlfn.LAMBDA(_xlpm.r,_xlpm.c,_xlpm.c))))</f>
        <v/>
      </c>
    </row>
    <row r="265" spans="2:2" x14ac:dyDescent="0.2">
      <c r="B265" t="str" cm="1">
        <f t="array" ref="B265">IF(A265="","",_xlfn.CHOOSECOLS('Prematch Backend 2A'!265:265,_xlfn.MAKEARRAY(1,A265-2,_xlfn.LAMBDA(_xlpm.r,_xlpm.c,_xlpm.c))))</f>
        <v/>
      </c>
    </row>
    <row r="266" spans="2:2" x14ac:dyDescent="0.2">
      <c r="B266" t="str" cm="1">
        <f t="array" ref="B266">IF(A266="","",_xlfn.CHOOSECOLS('Prematch Backend 2A'!266:266,_xlfn.MAKEARRAY(1,A266-2,_xlfn.LAMBDA(_xlpm.r,_xlpm.c,_xlpm.c))))</f>
        <v/>
      </c>
    </row>
    <row r="267" spans="2:2" x14ac:dyDescent="0.2">
      <c r="B267" t="str" cm="1">
        <f t="array" ref="B267">IF(A267="","",_xlfn.CHOOSECOLS('Prematch Backend 2A'!267:267,_xlfn.MAKEARRAY(1,A267-2,_xlfn.LAMBDA(_xlpm.r,_xlpm.c,_xlpm.c))))</f>
        <v/>
      </c>
    </row>
    <row r="268" spans="2:2" x14ac:dyDescent="0.2">
      <c r="B268" t="str" cm="1">
        <f t="array" ref="B268">IF(A268="","",_xlfn.CHOOSECOLS('Prematch Backend 2A'!268:268,_xlfn.MAKEARRAY(1,A268-2,_xlfn.LAMBDA(_xlpm.r,_xlpm.c,_xlpm.c))))</f>
        <v/>
      </c>
    </row>
    <row r="269" spans="2:2" x14ac:dyDescent="0.2">
      <c r="B269" t="str" cm="1">
        <f t="array" ref="B269">IF(A269="","",_xlfn.CHOOSECOLS('Prematch Backend 2A'!269:269,_xlfn.MAKEARRAY(1,A269-2,_xlfn.LAMBDA(_xlpm.r,_xlpm.c,_xlpm.c))))</f>
        <v/>
      </c>
    </row>
    <row r="270" spans="2:2" x14ac:dyDescent="0.2">
      <c r="B270" t="str" cm="1">
        <f t="array" ref="B270">IF(A270="","",_xlfn.CHOOSECOLS('Prematch Backend 2A'!270:270,_xlfn.MAKEARRAY(1,A270-2,_xlfn.LAMBDA(_xlpm.r,_xlpm.c,_xlpm.c))))</f>
        <v/>
      </c>
    </row>
    <row r="271" spans="2:2" x14ac:dyDescent="0.2">
      <c r="B271" t="str" cm="1">
        <f t="array" ref="B271">IF(A271="","",_xlfn.CHOOSECOLS('Prematch Backend 2A'!271:271,_xlfn.MAKEARRAY(1,A271-2,_xlfn.LAMBDA(_xlpm.r,_xlpm.c,_xlpm.c))))</f>
        <v/>
      </c>
    </row>
    <row r="272" spans="2:2" x14ac:dyDescent="0.2">
      <c r="B272" t="str" cm="1">
        <f t="array" ref="B272">IF(A272="","",_xlfn.CHOOSECOLS('Prematch Backend 2A'!272:272,_xlfn.MAKEARRAY(1,A272-2,_xlfn.LAMBDA(_xlpm.r,_xlpm.c,_xlpm.c))))</f>
        <v/>
      </c>
    </row>
    <row r="273" spans="2:2" x14ac:dyDescent="0.2">
      <c r="B273" t="str" cm="1">
        <f t="array" ref="B273">IF(A273="","",_xlfn.CHOOSECOLS('Prematch Backend 2A'!273:273,_xlfn.MAKEARRAY(1,A273-2,_xlfn.LAMBDA(_xlpm.r,_xlpm.c,_xlpm.c))))</f>
        <v/>
      </c>
    </row>
    <row r="274" spans="2:2" x14ac:dyDescent="0.2">
      <c r="B274" t="str" cm="1">
        <f t="array" ref="B274">IF(A274="","",_xlfn.CHOOSECOLS('Prematch Backend 2A'!274:274,_xlfn.MAKEARRAY(1,A274-2,_xlfn.LAMBDA(_xlpm.r,_xlpm.c,_xlpm.c))))</f>
        <v/>
      </c>
    </row>
    <row r="275" spans="2:2" x14ac:dyDescent="0.2">
      <c r="B275" t="str" cm="1">
        <f t="array" ref="B275">IF(A275="","",_xlfn.CHOOSECOLS('Prematch Backend 2A'!275:275,_xlfn.MAKEARRAY(1,A275-2,_xlfn.LAMBDA(_xlpm.r,_xlpm.c,_xlpm.c))))</f>
        <v/>
      </c>
    </row>
    <row r="276" spans="2:2" x14ac:dyDescent="0.2">
      <c r="B276" t="str" cm="1">
        <f t="array" ref="B276">IF(A276="","",_xlfn.CHOOSECOLS('Prematch Backend 2A'!276:276,_xlfn.MAKEARRAY(1,A276-2,_xlfn.LAMBDA(_xlpm.r,_xlpm.c,_xlpm.c))))</f>
        <v/>
      </c>
    </row>
    <row r="277" spans="2:2" x14ac:dyDescent="0.2">
      <c r="B277" t="str" cm="1">
        <f t="array" ref="B277">IF(A277="","",_xlfn.CHOOSECOLS('Prematch Backend 2A'!277:277,_xlfn.MAKEARRAY(1,A277-2,_xlfn.LAMBDA(_xlpm.r,_xlpm.c,_xlpm.c))))</f>
        <v/>
      </c>
    </row>
    <row r="278" spans="2:2" x14ac:dyDescent="0.2">
      <c r="B278" t="str" cm="1">
        <f t="array" ref="B278">IF(A278="","",_xlfn.CHOOSECOLS('Prematch Backend 2A'!278:278,_xlfn.MAKEARRAY(1,A278-2,_xlfn.LAMBDA(_xlpm.r,_xlpm.c,_xlpm.c))))</f>
        <v/>
      </c>
    </row>
    <row r="279" spans="2:2" x14ac:dyDescent="0.2">
      <c r="B279" t="str" cm="1">
        <f t="array" ref="B279">IF(A279="","",_xlfn.CHOOSECOLS('Prematch Backend 2A'!279:279,_xlfn.MAKEARRAY(1,A279-2,_xlfn.LAMBDA(_xlpm.r,_xlpm.c,_xlpm.c))))</f>
        <v/>
      </c>
    </row>
    <row r="280" spans="2:2" x14ac:dyDescent="0.2">
      <c r="B280" t="str" cm="1">
        <f t="array" ref="B280">IF(A280="","",_xlfn.CHOOSECOLS('Prematch Backend 2A'!280:280,_xlfn.MAKEARRAY(1,A280-2,_xlfn.LAMBDA(_xlpm.r,_xlpm.c,_xlpm.c))))</f>
        <v/>
      </c>
    </row>
    <row r="281" spans="2:2" x14ac:dyDescent="0.2">
      <c r="B281" t="str" cm="1">
        <f t="array" ref="B281">IF(A281="","",_xlfn.CHOOSECOLS('Prematch Backend 2A'!281:281,_xlfn.MAKEARRAY(1,A281-2,_xlfn.LAMBDA(_xlpm.r,_xlpm.c,_xlpm.c))))</f>
        <v/>
      </c>
    </row>
    <row r="282" spans="2:2" x14ac:dyDescent="0.2">
      <c r="B282" t="str" cm="1">
        <f t="array" ref="B282">IF(A282="","",_xlfn.CHOOSECOLS('Prematch Backend 2A'!282:282,_xlfn.MAKEARRAY(1,A282-2,_xlfn.LAMBDA(_xlpm.r,_xlpm.c,_xlpm.c))))</f>
        <v/>
      </c>
    </row>
    <row r="283" spans="2:2" x14ac:dyDescent="0.2">
      <c r="B283" t="str" cm="1">
        <f t="array" ref="B283">IF(A283="","",_xlfn.CHOOSECOLS('Prematch Backend 2A'!283:283,_xlfn.MAKEARRAY(1,A283-2,_xlfn.LAMBDA(_xlpm.r,_xlpm.c,_xlpm.c))))</f>
        <v/>
      </c>
    </row>
    <row r="284" spans="2:2" x14ac:dyDescent="0.2">
      <c r="B284" t="str" cm="1">
        <f t="array" ref="B284">IF(A284="","",_xlfn.CHOOSECOLS('Prematch Backend 2A'!284:284,_xlfn.MAKEARRAY(1,A284-2,_xlfn.LAMBDA(_xlpm.r,_xlpm.c,_xlpm.c))))</f>
        <v/>
      </c>
    </row>
    <row r="285" spans="2:2" x14ac:dyDescent="0.2">
      <c r="B285" t="str" cm="1">
        <f t="array" ref="B285">IF(A285="","",_xlfn.CHOOSECOLS('Prematch Backend 2A'!285:285,_xlfn.MAKEARRAY(1,A285-2,_xlfn.LAMBDA(_xlpm.r,_xlpm.c,_xlpm.c))))</f>
        <v/>
      </c>
    </row>
    <row r="286" spans="2:2" x14ac:dyDescent="0.2">
      <c r="B286" t="str" cm="1">
        <f t="array" ref="B286">IF(A286="","",_xlfn.CHOOSECOLS('Prematch Backend 2A'!286:286,_xlfn.MAKEARRAY(1,A286-2,_xlfn.LAMBDA(_xlpm.r,_xlpm.c,_xlpm.c))))</f>
        <v/>
      </c>
    </row>
    <row r="287" spans="2:2" x14ac:dyDescent="0.2">
      <c r="B287" t="str" cm="1">
        <f t="array" ref="B287">IF(A287="","",_xlfn.CHOOSECOLS('Prematch Backend 2A'!287:287,_xlfn.MAKEARRAY(1,A287-2,_xlfn.LAMBDA(_xlpm.r,_xlpm.c,_xlpm.c))))</f>
        <v/>
      </c>
    </row>
    <row r="288" spans="2:2" x14ac:dyDescent="0.2">
      <c r="B288" t="str" cm="1">
        <f t="array" ref="B288">IF(A288="","",_xlfn.CHOOSECOLS('Prematch Backend 2A'!288:288,_xlfn.MAKEARRAY(1,A288-2,_xlfn.LAMBDA(_xlpm.r,_xlpm.c,_xlpm.c))))</f>
        <v/>
      </c>
    </row>
    <row r="289" spans="2:2" x14ac:dyDescent="0.2">
      <c r="B289" t="str" cm="1">
        <f t="array" ref="B289">IF(A289="","",_xlfn.CHOOSECOLS('Prematch Backend 2A'!289:289,_xlfn.MAKEARRAY(1,A289-2,_xlfn.LAMBDA(_xlpm.r,_xlpm.c,_xlpm.c))))</f>
        <v/>
      </c>
    </row>
    <row r="290" spans="2:2" x14ac:dyDescent="0.2">
      <c r="B290" t="str" cm="1">
        <f t="array" ref="B290">IF(A290="","",_xlfn.CHOOSECOLS('Prematch Backend 2A'!290:290,_xlfn.MAKEARRAY(1,A290-2,_xlfn.LAMBDA(_xlpm.r,_xlpm.c,_xlpm.c))))</f>
        <v/>
      </c>
    </row>
    <row r="291" spans="2:2" x14ac:dyDescent="0.2">
      <c r="B291" t="str" cm="1">
        <f t="array" ref="B291">IF(A291="","",_xlfn.CHOOSECOLS('Prematch Backend 2A'!291:291,_xlfn.MAKEARRAY(1,A291-2,_xlfn.LAMBDA(_xlpm.r,_xlpm.c,_xlpm.c))))</f>
        <v/>
      </c>
    </row>
    <row r="292" spans="2:2" x14ac:dyDescent="0.2">
      <c r="B292" t="str" cm="1">
        <f t="array" ref="B292">IF(A292="","",_xlfn.CHOOSECOLS('Prematch Backend 2A'!292:292,_xlfn.MAKEARRAY(1,A292-2,_xlfn.LAMBDA(_xlpm.r,_xlpm.c,_xlpm.c))))</f>
        <v/>
      </c>
    </row>
    <row r="293" spans="2:2" x14ac:dyDescent="0.2">
      <c r="B293" t="str" cm="1">
        <f t="array" ref="B293">IF(A293="","",_xlfn.CHOOSECOLS('Prematch Backend 2A'!293:293,_xlfn.MAKEARRAY(1,A293-2,_xlfn.LAMBDA(_xlpm.r,_xlpm.c,_xlpm.c))))</f>
        <v/>
      </c>
    </row>
    <row r="294" spans="2:2" x14ac:dyDescent="0.2">
      <c r="B294" t="str" cm="1">
        <f t="array" ref="B294">IF(A294="","",_xlfn.CHOOSECOLS('Prematch Backend 2A'!294:294,_xlfn.MAKEARRAY(1,A294-2,_xlfn.LAMBDA(_xlpm.r,_xlpm.c,_xlpm.c))))</f>
        <v/>
      </c>
    </row>
    <row r="295" spans="2:2" x14ac:dyDescent="0.2">
      <c r="B295" t="str" cm="1">
        <f t="array" ref="B295">IF(A295="","",_xlfn.CHOOSECOLS('Prematch Backend 2A'!295:295,_xlfn.MAKEARRAY(1,A295-2,_xlfn.LAMBDA(_xlpm.r,_xlpm.c,_xlpm.c))))</f>
        <v/>
      </c>
    </row>
    <row r="296" spans="2:2" x14ac:dyDescent="0.2">
      <c r="B296" t="str" cm="1">
        <f t="array" ref="B296">IF(A296="","",_xlfn.CHOOSECOLS('Prematch Backend 2A'!296:296,_xlfn.MAKEARRAY(1,A296-2,_xlfn.LAMBDA(_xlpm.r,_xlpm.c,_xlpm.c))))</f>
        <v/>
      </c>
    </row>
    <row r="297" spans="2:2" x14ac:dyDescent="0.2">
      <c r="B297" t="str" cm="1">
        <f t="array" ref="B297">IF(A297="","",_xlfn.CHOOSECOLS('Prematch Backend 2A'!297:297,_xlfn.MAKEARRAY(1,A297-2,_xlfn.LAMBDA(_xlpm.r,_xlpm.c,_xlpm.c))))</f>
        <v/>
      </c>
    </row>
    <row r="298" spans="2:2" x14ac:dyDescent="0.2">
      <c r="B298" t="str" cm="1">
        <f t="array" ref="B298">IF(A298="","",_xlfn.CHOOSECOLS('Prematch Backend 2A'!298:298,_xlfn.MAKEARRAY(1,A298-2,_xlfn.LAMBDA(_xlpm.r,_xlpm.c,_xlpm.c))))</f>
        <v/>
      </c>
    </row>
    <row r="299" spans="2:2" x14ac:dyDescent="0.2">
      <c r="B299" t="str" cm="1">
        <f t="array" ref="B299">IF(A299="","",_xlfn.CHOOSECOLS('Prematch Backend 2A'!299:299,_xlfn.MAKEARRAY(1,A299-2,_xlfn.LAMBDA(_xlpm.r,_xlpm.c,_xlpm.c))))</f>
        <v/>
      </c>
    </row>
    <row r="300" spans="2:2" x14ac:dyDescent="0.2">
      <c r="B300" t="str" cm="1">
        <f t="array" ref="B300">IF(A300="","",_xlfn.CHOOSECOLS('Prematch Backend 2A'!300:300,_xlfn.MAKEARRAY(1,A300-2,_xlfn.LAMBDA(_xlpm.r,_xlpm.c,_xlpm.c))))</f>
        <v/>
      </c>
    </row>
    <row r="301" spans="2:2" x14ac:dyDescent="0.2">
      <c r="B301" t="str" cm="1">
        <f t="array" ref="B301">IF(A301="","",_xlfn.CHOOSECOLS('Prematch Backend 2A'!301:301,_xlfn.MAKEARRAY(1,A301-2,_xlfn.LAMBDA(_xlpm.r,_xlpm.c,_xlpm.c))))</f>
        <v/>
      </c>
    </row>
    <row r="302" spans="2:2" x14ac:dyDescent="0.2">
      <c r="B302" t="str" cm="1">
        <f t="array" ref="B302">IF(A302="","",_xlfn.CHOOSECOLS('Prematch Backend 2A'!302:302,_xlfn.MAKEARRAY(1,A302-2,_xlfn.LAMBDA(_xlpm.r,_xlpm.c,_xlpm.c))))</f>
        <v/>
      </c>
    </row>
    <row r="303" spans="2:2" x14ac:dyDescent="0.2">
      <c r="B303" t="str" cm="1">
        <f t="array" ref="B303">IF(A303="","",_xlfn.CHOOSECOLS('Prematch Backend 2A'!303:303,_xlfn.MAKEARRAY(1,A303-2,_xlfn.LAMBDA(_xlpm.r,_xlpm.c,_xlpm.c))))</f>
        <v/>
      </c>
    </row>
    <row r="304" spans="2:2" x14ac:dyDescent="0.2">
      <c r="B304" t="str" cm="1">
        <f t="array" ref="B304">IF(A304="","",_xlfn.CHOOSECOLS('Prematch Backend 2A'!304:304,_xlfn.MAKEARRAY(1,A304-2,_xlfn.LAMBDA(_xlpm.r,_xlpm.c,_xlpm.c))))</f>
        <v/>
      </c>
    </row>
    <row r="305" spans="2:2" x14ac:dyDescent="0.2">
      <c r="B305" t="str" cm="1">
        <f t="array" ref="B305">IF(A305="","",_xlfn.CHOOSECOLS('Prematch Backend 2A'!305:305,_xlfn.MAKEARRAY(1,A305-2,_xlfn.LAMBDA(_xlpm.r,_xlpm.c,_xlpm.c))))</f>
        <v/>
      </c>
    </row>
    <row r="306" spans="2:2" x14ac:dyDescent="0.2">
      <c r="B306" t="str" cm="1">
        <f t="array" ref="B306">IF(A306="","",_xlfn.CHOOSECOLS('Prematch Backend 2A'!306:306,_xlfn.MAKEARRAY(1,A306-2,_xlfn.LAMBDA(_xlpm.r,_xlpm.c,_xlpm.c))))</f>
        <v/>
      </c>
    </row>
    <row r="307" spans="2:2" x14ac:dyDescent="0.2">
      <c r="B307" t="str" cm="1">
        <f t="array" ref="B307">IF(A307="","",_xlfn.CHOOSECOLS('Prematch Backend 2A'!307:307,_xlfn.MAKEARRAY(1,A307-2,_xlfn.LAMBDA(_xlpm.r,_xlpm.c,_xlpm.c))))</f>
        <v/>
      </c>
    </row>
    <row r="308" spans="2:2" x14ac:dyDescent="0.2">
      <c r="B308" t="str" cm="1">
        <f t="array" ref="B308">IF(A308="","",_xlfn.CHOOSECOLS('Prematch Backend 2A'!308:308,_xlfn.MAKEARRAY(1,A308-2,_xlfn.LAMBDA(_xlpm.r,_xlpm.c,_xlpm.c))))</f>
        <v/>
      </c>
    </row>
    <row r="309" spans="2:2" x14ac:dyDescent="0.2">
      <c r="B309" t="str" cm="1">
        <f t="array" ref="B309">IF(A309="","",_xlfn.CHOOSECOLS('Prematch Backend 2A'!309:309,_xlfn.MAKEARRAY(1,A309-2,_xlfn.LAMBDA(_xlpm.r,_xlpm.c,_xlpm.c))))</f>
        <v/>
      </c>
    </row>
    <row r="310" spans="2:2" x14ac:dyDescent="0.2">
      <c r="B310" t="str" cm="1">
        <f t="array" ref="B310">IF(A310="","",_xlfn.CHOOSECOLS('Prematch Backend 2A'!310:310,_xlfn.MAKEARRAY(1,A310-2,_xlfn.LAMBDA(_xlpm.r,_xlpm.c,_xlpm.c))))</f>
        <v/>
      </c>
    </row>
    <row r="311" spans="2:2" x14ac:dyDescent="0.2">
      <c r="B311" t="str" cm="1">
        <f t="array" ref="B311">IF(A311="","",_xlfn.CHOOSECOLS('Prematch Backend 2A'!311:311,_xlfn.MAKEARRAY(1,A311-2,_xlfn.LAMBDA(_xlpm.r,_xlpm.c,_xlpm.c))))</f>
        <v/>
      </c>
    </row>
    <row r="312" spans="2:2" x14ac:dyDescent="0.2">
      <c r="B312" t="str" cm="1">
        <f t="array" ref="B312">IF(A312="","",_xlfn.CHOOSECOLS('Prematch Backend 2A'!312:312,_xlfn.MAKEARRAY(1,A312-2,_xlfn.LAMBDA(_xlpm.r,_xlpm.c,_xlpm.c))))</f>
        <v/>
      </c>
    </row>
    <row r="313" spans="2:2" x14ac:dyDescent="0.2">
      <c r="B313" t="str" cm="1">
        <f t="array" ref="B313">IF(A313="","",_xlfn.CHOOSECOLS('Prematch Backend 2A'!313:313,_xlfn.MAKEARRAY(1,A313-2,_xlfn.LAMBDA(_xlpm.r,_xlpm.c,_xlpm.c))))</f>
        <v/>
      </c>
    </row>
    <row r="314" spans="2:2" x14ac:dyDescent="0.2">
      <c r="B314" t="str" cm="1">
        <f t="array" ref="B314">IF(A314="","",_xlfn.CHOOSECOLS('Prematch Backend 2A'!314:314,_xlfn.MAKEARRAY(1,A314-2,_xlfn.LAMBDA(_xlpm.r,_xlpm.c,_xlpm.c))))</f>
        <v/>
      </c>
    </row>
    <row r="315" spans="2:2" x14ac:dyDescent="0.2">
      <c r="B315" t="str" cm="1">
        <f t="array" ref="B315">IF(A315="","",_xlfn.CHOOSECOLS('Prematch Backend 2A'!315:315,_xlfn.MAKEARRAY(1,A315-2,_xlfn.LAMBDA(_xlpm.r,_xlpm.c,_xlpm.c))))</f>
        <v/>
      </c>
    </row>
    <row r="316" spans="2:2" x14ac:dyDescent="0.2">
      <c r="B316" t="str" cm="1">
        <f t="array" ref="B316">IF(A316="","",_xlfn.CHOOSECOLS('Prematch Backend 2A'!316:316,_xlfn.MAKEARRAY(1,A316-2,_xlfn.LAMBDA(_xlpm.r,_xlpm.c,_xlpm.c))))</f>
        <v/>
      </c>
    </row>
    <row r="317" spans="2:2" x14ac:dyDescent="0.2">
      <c r="B317" t="str" cm="1">
        <f t="array" ref="B317">IF(A317="","",_xlfn.CHOOSECOLS('Prematch Backend 2A'!317:317,_xlfn.MAKEARRAY(1,A317-2,_xlfn.LAMBDA(_xlpm.r,_xlpm.c,_xlpm.c))))</f>
        <v/>
      </c>
    </row>
    <row r="318" spans="2:2" x14ac:dyDescent="0.2">
      <c r="B318" t="str" cm="1">
        <f t="array" ref="B318">IF(A318="","",_xlfn.CHOOSECOLS('Prematch Backend 2A'!318:318,_xlfn.MAKEARRAY(1,A318-2,_xlfn.LAMBDA(_xlpm.r,_xlpm.c,_xlpm.c))))</f>
        <v/>
      </c>
    </row>
    <row r="319" spans="2:2" x14ac:dyDescent="0.2">
      <c r="B319" t="str" cm="1">
        <f t="array" ref="B319">IF(A319="","",_xlfn.CHOOSECOLS('Prematch Backend 2A'!319:319,_xlfn.MAKEARRAY(1,A319-2,_xlfn.LAMBDA(_xlpm.r,_xlpm.c,_xlpm.c))))</f>
        <v/>
      </c>
    </row>
    <row r="320" spans="2:2" x14ac:dyDescent="0.2">
      <c r="B320" t="str" cm="1">
        <f t="array" ref="B320">IF(A320="","",_xlfn.CHOOSECOLS('Prematch Backend 2A'!320:320,_xlfn.MAKEARRAY(1,A320-2,_xlfn.LAMBDA(_xlpm.r,_xlpm.c,_xlpm.c))))</f>
        <v/>
      </c>
    </row>
    <row r="321" spans="2:2" x14ac:dyDescent="0.2">
      <c r="B321" t="str" cm="1">
        <f t="array" ref="B321">IF(A321="","",_xlfn.CHOOSECOLS('Prematch Backend 2A'!321:321,_xlfn.MAKEARRAY(1,A321-2,_xlfn.LAMBDA(_xlpm.r,_xlpm.c,_xlpm.c))))</f>
        <v/>
      </c>
    </row>
    <row r="322" spans="2:2" x14ac:dyDescent="0.2">
      <c r="B322" t="str" cm="1">
        <f t="array" ref="B322">IF(A322="","",_xlfn.CHOOSECOLS('Prematch Backend 2A'!322:322,_xlfn.MAKEARRAY(1,A322-2,_xlfn.LAMBDA(_xlpm.r,_xlpm.c,_xlpm.c))))</f>
        <v/>
      </c>
    </row>
    <row r="323" spans="2:2" x14ac:dyDescent="0.2">
      <c r="B323" t="str" cm="1">
        <f t="array" ref="B323">IF(A323="","",_xlfn.CHOOSECOLS('Prematch Backend 2A'!323:323,_xlfn.MAKEARRAY(1,A323-2,_xlfn.LAMBDA(_xlpm.r,_xlpm.c,_xlpm.c))))</f>
        <v/>
      </c>
    </row>
    <row r="324" spans="2:2" x14ac:dyDescent="0.2">
      <c r="B324" t="str" cm="1">
        <f t="array" ref="B324">IF(A324="","",_xlfn.CHOOSECOLS('Prematch Backend 2A'!324:324,_xlfn.MAKEARRAY(1,A324-2,_xlfn.LAMBDA(_xlpm.r,_xlpm.c,_xlpm.c))))</f>
        <v/>
      </c>
    </row>
    <row r="325" spans="2:2" x14ac:dyDescent="0.2">
      <c r="B325" t="str" cm="1">
        <f t="array" ref="B325">IF(A325="","",_xlfn.CHOOSECOLS('Prematch Backend 2A'!325:325,_xlfn.MAKEARRAY(1,A325-2,_xlfn.LAMBDA(_xlpm.r,_xlpm.c,_xlpm.c))))</f>
        <v/>
      </c>
    </row>
    <row r="326" spans="2:2" x14ac:dyDescent="0.2">
      <c r="B326" t="str" cm="1">
        <f t="array" ref="B326">IF(A326="","",_xlfn.CHOOSECOLS('Prematch Backend 2A'!326:326,_xlfn.MAKEARRAY(1,A326-2,_xlfn.LAMBDA(_xlpm.r,_xlpm.c,_xlpm.c))))</f>
        <v/>
      </c>
    </row>
    <row r="327" spans="2:2" x14ac:dyDescent="0.2">
      <c r="B327" t="str" cm="1">
        <f t="array" ref="B327">IF(A327="","",_xlfn.CHOOSECOLS('Prematch Backend 2A'!327:327,_xlfn.MAKEARRAY(1,A327-2,_xlfn.LAMBDA(_xlpm.r,_xlpm.c,_xlpm.c))))</f>
        <v/>
      </c>
    </row>
    <row r="328" spans="2:2" x14ac:dyDescent="0.2">
      <c r="B328" t="str" cm="1">
        <f t="array" ref="B328">IF(A328="","",_xlfn.CHOOSECOLS('Prematch Backend 2A'!328:328,_xlfn.MAKEARRAY(1,A328-2,_xlfn.LAMBDA(_xlpm.r,_xlpm.c,_xlpm.c))))</f>
        <v/>
      </c>
    </row>
    <row r="329" spans="2:2" x14ac:dyDescent="0.2">
      <c r="B329" t="str" cm="1">
        <f t="array" ref="B329">IF(A329="","",_xlfn.CHOOSECOLS('Prematch Backend 2A'!329:329,_xlfn.MAKEARRAY(1,A329-2,_xlfn.LAMBDA(_xlpm.r,_xlpm.c,_xlpm.c))))</f>
        <v/>
      </c>
    </row>
    <row r="330" spans="2:2" x14ac:dyDescent="0.2">
      <c r="B330" t="str" cm="1">
        <f t="array" ref="B330">IF(A330="","",_xlfn.CHOOSECOLS('Prematch Backend 2A'!330:330,_xlfn.MAKEARRAY(1,A330-2,_xlfn.LAMBDA(_xlpm.r,_xlpm.c,_xlpm.c))))</f>
        <v/>
      </c>
    </row>
    <row r="331" spans="2:2" x14ac:dyDescent="0.2">
      <c r="B331" t="str" cm="1">
        <f t="array" ref="B331">IF(A331="","",_xlfn.CHOOSECOLS('Prematch Backend 2A'!331:331,_xlfn.MAKEARRAY(1,A331-2,_xlfn.LAMBDA(_xlpm.r,_xlpm.c,_xlpm.c))))</f>
        <v/>
      </c>
    </row>
    <row r="332" spans="2:2" x14ac:dyDescent="0.2">
      <c r="B332" t="str" cm="1">
        <f t="array" ref="B332">IF(A332="","",_xlfn.CHOOSECOLS('Prematch Backend 2A'!332:332,_xlfn.MAKEARRAY(1,A332-2,_xlfn.LAMBDA(_xlpm.r,_xlpm.c,_xlpm.c))))</f>
        <v/>
      </c>
    </row>
    <row r="333" spans="2:2" x14ac:dyDescent="0.2">
      <c r="B333" t="str" cm="1">
        <f t="array" ref="B333">IF(A333="","",_xlfn.CHOOSECOLS('Prematch Backend 2A'!333:333,_xlfn.MAKEARRAY(1,A333-2,_xlfn.LAMBDA(_xlpm.r,_xlpm.c,_xlpm.c))))</f>
        <v/>
      </c>
    </row>
    <row r="334" spans="2:2" x14ac:dyDescent="0.2">
      <c r="B334" t="str" cm="1">
        <f t="array" ref="B334">IF(A334="","",_xlfn.CHOOSECOLS('Prematch Backend 2A'!334:334,_xlfn.MAKEARRAY(1,A334-2,_xlfn.LAMBDA(_xlpm.r,_xlpm.c,_xlpm.c))))</f>
        <v/>
      </c>
    </row>
    <row r="335" spans="2:2" x14ac:dyDescent="0.2">
      <c r="B335" t="str" cm="1">
        <f t="array" ref="B335">IF(A335="","",_xlfn.CHOOSECOLS('Prematch Backend 2A'!335:335,_xlfn.MAKEARRAY(1,A335-2,_xlfn.LAMBDA(_xlpm.r,_xlpm.c,_xlpm.c))))</f>
        <v/>
      </c>
    </row>
    <row r="336" spans="2:2" x14ac:dyDescent="0.2">
      <c r="B336" t="str" cm="1">
        <f t="array" ref="B336">IF(A336="","",_xlfn.CHOOSECOLS('Prematch Backend 2A'!336:336,_xlfn.MAKEARRAY(1,A336-2,_xlfn.LAMBDA(_xlpm.r,_xlpm.c,_xlpm.c))))</f>
        <v/>
      </c>
    </row>
    <row r="337" spans="2:2" x14ac:dyDescent="0.2">
      <c r="B337" t="str" cm="1">
        <f t="array" ref="B337">IF(A337="","",_xlfn.CHOOSECOLS('Prematch Backend 2A'!337:337,_xlfn.MAKEARRAY(1,A337-2,_xlfn.LAMBDA(_xlpm.r,_xlpm.c,_xlpm.c))))</f>
        <v/>
      </c>
    </row>
    <row r="338" spans="2:2" x14ac:dyDescent="0.2">
      <c r="B338" t="str" cm="1">
        <f t="array" ref="B338">IF(A338="","",_xlfn.CHOOSECOLS('Prematch Backend 2A'!338:338,_xlfn.MAKEARRAY(1,A338-2,_xlfn.LAMBDA(_xlpm.r,_xlpm.c,_xlpm.c))))</f>
        <v/>
      </c>
    </row>
    <row r="339" spans="2:2" x14ac:dyDescent="0.2">
      <c r="B339" t="str" cm="1">
        <f t="array" ref="B339">IF(A339="","",_xlfn.CHOOSECOLS('Prematch Backend 2A'!339:339,_xlfn.MAKEARRAY(1,A339-2,_xlfn.LAMBDA(_xlpm.r,_xlpm.c,_xlpm.c))))</f>
        <v/>
      </c>
    </row>
    <row r="340" spans="2:2" x14ac:dyDescent="0.2">
      <c r="B340" t="str" cm="1">
        <f t="array" ref="B340">IF(A340="","",_xlfn.CHOOSECOLS('Prematch Backend 2A'!340:340,_xlfn.MAKEARRAY(1,A340-2,_xlfn.LAMBDA(_xlpm.r,_xlpm.c,_xlpm.c))))</f>
        <v/>
      </c>
    </row>
    <row r="341" spans="2:2" x14ac:dyDescent="0.2">
      <c r="B341" t="str" cm="1">
        <f t="array" ref="B341">IF(A341="","",_xlfn.CHOOSECOLS('Prematch Backend 2A'!341:341,_xlfn.MAKEARRAY(1,A341-2,_xlfn.LAMBDA(_xlpm.r,_xlpm.c,_xlpm.c))))</f>
        <v/>
      </c>
    </row>
    <row r="342" spans="2:2" x14ac:dyDescent="0.2">
      <c r="B342" t="str" cm="1">
        <f t="array" ref="B342">IF(A342="","",_xlfn.CHOOSECOLS('Prematch Backend 2A'!342:342,_xlfn.MAKEARRAY(1,A342-2,_xlfn.LAMBDA(_xlpm.r,_xlpm.c,_xlpm.c))))</f>
        <v/>
      </c>
    </row>
    <row r="343" spans="2:2" x14ac:dyDescent="0.2">
      <c r="B343" t="str" cm="1">
        <f t="array" ref="B343">IF(A343="","",_xlfn.CHOOSECOLS('Prematch Backend 2A'!343:343,_xlfn.MAKEARRAY(1,A343-2,_xlfn.LAMBDA(_xlpm.r,_xlpm.c,_xlpm.c))))</f>
        <v/>
      </c>
    </row>
    <row r="344" spans="2:2" x14ac:dyDescent="0.2">
      <c r="B344" t="str" cm="1">
        <f t="array" ref="B344">IF(A344="","",_xlfn.CHOOSECOLS('Prematch Backend 2A'!344:344,_xlfn.MAKEARRAY(1,A344-2,_xlfn.LAMBDA(_xlpm.r,_xlpm.c,_xlpm.c))))</f>
        <v/>
      </c>
    </row>
    <row r="345" spans="2:2" x14ac:dyDescent="0.2">
      <c r="B345" t="str" cm="1">
        <f t="array" ref="B345">IF(A345="","",_xlfn.CHOOSECOLS('Prematch Backend 2A'!345:345,_xlfn.MAKEARRAY(1,A345-2,_xlfn.LAMBDA(_xlpm.r,_xlpm.c,_xlpm.c))))</f>
        <v/>
      </c>
    </row>
    <row r="346" spans="2:2" x14ac:dyDescent="0.2">
      <c r="B346" t="str" cm="1">
        <f t="array" ref="B346">IF(A346="","",_xlfn.CHOOSECOLS('Prematch Backend 2A'!346:346,_xlfn.MAKEARRAY(1,A346-2,_xlfn.LAMBDA(_xlpm.r,_xlpm.c,_xlpm.c))))</f>
        <v/>
      </c>
    </row>
    <row r="347" spans="2:2" x14ac:dyDescent="0.2">
      <c r="B347" t="str" cm="1">
        <f t="array" ref="B347">IF(A347="","",_xlfn.CHOOSECOLS('Prematch Backend 2A'!347:347,_xlfn.MAKEARRAY(1,A347-2,_xlfn.LAMBDA(_xlpm.r,_xlpm.c,_xlpm.c))))</f>
        <v/>
      </c>
    </row>
    <row r="348" spans="2:2" x14ac:dyDescent="0.2">
      <c r="B348" t="str" cm="1">
        <f t="array" ref="B348">IF(A348="","",_xlfn.CHOOSECOLS('Prematch Backend 2A'!348:348,_xlfn.MAKEARRAY(1,A348-2,_xlfn.LAMBDA(_xlpm.r,_xlpm.c,_xlpm.c))))</f>
        <v/>
      </c>
    </row>
    <row r="349" spans="2:2" x14ac:dyDescent="0.2">
      <c r="B349" t="str" cm="1">
        <f t="array" ref="B349">IF(A349="","",_xlfn.CHOOSECOLS('Prematch Backend 2A'!349:349,_xlfn.MAKEARRAY(1,A349-2,_xlfn.LAMBDA(_xlpm.r,_xlpm.c,_xlpm.c))))</f>
        <v/>
      </c>
    </row>
    <row r="350" spans="2:2" x14ac:dyDescent="0.2">
      <c r="B350" t="str" cm="1">
        <f t="array" ref="B350">IF(A350="","",_xlfn.CHOOSECOLS('Prematch Backend 2A'!350:350,_xlfn.MAKEARRAY(1,A350-2,_xlfn.LAMBDA(_xlpm.r,_xlpm.c,_xlpm.c))))</f>
        <v/>
      </c>
    </row>
    <row r="351" spans="2:2" x14ac:dyDescent="0.2">
      <c r="B351" t="str" cm="1">
        <f t="array" ref="B351">IF(A351="","",_xlfn.CHOOSECOLS('Prematch Backend 2A'!351:351,_xlfn.MAKEARRAY(1,A351-2,_xlfn.LAMBDA(_xlpm.r,_xlpm.c,_xlpm.c))))</f>
        <v/>
      </c>
    </row>
    <row r="352" spans="2:2" x14ac:dyDescent="0.2">
      <c r="B352" t="str" cm="1">
        <f t="array" ref="B352">IF(A352="","",_xlfn.CHOOSECOLS('Prematch Backend 2A'!352:352,_xlfn.MAKEARRAY(1,A352-2,_xlfn.LAMBDA(_xlpm.r,_xlpm.c,_xlpm.c))))</f>
        <v/>
      </c>
    </row>
    <row r="353" spans="2:2" x14ac:dyDescent="0.2">
      <c r="B353" t="str" cm="1">
        <f t="array" ref="B353">IF(A353="","",_xlfn.CHOOSECOLS('Prematch Backend 2A'!353:353,_xlfn.MAKEARRAY(1,A353-2,_xlfn.LAMBDA(_xlpm.r,_xlpm.c,_xlpm.c))))</f>
        <v/>
      </c>
    </row>
    <row r="354" spans="2:2" x14ac:dyDescent="0.2">
      <c r="B354" t="str" cm="1">
        <f t="array" ref="B354">IF(A354="","",_xlfn.CHOOSECOLS('Prematch Backend 2A'!354:354,_xlfn.MAKEARRAY(1,A354-2,_xlfn.LAMBDA(_xlpm.r,_xlpm.c,_xlpm.c))))</f>
        <v/>
      </c>
    </row>
    <row r="355" spans="2:2" x14ac:dyDescent="0.2">
      <c r="B355" t="str" cm="1">
        <f t="array" ref="B355">IF(A355="","",_xlfn.CHOOSECOLS('Prematch Backend 2A'!355:355,_xlfn.MAKEARRAY(1,A355-2,_xlfn.LAMBDA(_xlpm.r,_xlpm.c,_xlpm.c))))</f>
        <v/>
      </c>
    </row>
    <row r="356" spans="2:2" x14ac:dyDescent="0.2">
      <c r="B356" t="str" cm="1">
        <f t="array" ref="B356">IF(A356="","",_xlfn.CHOOSECOLS('Prematch Backend 2A'!356:356,_xlfn.MAKEARRAY(1,A356-2,_xlfn.LAMBDA(_xlpm.r,_xlpm.c,_xlpm.c))))</f>
        <v/>
      </c>
    </row>
    <row r="357" spans="2:2" x14ac:dyDescent="0.2">
      <c r="B357" t="str" cm="1">
        <f t="array" ref="B357">IF(A357="","",_xlfn.CHOOSECOLS('Prematch Backend 2A'!357:357,_xlfn.MAKEARRAY(1,A357-2,_xlfn.LAMBDA(_xlpm.r,_xlpm.c,_xlpm.c))))</f>
        <v/>
      </c>
    </row>
    <row r="358" spans="2:2" x14ac:dyDescent="0.2">
      <c r="B358" t="str" cm="1">
        <f t="array" ref="B358">IF(A358="","",_xlfn.CHOOSECOLS('Prematch Backend 2A'!358:358,_xlfn.MAKEARRAY(1,A358-2,_xlfn.LAMBDA(_xlpm.r,_xlpm.c,_xlpm.c))))</f>
        <v/>
      </c>
    </row>
    <row r="359" spans="2:2" x14ac:dyDescent="0.2">
      <c r="B359" t="str" cm="1">
        <f t="array" ref="B359">IF(A359="","",_xlfn.CHOOSECOLS('Prematch Backend 2A'!359:359,_xlfn.MAKEARRAY(1,A359-2,_xlfn.LAMBDA(_xlpm.r,_xlpm.c,_xlpm.c))))</f>
        <v/>
      </c>
    </row>
    <row r="360" spans="2:2" x14ac:dyDescent="0.2">
      <c r="B360" t="str" cm="1">
        <f t="array" ref="B360">IF(A360="","",_xlfn.CHOOSECOLS('Prematch Backend 2A'!360:360,_xlfn.MAKEARRAY(1,A360-2,_xlfn.LAMBDA(_xlpm.r,_xlpm.c,_xlpm.c))))</f>
        <v/>
      </c>
    </row>
    <row r="361" spans="2:2" x14ac:dyDescent="0.2">
      <c r="B361" t="str" cm="1">
        <f t="array" ref="B361">IF(A361="","",_xlfn.CHOOSECOLS('Prematch Backend 2A'!361:361,_xlfn.MAKEARRAY(1,A361-2,_xlfn.LAMBDA(_xlpm.r,_xlpm.c,_xlpm.c))))</f>
        <v/>
      </c>
    </row>
    <row r="362" spans="2:2" x14ac:dyDescent="0.2">
      <c r="B362" t="str" cm="1">
        <f t="array" ref="B362">IF(A362="","",_xlfn.CHOOSECOLS('Prematch Backend 2A'!362:362,_xlfn.MAKEARRAY(1,A362-2,_xlfn.LAMBDA(_xlpm.r,_xlpm.c,_xlpm.c))))</f>
        <v/>
      </c>
    </row>
    <row r="363" spans="2:2" x14ac:dyDescent="0.2">
      <c r="B363" t="str" cm="1">
        <f t="array" ref="B363">IF(A363="","",_xlfn.CHOOSECOLS('Prematch Backend 2A'!363:363,_xlfn.MAKEARRAY(1,A363-2,_xlfn.LAMBDA(_xlpm.r,_xlpm.c,_xlpm.c))))</f>
        <v/>
      </c>
    </row>
    <row r="364" spans="2:2" x14ac:dyDescent="0.2">
      <c r="B364" t="str" cm="1">
        <f t="array" ref="B364">IF(A364="","",_xlfn.CHOOSECOLS('Prematch Backend 2A'!364:364,_xlfn.MAKEARRAY(1,A364-2,_xlfn.LAMBDA(_xlpm.r,_xlpm.c,_xlpm.c))))</f>
        <v/>
      </c>
    </row>
    <row r="365" spans="2:2" x14ac:dyDescent="0.2">
      <c r="B365" t="str" cm="1">
        <f t="array" ref="B365">IF(A365="","",_xlfn.CHOOSECOLS('Prematch Backend 2A'!365:365,_xlfn.MAKEARRAY(1,A365-2,_xlfn.LAMBDA(_xlpm.r,_xlpm.c,_xlpm.c))))</f>
        <v/>
      </c>
    </row>
    <row r="366" spans="2:2" x14ac:dyDescent="0.2">
      <c r="B366" t="str" cm="1">
        <f t="array" ref="B366">IF(A366="","",_xlfn.CHOOSECOLS('Prematch Backend 2A'!366:366,_xlfn.MAKEARRAY(1,A366-2,_xlfn.LAMBDA(_xlpm.r,_xlpm.c,_xlpm.c))))</f>
        <v/>
      </c>
    </row>
    <row r="367" spans="2:2" x14ac:dyDescent="0.2">
      <c r="B367" t="str" cm="1">
        <f t="array" ref="B367">IF(A367="","",_xlfn.CHOOSECOLS('Prematch Backend 2A'!367:367,_xlfn.MAKEARRAY(1,A367-2,_xlfn.LAMBDA(_xlpm.r,_xlpm.c,_xlpm.c))))</f>
        <v/>
      </c>
    </row>
    <row r="368" spans="2:2" x14ac:dyDescent="0.2">
      <c r="B368" t="str" cm="1">
        <f t="array" ref="B368">IF(A368="","",_xlfn.CHOOSECOLS('Prematch Backend 2A'!368:368,_xlfn.MAKEARRAY(1,A368-2,_xlfn.LAMBDA(_xlpm.r,_xlpm.c,_xlpm.c))))</f>
        <v/>
      </c>
    </row>
    <row r="369" spans="2:2" x14ac:dyDescent="0.2">
      <c r="B369" t="str" cm="1">
        <f t="array" ref="B369">IF(A369="","",_xlfn.CHOOSECOLS('Prematch Backend 2A'!369:369,_xlfn.MAKEARRAY(1,A369-2,_xlfn.LAMBDA(_xlpm.r,_xlpm.c,_xlpm.c))))</f>
        <v/>
      </c>
    </row>
    <row r="370" spans="2:2" x14ac:dyDescent="0.2">
      <c r="B370" t="str" cm="1">
        <f t="array" ref="B370">IF(A370="","",_xlfn.CHOOSECOLS('Prematch Backend 2A'!370:370,_xlfn.MAKEARRAY(1,A370-2,_xlfn.LAMBDA(_xlpm.r,_xlpm.c,_xlpm.c))))</f>
        <v/>
      </c>
    </row>
    <row r="371" spans="2:2" x14ac:dyDescent="0.2">
      <c r="B371" t="str" cm="1">
        <f t="array" ref="B371">IF(A371="","",_xlfn.CHOOSECOLS('Prematch Backend 2A'!371:371,_xlfn.MAKEARRAY(1,A371-2,_xlfn.LAMBDA(_xlpm.r,_xlpm.c,_xlpm.c))))</f>
        <v/>
      </c>
    </row>
    <row r="372" spans="2:2" x14ac:dyDescent="0.2">
      <c r="B372" t="str" cm="1">
        <f t="array" ref="B372">IF(A372="","",_xlfn.CHOOSECOLS('Prematch Backend 2A'!372:372,_xlfn.MAKEARRAY(1,A372-2,_xlfn.LAMBDA(_xlpm.r,_xlpm.c,_xlpm.c))))</f>
        <v/>
      </c>
    </row>
    <row r="373" spans="2:2" x14ac:dyDescent="0.2">
      <c r="B373" t="str" cm="1">
        <f t="array" ref="B373">IF(A373="","",_xlfn.CHOOSECOLS('Prematch Backend 2A'!373:373,_xlfn.MAKEARRAY(1,A373-2,_xlfn.LAMBDA(_xlpm.r,_xlpm.c,_xlpm.c))))</f>
        <v/>
      </c>
    </row>
    <row r="374" spans="2:2" x14ac:dyDescent="0.2">
      <c r="B374" t="str" cm="1">
        <f t="array" ref="B374">IF(A374="","",_xlfn.CHOOSECOLS('Prematch Backend 2A'!374:374,_xlfn.MAKEARRAY(1,A374-2,_xlfn.LAMBDA(_xlpm.r,_xlpm.c,_xlpm.c))))</f>
        <v/>
      </c>
    </row>
    <row r="375" spans="2:2" x14ac:dyDescent="0.2">
      <c r="B375" t="str" cm="1">
        <f t="array" ref="B375">IF(A375="","",_xlfn.CHOOSECOLS('Prematch Backend 2A'!375:375,_xlfn.MAKEARRAY(1,A375-2,_xlfn.LAMBDA(_xlpm.r,_xlpm.c,_xlpm.c))))</f>
        <v/>
      </c>
    </row>
    <row r="376" spans="2:2" x14ac:dyDescent="0.2">
      <c r="B376" t="str" cm="1">
        <f t="array" ref="B376">IF(A376="","",_xlfn.CHOOSECOLS('Prematch Backend 2A'!376:376,_xlfn.MAKEARRAY(1,A376-2,_xlfn.LAMBDA(_xlpm.r,_xlpm.c,_xlpm.c))))</f>
        <v/>
      </c>
    </row>
    <row r="377" spans="2:2" x14ac:dyDescent="0.2">
      <c r="B377" t="str" cm="1">
        <f t="array" ref="B377">IF(A377="","",_xlfn.CHOOSECOLS('Prematch Backend 2A'!377:377,_xlfn.MAKEARRAY(1,A377-2,_xlfn.LAMBDA(_xlpm.r,_xlpm.c,_xlpm.c))))</f>
        <v/>
      </c>
    </row>
    <row r="378" spans="2:2" x14ac:dyDescent="0.2">
      <c r="B378" t="str" cm="1">
        <f t="array" ref="B378">IF(A378="","",_xlfn.CHOOSECOLS('Prematch Backend 2A'!378:378,_xlfn.MAKEARRAY(1,A378-2,_xlfn.LAMBDA(_xlpm.r,_xlpm.c,_xlpm.c))))</f>
        <v/>
      </c>
    </row>
    <row r="379" spans="2:2" x14ac:dyDescent="0.2">
      <c r="B379" t="str" cm="1">
        <f t="array" ref="B379">IF(A379="","",_xlfn.CHOOSECOLS('Prematch Backend 2A'!379:379,_xlfn.MAKEARRAY(1,A379-2,_xlfn.LAMBDA(_xlpm.r,_xlpm.c,_xlpm.c))))</f>
        <v/>
      </c>
    </row>
    <row r="380" spans="2:2" x14ac:dyDescent="0.2">
      <c r="B380" t="str" cm="1">
        <f t="array" ref="B380">IF(A380="","",_xlfn.CHOOSECOLS('Prematch Backend 2A'!380:380,_xlfn.MAKEARRAY(1,A380-2,_xlfn.LAMBDA(_xlpm.r,_xlpm.c,_xlpm.c))))</f>
        <v/>
      </c>
    </row>
    <row r="381" spans="2:2" x14ac:dyDescent="0.2">
      <c r="B381" t="str" cm="1">
        <f t="array" ref="B381">IF(A381="","",_xlfn.CHOOSECOLS('Prematch Backend 2A'!381:381,_xlfn.MAKEARRAY(1,A381-2,_xlfn.LAMBDA(_xlpm.r,_xlpm.c,_xlpm.c))))</f>
        <v/>
      </c>
    </row>
    <row r="382" spans="2:2" x14ac:dyDescent="0.2">
      <c r="B382" t="str" cm="1">
        <f t="array" ref="B382">IF(A382="","",_xlfn.CHOOSECOLS('Prematch Backend 2A'!382:382,_xlfn.MAKEARRAY(1,A382-2,_xlfn.LAMBDA(_xlpm.r,_xlpm.c,_xlpm.c))))</f>
        <v/>
      </c>
    </row>
    <row r="383" spans="2:2" x14ac:dyDescent="0.2">
      <c r="B383" t="str" cm="1">
        <f t="array" ref="B383">IF(A383="","",_xlfn.CHOOSECOLS('Prematch Backend 2A'!383:383,_xlfn.MAKEARRAY(1,A383-2,_xlfn.LAMBDA(_xlpm.r,_xlpm.c,_xlpm.c))))</f>
        <v/>
      </c>
    </row>
    <row r="384" spans="2:2" x14ac:dyDescent="0.2">
      <c r="B384" t="str" cm="1">
        <f t="array" ref="B384">IF(A384="","",_xlfn.CHOOSECOLS('Prematch Backend 2A'!384:384,_xlfn.MAKEARRAY(1,A384-2,_xlfn.LAMBDA(_xlpm.r,_xlpm.c,_xlpm.c))))</f>
        <v/>
      </c>
    </row>
    <row r="385" spans="2:2" x14ac:dyDescent="0.2">
      <c r="B385" t="str" cm="1">
        <f t="array" ref="B385">IF(A385="","",_xlfn.CHOOSECOLS('Prematch Backend 2A'!385:385,_xlfn.MAKEARRAY(1,A385-2,_xlfn.LAMBDA(_xlpm.r,_xlpm.c,_xlpm.c))))</f>
        <v/>
      </c>
    </row>
    <row r="386" spans="2:2" x14ac:dyDescent="0.2">
      <c r="B386" t="str" cm="1">
        <f t="array" ref="B386">IF(A386="","",_xlfn.CHOOSECOLS('Prematch Backend 2A'!386:386,_xlfn.MAKEARRAY(1,A386-2,_xlfn.LAMBDA(_xlpm.r,_xlpm.c,_xlpm.c))))</f>
        <v/>
      </c>
    </row>
    <row r="387" spans="2:2" x14ac:dyDescent="0.2">
      <c r="B387" t="str" cm="1">
        <f t="array" ref="B387">IF(A387="","",_xlfn.CHOOSECOLS('Prematch Backend 2A'!387:387,_xlfn.MAKEARRAY(1,A387-2,_xlfn.LAMBDA(_xlpm.r,_xlpm.c,_xlpm.c))))</f>
        <v/>
      </c>
    </row>
    <row r="388" spans="2:2" x14ac:dyDescent="0.2">
      <c r="B388" t="str" cm="1">
        <f t="array" ref="B388">IF(A388="","",_xlfn.CHOOSECOLS('Prematch Backend 2A'!388:388,_xlfn.MAKEARRAY(1,A388-2,_xlfn.LAMBDA(_xlpm.r,_xlpm.c,_xlpm.c))))</f>
        <v/>
      </c>
    </row>
    <row r="389" spans="2:2" x14ac:dyDescent="0.2">
      <c r="B389" t="str" cm="1">
        <f t="array" ref="B389">IF(A389="","",_xlfn.CHOOSECOLS('Prematch Backend 2A'!389:389,_xlfn.MAKEARRAY(1,A389-2,_xlfn.LAMBDA(_xlpm.r,_xlpm.c,_xlpm.c))))</f>
        <v/>
      </c>
    </row>
    <row r="390" spans="2:2" x14ac:dyDescent="0.2">
      <c r="B390" t="str" cm="1">
        <f t="array" ref="B390">IF(A390="","",_xlfn.CHOOSECOLS('Prematch Backend 2A'!390:390,_xlfn.MAKEARRAY(1,A390-2,_xlfn.LAMBDA(_xlpm.r,_xlpm.c,_xlpm.c))))</f>
        <v/>
      </c>
    </row>
    <row r="391" spans="2:2" x14ac:dyDescent="0.2">
      <c r="B391" t="str" cm="1">
        <f t="array" ref="B391">IF(A391="","",_xlfn.CHOOSECOLS('Prematch Backend 2A'!391:391,_xlfn.MAKEARRAY(1,A391-2,_xlfn.LAMBDA(_xlpm.r,_xlpm.c,_xlpm.c))))</f>
        <v/>
      </c>
    </row>
    <row r="392" spans="2:2" x14ac:dyDescent="0.2">
      <c r="B392" t="str" cm="1">
        <f t="array" ref="B392">IF(A392="","",_xlfn.CHOOSECOLS('Prematch Backend 2A'!392:392,_xlfn.MAKEARRAY(1,A392-2,_xlfn.LAMBDA(_xlpm.r,_xlpm.c,_xlpm.c))))</f>
        <v/>
      </c>
    </row>
    <row r="393" spans="2:2" x14ac:dyDescent="0.2">
      <c r="B393" t="str" cm="1">
        <f t="array" ref="B393">IF(A393="","",_xlfn.CHOOSECOLS('Prematch Backend 2A'!393:393,_xlfn.MAKEARRAY(1,A393-2,_xlfn.LAMBDA(_xlpm.r,_xlpm.c,_xlpm.c))))</f>
        <v/>
      </c>
    </row>
    <row r="394" spans="2:2" x14ac:dyDescent="0.2">
      <c r="B394" t="str" cm="1">
        <f t="array" ref="B394">IF(A394="","",_xlfn.CHOOSECOLS('Prematch Backend 2A'!394:394,_xlfn.MAKEARRAY(1,A394-2,_xlfn.LAMBDA(_xlpm.r,_xlpm.c,_xlpm.c))))</f>
        <v/>
      </c>
    </row>
    <row r="395" spans="2:2" x14ac:dyDescent="0.2">
      <c r="B395" t="str" cm="1">
        <f t="array" ref="B395">IF(A395="","",_xlfn.CHOOSECOLS('Prematch Backend 2A'!395:395,_xlfn.MAKEARRAY(1,A395-2,_xlfn.LAMBDA(_xlpm.r,_xlpm.c,_xlpm.c))))</f>
        <v/>
      </c>
    </row>
    <row r="396" spans="2:2" x14ac:dyDescent="0.2">
      <c r="B396" t="str" cm="1">
        <f t="array" ref="B396">IF(A396="","",_xlfn.CHOOSECOLS('Prematch Backend 2A'!396:396,_xlfn.MAKEARRAY(1,A396-2,_xlfn.LAMBDA(_xlpm.r,_xlpm.c,_xlpm.c))))</f>
        <v/>
      </c>
    </row>
    <row r="397" spans="2:2" x14ac:dyDescent="0.2">
      <c r="B397" t="str" cm="1">
        <f t="array" ref="B397">IF(A397="","",_xlfn.CHOOSECOLS('Prematch Backend 2A'!397:397,_xlfn.MAKEARRAY(1,A397-2,_xlfn.LAMBDA(_xlpm.r,_xlpm.c,_xlpm.c))))</f>
        <v/>
      </c>
    </row>
    <row r="398" spans="2:2" x14ac:dyDescent="0.2">
      <c r="B398" t="str" cm="1">
        <f t="array" ref="B398">IF(A398="","",_xlfn.CHOOSECOLS('Prematch Backend 2A'!398:398,_xlfn.MAKEARRAY(1,A398-2,_xlfn.LAMBDA(_xlpm.r,_xlpm.c,_xlpm.c))))</f>
        <v/>
      </c>
    </row>
    <row r="399" spans="2:2" x14ac:dyDescent="0.2">
      <c r="B399" t="str" cm="1">
        <f t="array" ref="B399">IF(A399="","",_xlfn.CHOOSECOLS('Prematch Backend 2A'!399:399,_xlfn.MAKEARRAY(1,A399-2,_xlfn.LAMBDA(_xlpm.r,_xlpm.c,_xlpm.c))))</f>
        <v/>
      </c>
    </row>
    <row r="400" spans="2:2" x14ac:dyDescent="0.2">
      <c r="B400" t="str" cm="1">
        <f t="array" ref="B400">IF(A400="","",_xlfn.CHOOSECOLS('Prematch Backend 2A'!400:400,_xlfn.MAKEARRAY(1,A400-2,_xlfn.LAMBDA(_xlpm.r,_xlpm.c,_xlpm.c))))</f>
        <v/>
      </c>
    </row>
    <row r="401" spans="2:2" x14ac:dyDescent="0.2">
      <c r="B401" t="str" cm="1">
        <f t="array" ref="B401">IF(A401="","",_xlfn.CHOOSECOLS('Prematch Backend 2A'!401:401,_xlfn.MAKEARRAY(1,A401-2,_xlfn.LAMBDA(_xlpm.r,_xlpm.c,_xlpm.c))))</f>
        <v/>
      </c>
    </row>
    <row r="402" spans="2:2" x14ac:dyDescent="0.2">
      <c r="B402" t="str" cm="1">
        <f t="array" ref="B402">IF(A402="","",_xlfn.CHOOSECOLS('Prematch Backend 2A'!402:402,_xlfn.MAKEARRAY(1,A402-2,_xlfn.LAMBDA(_xlpm.r,_xlpm.c,_xlpm.c))))</f>
        <v/>
      </c>
    </row>
    <row r="403" spans="2:2" x14ac:dyDescent="0.2">
      <c r="B403" t="str" cm="1">
        <f t="array" ref="B403">IF(A403="","",_xlfn.CHOOSECOLS('Prematch Backend 2A'!403:403,_xlfn.MAKEARRAY(1,A403-2,_xlfn.LAMBDA(_xlpm.r,_xlpm.c,_xlpm.c))))</f>
        <v/>
      </c>
    </row>
    <row r="404" spans="2:2" x14ac:dyDescent="0.2">
      <c r="B404" t="str" cm="1">
        <f t="array" ref="B404">IF(A404="","",_xlfn.CHOOSECOLS('Prematch Backend 2A'!404:404,_xlfn.MAKEARRAY(1,A404-2,_xlfn.LAMBDA(_xlpm.r,_xlpm.c,_xlpm.c))))</f>
        <v/>
      </c>
    </row>
    <row r="405" spans="2:2" x14ac:dyDescent="0.2">
      <c r="B405" t="str" cm="1">
        <f t="array" ref="B405">IF(A405="","",_xlfn.CHOOSECOLS('Prematch Backend 2A'!405:405,_xlfn.MAKEARRAY(1,A405-2,_xlfn.LAMBDA(_xlpm.r,_xlpm.c,_xlpm.c))))</f>
        <v/>
      </c>
    </row>
    <row r="406" spans="2:2" x14ac:dyDescent="0.2">
      <c r="B406" t="str" cm="1">
        <f t="array" ref="B406">IF(A406="","",_xlfn.CHOOSECOLS('Prematch Backend 2A'!406:406,_xlfn.MAKEARRAY(1,A406-2,_xlfn.LAMBDA(_xlpm.r,_xlpm.c,_xlpm.c))))</f>
        <v/>
      </c>
    </row>
    <row r="407" spans="2:2" x14ac:dyDescent="0.2">
      <c r="B407" t="str" cm="1">
        <f t="array" ref="B407">IF(A407="","",_xlfn.CHOOSECOLS('Prematch Backend 2A'!407:407,_xlfn.MAKEARRAY(1,A407-2,_xlfn.LAMBDA(_xlpm.r,_xlpm.c,_xlpm.c))))</f>
        <v/>
      </c>
    </row>
    <row r="408" spans="2:2" x14ac:dyDescent="0.2">
      <c r="B408" t="str" cm="1">
        <f t="array" ref="B408">IF(A408="","",_xlfn.CHOOSECOLS('Prematch Backend 2A'!408:408,_xlfn.MAKEARRAY(1,A408-2,_xlfn.LAMBDA(_xlpm.r,_xlpm.c,_xlpm.c))))</f>
        <v/>
      </c>
    </row>
    <row r="409" spans="2:2" x14ac:dyDescent="0.2">
      <c r="B409" t="str" cm="1">
        <f t="array" ref="B409">IF(A409="","",_xlfn.CHOOSECOLS('Prematch Backend 2A'!409:409,_xlfn.MAKEARRAY(1,A409-2,_xlfn.LAMBDA(_xlpm.r,_xlpm.c,_xlpm.c))))</f>
        <v/>
      </c>
    </row>
    <row r="410" spans="2:2" x14ac:dyDescent="0.2">
      <c r="B410" t="str" cm="1">
        <f t="array" ref="B410">IF(A410="","",_xlfn.CHOOSECOLS('Prematch Backend 2A'!410:410,_xlfn.MAKEARRAY(1,A410-2,_xlfn.LAMBDA(_xlpm.r,_xlpm.c,_xlpm.c))))</f>
        <v/>
      </c>
    </row>
    <row r="411" spans="2:2" x14ac:dyDescent="0.2">
      <c r="B411" t="str" cm="1">
        <f t="array" ref="B411">IF(A411="","",_xlfn.CHOOSECOLS('Prematch Backend 2A'!411:411,_xlfn.MAKEARRAY(1,A411-2,_xlfn.LAMBDA(_xlpm.r,_xlpm.c,_xlpm.c))))</f>
        <v/>
      </c>
    </row>
    <row r="412" spans="2:2" x14ac:dyDescent="0.2">
      <c r="B412" t="str" cm="1">
        <f t="array" ref="B412">IF(A412="","",_xlfn.CHOOSECOLS('Prematch Backend 2A'!412:412,_xlfn.MAKEARRAY(1,A412-2,_xlfn.LAMBDA(_xlpm.r,_xlpm.c,_xlpm.c))))</f>
        <v/>
      </c>
    </row>
    <row r="413" spans="2:2" x14ac:dyDescent="0.2">
      <c r="B413" t="str" cm="1">
        <f t="array" ref="B413">IF(A413="","",_xlfn.CHOOSECOLS('Prematch Backend 2A'!413:413,_xlfn.MAKEARRAY(1,A413-2,_xlfn.LAMBDA(_xlpm.r,_xlpm.c,_xlpm.c))))</f>
        <v/>
      </c>
    </row>
    <row r="414" spans="2:2" x14ac:dyDescent="0.2">
      <c r="B414" t="str" cm="1">
        <f t="array" ref="B414">IF(A414="","",_xlfn.CHOOSECOLS('Prematch Backend 2A'!414:414,_xlfn.MAKEARRAY(1,A414-2,_xlfn.LAMBDA(_xlpm.r,_xlpm.c,_xlpm.c))))</f>
        <v/>
      </c>
    </row>
    <row r="415" spans="2:2" x14ac:dyDescent="0.2">
      <c r="B415" t="str" cm="1">
        <f t="array" ref="B415">IF(A415="","",_xlfn.CHOOSECOLS('Prematch Backend 2A'!415:415,_xlfn.MAKEARRAY(1,A415-2,_xlfn.LAMBDA(_xlpm.r,_xlpm.c,_xlpm.c))))</f>
        <v/>
      </c>
    </row>
    <row r="416" spans="2:2" x14ac:dyDescent="0.2">
      <c r="B416" t="str" cm="1">
        <f t="array" ref="B416">IF(A416="","",_xlfn.CHOOSECOLS('Prematch Backend 2A'!416:416,_xlfn.MAKEARRAY(1,A416-2,_xlfn.LAMBDA(_xlpm.r,_xlpm.c,_xlpm.c))))</f>
        <v/>
      </c>
    </row>
    <row r="417" spans="2:2" x14ac:dyDescent="0.2">
      <c r="B417" t="str" cm="1">
        <f t="array" ref="B417">IF(A417="","",_xlfn.CHOOSECOLS('Prematch Backend 2A'!417:417,_xlfn.MAKEARRAY(1,A417-2,_xlfn.LAMBDA(_xlpm.r,_xlpm.c,_xlpm.c))))</f>
        <v/>
      </c>
    </row>
    <row r="418" spans="2:2" x14ac:dyDescent="0.2">
      <c r="B418" t="str" cm="1">
        <f t="array" ref="B418">IF(A418="","",_xlfn.CHOOSECOLS('Prematch Backend 2A'!418:418,_xlfn.MAKEARRAY(1,A418-2,_xlfn.LAMBDA(_xlpm.r,_xlpm.c,_xlpm.c))))</f>
        <v/>
      </c>
    </row>
    <row r="419" spans="2:2" x14ac:dyDescent="0.2">
      <c r="B419" t="str" cm="1">
        <f t="array" ref="B419">IF(A419="","",_xlfn.CHOOSECOLS('Prematch Backend 2A'!419:419,_xlfn.MAKEARRAY(1,A419-2,_xlfn.LAMBDA(_xlpm.r,_xlpm.c,_xlpm.c))))</f>
        <v/>
      </c>
    </row>
    <row r="420" spans="2:2" x14ac:dyDescent="0.2">
      <c r="B420" t="str" cm="1">
        <f t="array" ref="B420">IF(A420="","",_xlfn.CHOOSECOLS('Prematch Backend 2A'!420:420,_xlfn.MAKEARRAY(1,A420-2,_xlfn.LAMBDA(_xlpm.r,_xlpm.c,_xlpm.c))))</f>
        <v/>
      </c>
    </row>
    <row r="421" spans="2:2" x14ac:dyDescent="0.2">
      <c r="B421" t="str" cm="1">
        <f t="array" ref="B421">IF(A421="","",_xlfn.CHOOSECOLS('Prematch Backend 2A'!421:421,_xlfn.MAKEARRAY(1,A421-2,_xlfn.LAMBDA(_xlpm.r,_xlpm.c,_xlpm.c))))</f>
        <v/>
      </c>
    </row>
    <row r="422" spans="2:2" x14ac:dyDescent="0.2">
      <c r="B422" t="str" cm="1">
        <f t="array" ref="B422">IF(A422="","",_xlfn.CHOOSECOLS('Prematch Backend 2A'!422:422,_xlfn.MAKEARRAY(1,A422-2,_xlfn.LAMBDA(_xlpm.r,_xlpm.c,_xlpm.c))))</f>
        <v/>
      </c>
    </row>
    <row r="423" spans="2:2" x14ac:dyDescent="0.2">
      <c r="B423" t="str" cm="1">
        <f t="array" ref="B423">IF(A423="","",_xlfn.CHOOSECOLS('Prematch Backend 2A'!423:423,_xlfn.MAKEARRAY(1,A423-2,_xlfn.LAMBDA(_xlpm.r,_xlpm.c,_xlpm.c))))</f>
        <v/>
      </c>
    </row>
    <row r="424" spans="2:2" x14ac:dyDescent="0.2">
      <c r="B424" t="str" cm="1">
        <f t="array" ref="B424">IF(A424="","",_xlfn.CHOOSECOLS('Prematch Backend 2A'!424:424,_xlfn.MAKEARRAY(1,A424-2,_xlfn.LAMBDA(_xlpm.r,_xlpm.c,_xlpm.c))))</f>
        <v/>
      </c>
    </row>
    <row r="425" spans="2:2" x14ac:dyDescent="0.2">
      <c r="B425" t="str" cm="1">
        <f t="array" ref="B425">IF(A425="","",_xlfn.CHOOSECOLS('Prematch Backend 2A'!425:425,_xlfn.MAKEARRAY(1,A425-2,_xlfn.LAMBDA(_xlpm.r,_xlpm.c,_xlpm.c))))</f>
        <v/>
      </c>
    </row>
    <row r="426" spans="2:2" x14ac:dyDescent="0.2">
      <c r="B426" t="str" cm="1">
        <f t="array" ref="B426">IF(A426="","",_xlfn.CHOOSECOLS('Prematch Backend 2A'!426:426,_xlfn.MAKEARRAY(1,A426-2,_xlfn.LAMBDA(_xlpm.r,_xlpm.c,_xlpm.c))))</f>
        <v/>
      </c>
    </row>
    <row r="427" spans="2:2" x14ac:dyDescent="0.2">
      <c r="B427" t="str" cm="1">
        <f t="array" ref="B427">IF(A427="","",_xlfn.CHOOSECOLS('Prematch Backend 2A'!427:427,_xlfn.MAKEARRAY(1,A427-2,_xlfn.LAMBDA(_xlpm.r,_xlpm.c,_xlpm.c))))</f>
        <v/>
      </c>
    </row>
    <row r="428" spans="2:2" x14ac:dyDescent="0.2">
      <c r="B428" t="str" cm="1">
        <f t="array" ref="B428">IF(A428="","",_xlfn.CHOOSECOLS('Prematch Backend 2A'!428:428,_xlfn.MAKEARRAY(1,A428-2,_xlfn.LAMBDA(_xlpm.r,_xlpm.c,_xlpm.c))))</f>
        <v/>
      </c>
    </row>
    <row r="429" spans="2:2" x14ac:dyDescent="0.2">
      <c r="B429" t="str" cm="1">
        <f t="array" ref="B429">IF(A429="","",_xlfn.CHOOSECOLS('Prematch Backend 2A'!429:429,_xlfn.MAKEARRAY(1,A429-2,_xlfn.LAMBDA(_xlpm.r,_xlpm.c,_xlpm.c))))</f>
        <v/>
      </c>
    </row>
    <row r="430" spans="2:2" x14ac:dyDescent="0.2">
      <c r="B430" t="str" cm="1">
        <f t="array" ref="B430">IF(A430="","",_xlfn.CHOOSECOLS('Prematch Backend 2A'!430:430,_xlfn.MAKEARRAY(1,A430-2,_xlfn.LAMBDA(_xlpm.r,_xlpm.c,_xlpm.c))))</f>
        <v/>
      </c>
    </row>
    <row r="431" spans="2:2" x14ac:dyDescent="0.2">
      <c r="B431" t="str" cm="1">
        <f t="array" ref="B431">IF(A431="","",_xlfn.CHOOSECOLS('Prematch Backend 2A'!431:431,_xlfn.MAKEARRAY(1,A431-2,_xlfn.LAMBDA(_xlpm.r,_xlpm.c,_xlpm.c))))</f>
        <v/>
      </c>
    </row>
    <row r="432" spans="2:2" x14ac:dyDescent="0.2">
      <c r="B432" t="str" cm="1">
        <f t="array" ref="B432">IF(A432="","",_xlfn.CHOOSECOLS('Prematch Backend 2A'!432:432,_xlfn.MAKEARRAY(1,A432-2,_xlfn.LAMBDA(_xlpm.r,_xlpm.c,_xlpm.c))))</f>
        <v/>
      </c>
    </row>
    <row r="433" spans="2:2" x14ac:dyDescent="0.2">
      <c r="B433" t="str" cm="1">
        <f t="array" ref="B433">IF(A433="","",_xlfn.CHOOSECOLS('Prematch Backend 2A'!433:433,_xlfn.MAKEARRAY(1,A433-2,_xlfn.LAMBDA(_xlpm.r,_xlpm.c,_xlpm.c))))</f>
        <v/>
      </c>
    </row>
    <row r="434" spans="2:2" x14ac:dyDescent="0.2">
      <c r="B434" t="str" cm="1">
        <f t="array" ref="B434">IF(A434="","",_xlfn.CHOOSECOLS('Prematch Backend 2A'!434:434,_xlfn.MAKEARRAY(1,A434-2,_xlfn.LAMBDA(_xlpm.r,_xlpm.c,_xlpm.c))))</f>
        <v/>
      </c>
    </row>
    <row r="435" spans="2:2" x14ac:dyDescent="0.2">
      <c r="B435" t="str" cm="1">
        <f t="array" ref="B435">IF(A435="","",_xlfn.CHOOSECOLS('Prematch Backend 2A'!435:435,_xlfn.MAKEARRAY(1,A435-2,_xlfn.LAMBDA(_xlpm.r,_xlpm.c,_xlpm.c))))</f>
        <v/>
      </c>
    </row>
    <row r="436" spans="2:2" x14ac:dyDescent="0.2">
      <c r="B436" t="str" cm="1">
        <f t="array" ref="B436">IF(A436="","",_xlfn.CHOOSECOLS('Prematch Backend 2A'!436:436,_xlfn.MAKEARRAY(1,A436-2,_xlfn.LAMBDA(_xlpm.r,_xlpm.c,_xlpm.c))))</f>
        <v/>
      </c>
    </row>
    <row r="437" spans="2:2" x14ac:dyDescent="0.2">
      <c r="B437" t="str" cm="1">
        <f t="array" ref="B437">IF(A437="","",_xlfn.CHOOSECOLS('Prematch Backend 2A'!437:437,_xlfn.MAKEARRAY(1,A437-2,_xlfn.LAMBDA(_xlpm.r,_xlpm.c,_xlpm.c))))</f>
        <v/>
      </c>
    </row>
    <row r="438" spans="2:2" x14ac:dyDescent="0.2">
      <c r="B438" t="str" cm="1">
        <f t="array" ref="B438">IF(A438="","",_xlfn.CHOOSECOLS('Prematch Backend 2A'!438:438,_xlfn.MAKEARRAY(1,A438-2,_xlfn.LAMBDA(_xlpm.r,_xlpm.c,_xlpm.c))))</f>
        <v/>
      </c>
    </row>
    <row r="439" spans="2:2" x14ac:dyDescent="0.2">
      <c r="B439" t="str" cm="1">
        <f t="array" ref="B439">IF(A439="","",_xlfn.CHOOSECOLS('Prematch Backend 2A'!439:439,_xlfn.MAKEARRAY(1,A439-2,_xlfn.LAMBDA(_xlpm.r,_xlpm.c,_xlpm.c))))</f>
        <v/>
      </c>
    </row>
    <row r="440" spans="2:2" x14ac:dyDescent="0.2">
      <c r="B440" t="str" cm="1">
        <f t="array" ref="B440">IF(A440="","",_xlfn.CHOOSECOLS('Prematch Backend 2A'!440:440,_xlfn.MAKEARRAY(1,A440-2,_xlfn.LAMBDA(_xlpm.r,_xlpm.c,_xlpm.c))))</f>
        <v/>
      </c>
    </row>
    <row r="441" spans="2:2" x14ac:dyDescent="0.2">
      <c r="B441" t="str" cm="1">
        <f t="array" ref="B441">IF(A441="","",_xlfn.CHOOSECOLS('Prematch Backend 2A'!441:441,_xlfn.MAKEARRAY(1,A441-2,_xlfn.LAMBDA(_xlpm.r,_xlpm.c,_xlpm.c))))</f>
        <v/>
      </c>
    </row>
    <row r="442" spans="2:2" x14ac:dyDescent="0.2">
      <c r="B442" t="str" cm="1">
        <f t="array" ref="B442">IF(A442="","",_xlfn.CHOOSECOLS('Prematch Backend 2A'!442:442,_xlfn.MAKEARRAY(1,A442-2,_xlfn.LAMBDA(_xlpm.r,_xlpm.c,_xlpm.c))))</f>
        <v/>
      </c>
    </row>
    <row r="443" spans="2:2" x14ac:dyDescent="0.2">
      <c r="B443" t="str" cm="1">
        <f t="array" ref="B443">IF(A443="","",_xlfn.CHOOSECOLS('Prematch Backend 2A'!443:443,_xlfn.MAKEARRAY(1,A443-2,_xlfn.LAMBDA(_xlpm.r,_xlpm.c,_xlpm.c))))</f>
        <v/>
      </c>
    </row>
    <row r="444" spans="2:2" x14ac:dyDescent="0.2">
      <c r="B444" t="str" cm="1">
        <f t="array" ref="B444">IF(A444="","",_xlfn.CHOOSECOLS('Prematch Backend 2A'!444:444,_xlfn.MAKEARRAY(1,A444-2,_xlfn.LAMBDA(_xlpm.r,_xlpm.c,_xlpm.c))))</f>
        <v/>
      </c>
    </row>
    <row r="445" spans="2:2" x14ac:dyDescent="0.2">
      <c r="B445" t="str" cm="1">
        <f t="array" ref="B445">IF(A445="","",_xlfn.CHOOSECOLS('Prematch Backend 2A'!445:445,_xlfn.MAKEARRAY(1,A445-2,_xlfn.LAMBDA(_xlpm.r,_xlpm.c,_xlpm.c))))</f>
        <v/>
      </c>
    </row>
    <row r="446" spans="2:2" x14ac:dyDescent="0.2">
      <c r="B446" t="str" cm="1">
        <f t="array" ref="B446">IF(A446="","",_xlfn.CHOOSECOLS('Prematch Backend 2A'!446:446,_xlfn.MAKEARRAY(1,A446-2,_xlfn.LAMBDA(_xlpm.r,_xlpm.c,_xlpm.c))))</f>
        <v/>
      </c>
    </row>
    <row r="447" spans="2:2" x14ac:dyDescent="0.2">
      <c r="B447" t="str" cm="1">
        <f t="array" ref="B447">IF(A447="","",_xlfn.CHOOSECOLS('Prematch Backend 2A'!447:447,_xlfn.MAKEARRAY(1,A447-2,_xlfn.LAMBDA(_xlpm.r,_xlpm.c,_xlpm.c))))</f>
        <v/>
      </c>
    </row>
    <row r="448" spans="2:2" x14ac:dyDescent="0.2">
      <c r="B448" t="str" cm="1">
        <f t="array" ref="B448">IF(A448="","",_xlfn.CHOOSECOLS('Prematch Backend 2A'!448:448,_xlfn.MAKEARRAY(1,A448-2,_xlfn.LAMBDA(_xlpm.r,_xlpm.c,_xlpm.c))))</f>
        <v/>
      </c>
    </row>
    <row r="449" spans="2:2" x14ac:dyDescent="0.2">
      <c r="B449" t="str" cm="1">
        <f t="array" ref="B449">IF(A449="","",_xlfn.CHOOSECOLS('Prematch Backend 2A'!449:449,_xlfn.MAKEARRAY(1,A449-2,_xlfn.LAMBDA(_xlpm.r,_xlpm.c,_xlpm.c))))</f>
        <v/>
      </c>
    </row>
    <row r="450" spans="2:2" x14ac:dyDescent="0.2">
      <c r="B450" t="str" cm="1">
        <f t="array" ref="B450">IF(A450="","",_xlfn.CHOOSECOLS('Prematch Backend 2A'!450:450,_xlfn.MAKEARRAY(1,A450-2,_xlfn.LAMBDA(_xlpm.r,_xlpm.c,_xlpm.c))))</f>
        <v/>
      </c>
    </row>
    <row r="451" spans="2:2" x14ac:dyDescent="0.2">
      <c r="B451" t="str" cm="1">
        <f t="array" ref="B451">IF(A451="","",_xlfn.CHOOSECOLS('Prematch Backend 2A'!451:451,_xlfn.MAKEARRAY(1,A451-2,_xlfn.LAMBDA(_xlpm.r,_xlpm.c,_xlpm.c))))</f>
        <v/>
      </c>
    </row>
    <row r="452" spans="2:2" x14ac:dyDescent="0.2">
      <c r="B452" t="str" cm="1">
        <f t="array" ref="B452">IF(A452="","",_xlfn.CHOOSECOLS('Prematch Backend 2A'!452:452,_xlfn.MAKEARRAY(1,A452-2,_xlfn.LAMBDA(_xlpm.r,_xlpm.c,_xlpm.c))))</f>
        <v/>
      </c>
    </row>
    <row r="453" spans="2:2" x14ac:dyDescent="0.2">
      <c r="B453" t="str" cm="1">
        <f t="array" ref="B453">IF(A453="","",_xlfn.CHOOSECOLS('Prematch Backend 2A'!453:453,_xlfn.MAKEARRAY(1,A453-2,_xlfn.LAMBDA(_xlpm.r,_xlpm.c,_xlpm.c))))</f>
        <v/>
      </c>
    </row>
    <row r="454" spans="2:2" x14ac:dyDescent="0.2">
      <c r="B454" t="str" cm="1">
        <f t="array" ref="B454">IF(A454="","",_xlfn.CHOOSECOLS('Prematch Backend 2A'!454:454,_xlfn.MAKEARRAY(1,A454-2,_xlfn.LAMBDA(_xlpm.r,_xlpm.c,_xlpm.c))))</f>
        <v/>
      </c>
    </row>
    <row r="455" spans="2:2" x14ac:dyDescent="0.2">
      <c r="B455" t="str" cm="1">
        <f t="array" ref="B455">IF(A455="","",_xlfn.CHOOSECOLS('Prematch Backend 2A'!455:455,_xlfn.MAKEARRAY(1,A455-2,_xlfn.LAMBDA(_xlpm.r,_xlpm.c,_xlpm.c))))</f>
        <v/>
      </c>
    </row>
    <row r="456" spans="2:2" x14ac:dyDescent="0.2">
      <c r="B456" t="str" cm="1">
        <f t="array" ref="B456">IF(A456="","",_xlfn.CHOOSECOLS('Prematch Backend 2A'!456:456,_xlfn.MAKEARRAY(1,A456-2,_xlfn.LAMBDA(_xlpm.r,_xlpm.c,_xlpm.c))))</f>
        <v/>
      </c>
    </row>
    <row r="457" spans="2:2" x14ac:dyDescent="0.2">
      <c r="B457" t="str" cm="1">
        <f t="array" ref="B457">IF(A457="","",_xlfn.CHOOSECOLS('Prematch Backend 2A'!457:457,_xlfn.MAKEARRAY(1,A457-2,_xlfn.LAMBDA(_xlpm.r,_xlpm.c,_xlpm.c))))</f>
        <v/>
      </c>
    </row>
    <row r="458" spans="2:2" x14ac:dyDescent="0.2">
      <c r="B458" t="str" cm="1">
        <f t="array" ref="B458">IF(A458="","",_xlfn.CHOOSECOLS('Prematch Backend 2A'!458:458,_xlfn.MAKEARRAY(1,A458-2,_xlfn.LAMBDA(_xlpm.r,_xlpm.c,_xlpm.c))))</f>
        <v/>
      </c>
    </row>
    <row r="459" spans="2:2" x14ac:dyDescent="0.2">
      <c r="B459" t="str" cm="1">
        <f t="array" ref="B459">IF(A459="","",_xlfn.CHOOSECOLS('Prematch Backend 2A'!459:459,_xlfn.MAKEARRAY(1,A459-2,_xlfn.LAMBDA(_xlpm.r,_xlpm.c,_xlpm.c))))</f>
        <v/>
      </c>
    </row>
    <row r="460" spans="2:2" x14ac:dyDescent="0.2">
      <c r="B460" t="str" cm="1">
        <f t="array" ref="B460">IF(A460="","",_xlfn.CHOOSECOLS('Prematch Backend 2A'!460:460,_xlfn.MAKEARRAY(1,A460-2,_xlfn.LAMBDA(_xlpm.r,_xlpm.c,_xlpm.c))))</f>
        <v/>
      </c>
    </row>
    <row r="461" spans="2:2" x14ac:dyDescent="0.2">
      <c r="B461" t="str" cm="1">
        <f t="array" ref="B461">IF(A461="","",_xlfn.CHOOSECOLS('Prematch Backend 2A'!461:461,_xlfn.MAKEARRAY(1,A461-2,_xlfn.LAMBDA(_xlpm.r,_xlpm.c,_xlpm.c))))</f>
        <v/>
      </c>
    </row>
    <row r="462" spans="2:2" x14ac:dyDescent="0.2">
      <c r="B462" t="str" cm="1">
        <f t="array" ref="B462">IF(A462="","",_xlfn.CHOOSECOLS('Prematch Backend 2A'!462:462,_xlfn.MAKEARRAY(1,A462-2,_xlfn.LAMBDA(_xlpm.r,_xlpm.c,_xlpm.c))))</f>
        <v/>
      </c>
    </row>
    <row r="463" spans="2:2" x14ac:dyDescent="0.2">
      <c r="B463" t="str" cm="1">
        <f t="array" ref="B463">IF(A463="","",_xlfn.CHOOSECOLS('Prematch Backend 2A'!463:463,_xlfn.MAKEARRAY(1,A463-2,_xlfn.LAMBDA(_xlpm.r,_xlpm.c,_xlpm.c))))</f>
        <v/>
      </c>
    </row>
    <row r="464" spans="2:2" x14ac:dyDescent="0.2">
      <c r="B464" t="str" cm="1">
        <f t="array" ref="B464">IF(A464="","",_xlfn.CHOOSECOLS('Prematch Backend 2A'!464:464,_xlfn.MAKEARRAY(1,A464-2,_xlfn.LAMBDA(_xlpm.r,_xlpm.c,_xlpm.c))))</f>
        <v/>
      </c>
    </row>
    <row r="465" spans="2:2" x14ac:dyDescent="0.2">
      <c r="B465" t="str" cm="1">
        <f t="array" ref="B465">IF(A465="","",_xlfn.CHOOSECOLS('Prematch Backend 2A'!465:465,_xlfn.MAKEARRAY(1,A465-2,_xlfn.LAMBDA(_xlpm.r,_xlpm.c,_xlpm.c))))</f>
        <v/>
      </c>
    </row>
    <row r="466" spans="2:2" x14ac:dyDescent="0.2">
      <c r="B466" t="str" cm="1">
        <f t="array" ref="B466">IF(A466="","",_xlfn.CHOOSECOLS('Prematch Backend 2A'!466:466,_xlfn.MAKEARRAY(1,A466-2,_xlfn.LAMBDA(_xlpm.r,_xlpm.c,_xlpm.c))))</f>
        <v/>
      </c>
    </row>
    <row r="467" spans="2:2" x14ac:dyDescent="0.2">
      <c r="B467" t="str" cm="1">
        <f t="array" ref="B467">IF(A467="","",_xlfn.CHOOSECOLS('Prematch Backend 2A'!467:467,_xlfn.MAKEARRAY(1,A467-2,_xlfn.LAMBDA(_xlpm.r,_xlpm.c,_xlpm.c))))</f>
        <v/>
      </c>
    </row>
    <row r="468" spans="2:2" x14ac:dyDescent="0.2">
      <c r="B468" t="str" cm="1">
        <f t="array" ref="B468">IF(A468="","",_xlfn.CHOOSECOLS('Prematch Backend 2A'!468:468,_xlfn.MAKEARRAY(1,A468-2,_xlfn.LAMBDA(_xlpm.r,_xlpm.c,_xlpm.c))))</f>
        <v/>
      </c>
    </row>
    <row r="469" spans="2:2" x14ac:dyDescent="0.2">
      <c r="B469" t="str" cm="1">
        <f t="array" ref="B469">IF(A469="","",_xlfn.CHOOSECOLS('Prematch Backend 2A'!469:469,_xlfn.MAKEARRAY(1,A469-2,_xlfn.LAMBDA(_xlpm.r,_xlpm.c,_xlpm.c))))</f>
        <v/>
      </c>
    </row>
    <row r="470" spans="2:2" x14ac:dyDescent="0.2">
      <c r="B470" t="str" cm="1">
        <f t="array" ref="B470">IF(A470="","",_xlfn.CHOOSECOLS('Prematch Backend 2A'!470:470,_xlfn.MAKEARRAY(1,A470-2,_xlfn.LAMBDA(_xlpm.r,_xlpm.c,_xlpm.c))))</f>
        <v/>
      </c>
    </row>
    <row r="471" spans="2:2" x14ac:dyDescent="0.2">
      <c r="B471" t="str" cm="1">
        <f t="array" ref="B471">IF(A471="","",_xlfn.CHOOSECOLS('Prematch Backend 2A'!471:471,_xlfn.MAKEARRAY(1,A471-2,_xlfn.LAMBDA(_xlpm.r,_xlpm.c,_xlpm.c))))</f>
        <v/>
      </c>
    </row>
    <row r="472" spans="2:2" x14ac:dyDescent="0.2">
      <c r="B472" t="str" cm="1">
        <f t="array" ref="B472">IF(A472="","",_xlfn.CHOOSECOLS('Prematch Backend 2A'!472:472,_xlfn.MAKEARRAY(1,A472-2,_xlfn.LAMBDA(_xlpm.r,_xlpm.c,_xlpm.c))))</f>
        <v/>
      </c>
    </row>
    <row r="473" spans="2:2" x14ac:dyDescent="0.2">
      <c r="B473" t="str" cm="1">
        <f t="array" ref="B473">IF(A473="","",_xlfn.CHOOSECOLS('Prematch Backend 2A'!473:473,_xlfn.MAKEARRAY(1,A473-2,_xlfn.LAMBDA(_xlpm.r,_xlpm.c,_xlpm.c))))</f>
        <v/>
      </c>
    </row>
    <row r="474" spans="2:2" x14ac:dyDescent="0.2">
      <c r="B474" t="str" cm="1">
        <f t="array" ref="B474">IF(A474="","",_xlfn.CHOOSECOLS('Prematch Backend 2A'!474:474,_xlfn.MAKEARRAY(1,A474-2,_xlfn.LAMBDA(_xlpm.r,_xlpm.c,_xlpm.c))))</f>
        <v/>
      </c>
    </row>
    <row r="475" spans="2:2" x14ac:dyDescent="0.2">
      <c r="B475" t="str" cm="1">
        <f t="array" ref="B475">IF(A475="","",_xlfn.CHOOSECOLS('Prematch Backend 2A'!475:475,_xlfn.MAKEARRAY(1,A475-2,_xlfn.LAMBDA(_xlpm.r,_xlpm.c,_xlpm.c))))</f>
        <v/>
      </c>
    </row>
    <row r="476" spans="2:2" x14ac:dyDescent="0.2">
      <c r="B476" t="str" cm="1">
        <f t="array" ref="B476">IF(A476="","",_xlfn.CHOOSECOLS('Prematch Backend 2A'!476:476,_xlfn.MAKEARRAY(1,A476-2,_xlfn.LAMBDA(_xlpm.r,_xlpm.c,_xlpm.c))))</f>
        <v/>
      </c>
    </row>
    <row r="477" spans="2:2" x14ac:dyDescent="0.2">
      <c r="B477" t="str" cm="1">
        <f t="array" ref="B477">IF(A477="","",_xlfn.CHOOSECOLS('Prematch Backend 2A'!477:477,_xlfn.MAKEARRAY(1,A477-2,_xlfn.LAMBDA(_xlpm.r,_xlpm.c,_xlpm.c))))</f>
        <v/>
      </c>
    </row>
    <row r="478" spans="2:2" x14ac:dyDescent="0.2">
      <c r="B478" t="str" cm="1">
        <f t="array" ref="B478">IF(A478="","",_xlfn.CHOOSECOLS('Prematch Backend 2A'!478:478,_xlfn.MAKEARRAY(1,A478-2,_xlfn.LAMBDA(_xlpm.r,_xlpm.c,_xlpm.c))))</f>
        <v/>
      </c>
    </row>
    <row r="479" spans="2:2" x14ac:dyDescent="0.2">
      <c r="B479" t="str" cm="1">
        <f t="array" ref="B479">IF(A479="","",_xlfn.CHOOSECOLS('Prematch Backend 2A'!479:479,_xlfn.MAKEARRAY(1,A479-2,_xlfn.LAMBDA(_xlpm.r,_xlpm.c,_xlpm.c))))</f>
        <v/>
      </c>
    </row>
    <row r="480" spans="2:2" x14ac:dyDescent="0.2">
      <c r="B480" t="str" cm="1">
        <f t="array" ref="B480">IF(A480="","",_xlfn.CHOOSECOLS('Prematch Backend 2A'!480:480,_xlfn.MAKEARRAY(1,A480-2,_xlfn.LAMBDA(_xlpm.r,_xlpm.c,_xlpm.c))))</f>
        <v/>
      </c>
    </row>
    <row r="481" spans="2:2" x14ac:dyDescent="0.2">
      <c r="B481" t="str" cm="1">
        <f t="array" ref="B481">IF(A481="","",_xlfn.CHOOSECOLS('Prematch Backend 2A'!481:481,_xlfn.MAKEARRAY(1,A481-2,_xlfn.LAMBDA(_xlpm.r,_xlpm.c,_xlpm.c))))</f>
        <v/>
      </c>
    </row>
    <row r="482" spans="2:2" x14ac:dyDescent="0.2">
      <c r="B482" t="str" cm="1">
        <f t="array" ref="B482">IF(A482="","",_xlfn.CHOOSECOLS('Prematch Backend 2A'!482:482,_xlfn.MAKEARRAY(1,A482-2,_xlfn.LAMBDA(_xlpm.r,_xlpm.c,_xlpm.c))))</f>
        <v/>
      </c>
    </row>
    <row r="483" spans="2:2" x14ac:dyDescent="0.2">
      <c r="B483" t="str" cm="1">
        <f t="array" ref="B483">IF(A483="","",_xlfn.CHOOSECOLS('Prematch Backend 2A'!483:483,_xlfn.MAKEARRAY(1,A483-2,_xlfn.LAMBDA(_xlpm.r,_xlpm.c,_xlpm.c))))</f>
        <v/>
      </c>
    </row>
    <row r="484" spans="2:2" x14ac:dyDescent="0.2">
      <c r="B484" t="str" cm="1">
        <f t="array" ref="B484">IF(A484="","",_xlfn.CHOOSECOLS('Prematch Backend 2A'!484:484,_xlfn.MAKEARRAY(1,A484-2,_xlfn.LAMBDA(_xlpm.r,_xlpm.c,_xlpm.c))))</f>
        <v/>
      </c>
    </row>
    <row r="485" spans="2:2" x14ac:dyDescent="0.2">
      <c r="B485" t="str" cm="1">
        <f t="array" ref="B485">IF(A485="","",_xlfn.CHOOSECOLS('Prematch Backend 2A'!485:485,_xlfn.MAKEARRAY(1,A485-2,_xlfn.LAMBDA(_xlpm.r,_xlpm.c,_xlpm.c))))</f>
        <v/>
      </c>
    </row>
    <row r="486" spans="2:2" x14ac:dyDescent="0.2">
      <c r="B486" t="str" cm="1">
        <f t="array" ref="B486">IF(A486="","",_xlfn.CHOOSECOLS('Prematch Backend 2A'!486:486,_xlfn.MAKEARRAY(1,A486-2,_xlfn.LAMBDA(_xlpm.r,_xlpm.c,_xlpm.c))))</f>
        <v/>
      </c>
    </row>
    <row r="487" spans="2:2" x14ac:dyDescent="0.2">
      <c r="B487" t="str" cm="1">
        <f t="array" ref="B487">IF(A487="","",_xlfn.CHOOSECOLS('Prematch Backend 2A'!487:487,_xlfn.MAKEARRAY(1,A487-2,_xlfn.LAMBDA(_xlpm.r,_xlpm.c,_xlpm.c))))</f>
        <v/>
      </c>
    </row>
    <row r="488" spans="2:2" x14ac:dyDescent="0.2">
      <c r="B488" t="str" cm="1">
        <f t="array" ref="B488">IF(A488="","",_xlfn.CHOOSECOLS('Prematch Backend 2A'!488:488,_xlfn.MAKEARRAY(1,A488-2,_xlfn.LAMBDA(_xlpm.r,_xlpm.c,_xlpm.c))))</f>
        <v/>
      </c>
    </row>
    <row r="489" spans="2:2" x14ac:dyDescent="0.2">
      <c r="B489" t="str" cm="1">
        <f t="array" ref="B489">IF(A489="","",_xlfn.CHOOSECOLS('Prematch Backend 2A'!489:489,_xlfn.MAKEARRAY(1,A489-2,_xlfn.LAMBDA(_xlpm.r,_xlpm.c,_xlpm.c))))</f>
        <v/>
      </c>
    </row>
    <row r="490" spans="2:2" x14ac:dyDescent="0.2">
      <c r="B490" t="str" cm="1">
        <f t="array" ref="B490">IF(A490="","",_xlfn.CHOOSECOLS('Prematch Backend 2A'!490:490,_xlfn.MAKEARRAY(1,A490-2,_xlfn.LAMBDA(_xlpm.r,_xlpm.c,_xlpm.c))))</f>
        <v/>
      </c>
    </row>
    <row r="491" spans="2:2" x14ac:dyDescent="0.2">
      <c r="B491" t="str" cm="1">
        <f t="array" ref="B491">IF(A491="","",_xlfn.CHOOSECOLS('Prematch Backend 2A'!491:491,_xlfn.MAKEARRAY(1,A491-2,_xlfn.LAMBDA(_xlpm.r,_xlpm.c,_xlpm.c))))</f>
        <v/>
      </c>
    </row>
    <row r="492" spans="2:2" x14ac:dyDescent="0.2">
      <c r="B492" t="str" cm="1">
        <f t="array" ref="B492">IF(A492="","",_xlfn.CHOOSECOLS('Prematch Backend 2A'!492:492,_xlfn.MAKEARRAY(1,A492-2,_xlfn.LAMBDA(_xlpm.r,_xlpm.c,_xlpm.c))))</f>
        <v/>
      </c>
    </row>
    <row r="493" spans="2:2" x14ac:dyDescent="0.2">
      <c r="B493" t="str" cm="1">
        <f t="array" ref="B493">IF(A493="","",_xlfn.CHOOSECOLS('Prematch Backend 2A'!493:493,_xlfn.MAKEARRAY(1,A493-2,_xlfn.LAMBDA(_xlpm.r,_xlpm.c,_xlpm.c))))</f>
        <v/>
      </c>
    </row>
    <row r="494" spans="2:2" x14ac:dyDescent="0.2">
      <c r="B494" t="str" cm="1">
        <f t="array" ref="B494">IF(A494="","",_xlfn.CHOOSECOLS('Prematch Backend 2A'!494:494,_xlfn.MAKEARRAY(1,A494-2,_xlfn.LAMBDA(_xlpm.r,_xlpm.c,_xlpm.c))))</f>
        <v/>
      </c>
    </row>
    <row r="495" spans="2:2" x14ac:dyDescent="0.2">
      <c r="B495" t="str" cm="1">
        <f t="array" ref="B495">IF(A495="","",_xlfn.CHOOSECOLS('Prematch Backend 2A'!495:495,_xlfn.MAKEARRAY(1,A495-2,_xlfn.LAMBDA(_xlpm.r,_xlpm.c,_xlpm.c))))</f>
        <v/>
      </c>
    </row>
    <row r="496" spans="2:2" x14ac:dyDescent="0.2">
      <c r="B496" t="str" cm="1">
        <f t="array" ref="B496">IF(A496="","",_xlfn.CHOOSECOLS('Prematch Backend 2A'!496:496,_xlfn.MAKEARRAY(1,A496-2,_xlfn.LAMBDA(_xlpm.r,_xlpm.c,_xlpm.c))))</f>
        <v/>
      </c>
    </row>
    <row r="497" spans="2:2" x14ac:dyDescent="0.2">
      <c r="B497" t="str" cm="1">
        <f t="array" ref="B497">IF(A497="","",_xlfn.CHOOSECOLS('Prematch Backend 2A'!497:497,_xlfn.MAKEARRAY(1,A497-2,_xlfn.LAMBDA(_xlpm.r,_xlpm.c,_xlpm.c))))</f>
        <v/>
      </c>
    </row>
    <row r="498" spans="2:2" x14ac:dyDescent="0.2">
      <c r="B498" t="str" cm="1">
        <f t="array" ref="B498">IF(A498="","",_xlfn.CHOOSECOLS('Prematch Backend 2A'!498:498,_xlfn.MAKEARRAY(1,A498-2,_xlfn.LAMBDA(_xlpm.r,_xlpm.c,_xlpm.c))))</f>
        <v/>
      </c>
    </row>
    <row r="499" spans="2:2" x14ac:dyDescent="0.2">
      <c r="B499" t="str" cm="1">
        <f t="array" ref="B499">IF(A499="","",_xlfn.CHOOSECOLS('Prematch Backend 2A'!499:499,_xlfn.MAKEARRAY(1,A499-2,_xlfn.LAMBDA(_xlpm.r,_xlpm.c,_xlpm.c))))</f>
        <v/>
      </c>
    </row>
    <row r="500" spans="2:2" x14ac:dyDescent="0.2">
      <c r="B500" t="str" cm="1">
        <f t="array" ref="B500">IF(A500="","",_xlfn.CHOOSECOLS('Prematch Backend 2A'!500:500,_xlfn.MAKEARRAY(1,A500-2,_xlfn.LAMBDA(_xlpm.r,_xlpm.c,_xlpm.c))))</f>
        <v/>
      </c>
    </row>
    <row r="501" spans="2:2" x14ac:dyDescent="0.2">
      <c r="B501" t="str" cm="1">
        <f t="array" ref="B501">IF(A501="","",_xlfn.CHOOSECOLS('Prematch Backend 2A'!501:501,_xlfn.MAKEARRAY(1,A501-2,_xlfn.LAMBDA(_xlpm.r,_xlpm.c,_xlpm.c))))</f>
        <v/>
      </c>
    </row>
    <row r="502" spans="2:2" x14ac:dyDescent="0.2">
      <c r="B502" t="str" cm="1">
        <f t="array" ref="B502">IF(A502="","",_xlfn.CHOOSECOLS('Prematch Backend 2A'!502:502,_xlfn.MAKEARRAY(1,A502-2,_xlfn.LAMBDA(_xlpm.r,_xlpm.c,_xlpm.c))))</f>
        <v/>
      </c>
    </row>
    <row r="503" spans="2:2" x14ac:dyDescent="0.2">
      <c r="B503" t="str" cm="1">
        <f t="array" ref="B503">IF(A503="","",_xlfn.CHOOSECOLS('Prematch Backend 2A'!503:503,_xlfn.MAKEARRAY(1,A503-2,_xlfn.LAMBDA(_xlpm.r,_xlpm.c,_xlpm.c))))</f>
        <v/>
      </c>
    </row>
    <row r="504" spans="2:2" x14ac:dyDescent="0.2">
      <c r="B504" t="str" cm="1">
        <f t="array" ref="B504">IF(A504="","",_xlfn.CHOOSECOLS('Prematch Backend 2A'!504:504,_xlfn.MAKEARRAY(1,A504-2,_xlfn.LAMBDA(_xlpm.r,_xlpm.c,_xlpm.c))))</f>
        <v/>
      </c>
    </row>
    <row r="505" spans="2:2" x14ac:dyDescent="0.2">
      <c r="B505" t="str" cm="1">
        <f t="array" ref="B505">IF(A505="","",_xlfn.CHOOSECOLS('Prematch Backend 2A'!505:505,_xlfn.MAKEARRAY(1,A505-2,_xlfn.LAMBDA(_xlpm.r,_xlpm.c,_xlpm.c))))</f>
        <v/>
      </c>
    </row>
    <row r="506" spans="2:2" x14ac:dyDescent="0.2">
      <c r="B506" t="str" cm="1">
        <f t="array" ref="B506">IF(A506="","",_xlfn.CHOOSECOLS('Prematch Backend 2A'!506:506,_xlfn.MAKEARRAY(1,A506-2,_xlfn.LAMBDA(_xlpm.r,_xlpm.c,_xlpm.c))))</f>
        <v/>
      </c>
    </row>
    <row r="507" spans="2:2" x14ac:dyDescent="0.2">
      <c r="B507" t="str" cm="1">
        <f t="array" ref="B507">IF(A507="","",_xlfn.CHOOSECOLS('Prematch Backend 2A'!507:507,_xlfn.MAKEARRAY(1,A507-2,_xlfn.LAMBDA(_xlpm.r,_xlpm.c,_xlpm.c))))</f>
        <v/>
      </c>
    </row>
    <row r="508" spans="2:2" x14ac:dyDescent="0.2">
      <c r="B508" t="str" cm="1">
        <f t="array" ref="B508">IF(A508="","",_xlfn.CHOOSECOLS('Prematch Backend 2A'!508:508,_xlfn.MAKEARRAY(1,A508-2,_xlfn.LAMBDA(_xlpm.r,_xlpm.c,_xlpm.c))))</f>
        <v/>
      </c>
    </row>
    <row r="509" spans="2:2" x14ac:dyDescent="0.2">
      <c r="B509" t="str" cm="1">
        <f t="array" ref="B509">IF(A509="","",_xlfn.CHOOSECOLS('Prematch Backend 2A'!509:509,_xlfn.MAKEARRAY(1,A509-2,_xlfn.LAMBDA(_xlpm.r,_xlpm.c,_xlpm.c))))</f>
        <v/>
      </c>
    </row>
    <row r="510" spans="2:2" x14ac:dyDescent="0.2">
      <c r="B510" t="str" cm="1">
        <f t="array" ref="B510">IF(A510="","",_xlfn.CHOOSECOLS('Prematch Backend 2A'!510:510,_xlfn.MAKEARRAY(1,A510-2,_xlfn.LAMBDA(_xlpm.r,_xlpm.c,_xlpm.c))))</f>
        <v/>
      </c>
    </row>
    <row r="511" spans="2:2" x14ac:dyDescent="0.2">
      <c r="B511" t="str" cm="1">
        <f t="array" ref="B511">IF(A511="","",_xlfn.CHOOSECOLS('Prematch Backend 2A'!511:511,_xlfn.MAKEARRAY(1,A511-2,_xlfn.LAMBDA(_xlpm.r,_xlpm.c,_xlpm.c))))</f>
        <v/>
      </c>
    </row>
    <row r="512" spans="2:2" x14ac:dyDescent="0.2">
      <c r="B512" t="str" cm="1">
        <f t="array" ref="B512">IF(A512="","",_xlfn.CHOOSECOLS('Prematch Backend 2A'!512:512,_xlfn.MAKEARRAY(1,A512-2,_xlfn.LAMBDA(_xlpm.r,_xlpm.c,_xlpm.c))))</f>
        <v/>
      </c>
    </row>
    <row r="513" spans="2:2" x14ac:dyDescent="0.2">
      <c r="B513" t="str" cm="1">
        <f t="array" ref="B513">IF(A513="","",_xlfn.CHOOSECOLS('Prematch Backend 2A'!513:513,_xlfn.MAKEARRAY(1,A513-2,_xlfn.LAMBDA(_xlpm.r,_xlpm.c,_xlpm.c))))</f>
        <v/>
      </c>
    </row>
    <row r="514" spans="2:2" x14ac:dyDescent="0.2">
      <c r="B514" t="str" cm="1">
        <f t="array" ref="B514">IF(A514="","",_xlfn.CHOOSECOLS('Prematch Backend 2A'!514:514,_xlfn.MAKEARRAY(1,A514-2,_xlfn.LAMBDA(_xlpm.r,_xlpm.c,_xlpm.c))))</f>
        <v/>
      </c>
    </row>
    <row r="515" spans="2:2" x14ac:dyDescent="0.2">
      <c r="B515" t="str" cm="1">
        <f t="array" ref="B515">IF(A515="","",_xlfn.CHOOSECOLS('Prematch Backend 2A'!515:515,_xlfn.MAKEARRAY(1,A515-2,_xlfn.LAMBDA(_xlpm.r,_xlpm.c,_xlpm.c))))</f>
        <v/>
      </c>
    </row>
    <row r="516" spans="2:2" x14ac:dyDescent="0.2">
      <c r="B516" t="str" cm="1">
        <f t="array" ref="B516">IF(A516="","",_xlfn.CHOOSECOLS('Prematch Backend 2A'!516:516,_xlfn.MAKEARRAY(1,A516-2,_xlfn.LAMBDA(_xlpm.r,_xlpm.c,_xlpm.c))))</f>
        <v/>
      </c>
    </row>
    <row r="517" spans="2:2" x14ac:dyDescent="0.2">
      <c r="B517" t="str" cm="1">
        <f t="array" ref="B517">IF(A517="","",_xlfn.CHOOSECOLS('Prematch Backend 2A'!517:517,_xlfn.MAKEARRAY(1,A517-2,_xlfn.LAMBDA(_xlpm.r,_xlpm.c,_xlpm.c))))</f>
        <v/>
      </c>
    </row>
    <row r="518" spans="2:2" x14ac:dyDescent="0.2">
      <c r="B518" t="str" cm="1">
        <f t="array" ref="B518">IF(A518="","",_xlfn.CHOOSECOLS('Prematch Backend 2A'!518:518,_xlfn.MAKEARRAY(1,A518-2,_xlfn.LAMBDA(_xlpm.r,_xlpm.c,_xlpm.c))))</f>
        <v/>
      </c>
    </row>
    <row r="519" spans="2:2" x14ac:dyDescent="0.2">
      <c r="B519" t="str" cm="1">
        <f t="array" ref="B519">IF(A519="","",_xlfn.CHOOSECOLS('Prematch Backend 2A'!519:519,_xlfn.MAKEARRAY(1,A519-2,_xlfn.LAMBDA(_xlpm.r,_xlpm.c,_xlpm.c))))</f>
        <v/>
      </c>
    </row>
    <row r="520" spans="2:2" x14ac:dyDescent="0.2">
      <c r="B520" t="str" cm="1">
        <f t="array" ref="B520">IF(A520="","",_xlfn.CHOOSECOLS('Prematch Backend 2A'!520:520,_xlfn.MAKEARRAY(1,A520-2,_xlfn.LAMBDA(_xlpm.r,_xlpm.c,_xlpm.c))))</f>
        <v/>
      </c>
    </row>
    <row r="521" spans="2:2" x14ac:dyDescent="0.2">
      <c r="B521" t="str" cm="1">
        <f t="array" ref="B521">IF(A521="","",_xlfn.CHOOSECOLS('Prematch Backend 2A'!521:521,_xlfn.MAKEARRAY(1,A521-2,_xlfn.LAMBDA(_xlpm.r,_xlpm.c,_xlpm.c))))</f>
        <v/>
      </c>
    </row>
    <row r="522" spans="2:2" x14ac:dyDescent="0.2">
      <c r="B522" t="str" cm="1">
        <f t="array" ref="B522">IF(A522="","",_xlfn.CHOOSECOLS('Prematch Backend 2A'!522:522,_xlfn.MAKEARRAY(1,A522-2,_xlfn.LAMBDA(_xlpm.r,_xlpm.c,_xlpm.c))))</f>
        <v/>
      </c>
    </row>
    <row r="523" spans="2:2" x14ac:dyDescent="0.2">
      <c r="B523" t="str" cm="1">
        <f t="array" ref="B523">IF(A523="","",_xlfn.CHOOSECOLS('Prematch Backend 2A'!523:523,_xlfn.MAKEARRAY(1,A523-2,_xlfn.LAMBDA(_xlpm.r,_xlpm.c,_xlpm.c))))</f>
        <v/>
      </c>
    </row>
    <row r="524" spans="2:2" x14ac:dyDescent="0.2">
      <c r="B524" t="str" cm="1">
        <f t="array" ref="B524">IF(A524="","",_xlfn.CHOOSECOLS('Prematch Backend 2A'!524:524,_xlfn.MAKEARRAY(1,A524-2,_xlfn.LAMBDA(_xlpm.r,_xlpm.c,_xlpm.c))))</f>
        <v/>
      </c>
    </row>
    <row r="525" spans="2:2" x14ac:dyDescent="0.2">
      <c r="B525" t="str" cm="1">
        <f t="array" ref="B525">IF(A525="","",_xlfn.CHOOSECOLS('Prematch Backend 2A'!525:525,_xlfn.MAKEARRAY(1,A525-2,_xlfn.LAMBDA(_xlpm.r,_xlpm.c,_xlpm.c))))</f>
        <v/>
      </c>
    </row>
    <row r="526" spans="2:2" x14ac:dyDescent="0.2">
      <c r="B526" t="str" cm="1">
        <f t="array" ref="B526">IF(A526="","",_xlfn.CHOOSECOLS('Prematch Backend 2A'!526:526,_xlfn.MAKEARRAY(1,A526-2,_xlfn.LAMBDA(_xlpm.r,_xlpm.c,_xlpm.c))))</f>
        <v/>
      </c>
    </row>
    <row r="527" spans="2:2" x14ac:dyDescent="0.2">
      <c r="B527" t="str" cm="1">
        <f t="array" ref="B527">IF(A527="","",_xlfn.CHOOSECOLS('Prematch Backend 2A'!527:527,_xlfn.MAKEARRAY(1,A527-2,_xlfn.LAMBDA(_xlpm.r,_xlpm.c,_xlpm.c))))</f>
        <v/>
      </c>
    </row>
    <row r="528" spans="2:2" x14ac:dyDescent="0.2">
      <c r="B528" t="str" cm="1">
        <f t="array" ref="B528">IF(A528="","",_xlfn.CHOOSECOLS('Prematch Backend 2A'!528:528,_xlfn.MAKEARRAY(1,A528-2,_xlfn.LAMBDA(_xlpm.r,_xlpm.c,_xlpm.c))))</f>
        <v/>
      </c>
    </row>
    <row r="529" spans="2:2" x14ac:dyDescent="0.2">
      <c r="B529" t="str" cm="1">
        <f t="array" ref="B529">IF(A529="","",_xlfn.CHOOSECOLS('Prematch Backend 2A'!529:529,_xlfn.MAKEARRAY(1,A529-2,_xlfn.LAMBDA(_xlpm.r,_xlpm.c,_xlpm.c))))</f>
        <v/>
      </c>
    </row>
    <row r="530" spans="2:2" x14ac:dyDescent="0.2">
      <c r="B530" t="str" cm="1">
        <f t="array" ref="B530">IF(A530="","",_xlfn.CHOOSECOLS('Prematch Backend 2A'!530:530,_xlfn.MAKEARRAY(1,A530-2,_xlfn.LAMBDA(_xlpm.r,_xlpm.c,_xlpm.c))))</f>
        <v/>
      </c>
    </row>
    <row r="531" spans="2:2" x14ac:dyDescent="0.2">
      <c r="B531" t="str" cm="1">
        <f t="array" ref="B531">IF(A531="","",_xlfn.CHOOSECOLS('Prematch Backend 2A'!531:531,_xlfn.MAKEARRAY(1,A531-2,_xlfn.LAMBDA(_xlpm.r,_xlpm.c,_xlpm.c))))</f>
        <v/>
      </c>
    </row>
    <row r="532" spans="2:2" x14ac:dyDescent="0.2">
      <c r="B532" t="str" cm="1">
        <f t="array" ref="B532">IF(A532="","",_xlfn.CHOOSECOLS('Prematch Backend 2A'!532:532,_xlfn.MAKEARRAY(1,A532-2,_xlfn.LAMBDA(_xlpm.r,_xlpm.c,_xlpm.c))))</f>
        <v/>
      </c>
    </row>
    <row r="533" spans="2:2" x14ac:dyDescent="0.2">
      <c r="B533" t="str" cm="1">
        <f t="array" ref="B533">IF(A533="","",_xlfn.CHOOSECOLS('Prematch Backend 2A'!533:533,_xlfn.MAKEARRAY(1,A533-2,_xlfn.LAMBDA(_xlpm.r,_xlpm.c,_xlpm.c))))</f>
        <v/>
      </c>
    </row>
    <row r="534" spans="2:2" x14ac:dyDescent="0.2">
      <c r="B534" t="str" cm="1">
        <f t="array" ref="B534">IF(A534="","",_xlfn.CHOOSECOLS('Prematch Backend 2A'!534:534,_xlfn.MAKEARRAY(1,A534-2,_xlfn.LAMBDA(_xlpm.r,_xlpm.c,_xlpm.c))))</f>
        <v/>
      </c>
    </row>
    <row r="535" spans="2:2" x14ac:dyDescent="0.2">
      <c r="B535" t="str" cm="1">
        <f t="array" ref="B535">IF(A535="","",_xlfn.CHOOSECOLS('Prematch Backend 2A'!535:535,_xlfn.MAKEARRAY(1,A535-2,_xlfn.LAMBDA(_xlpm.r,_xlpm.c,_xlpm.c))))</f>
        <v/>
      </c>
    </row>
    <row r="536" spans="2:2" x14ac:dyDescent="0.2">
      <c r="B536" t="str" cm="1">
        <f t="array" ref="B536">IF(A536="","",_xlfn.CHOOSECOLS('Prematch Backend 2A'!536:536,_xlfn.MAKEARRAY(1,A536-2,_xlfn.LAMBDA(_xlpm.r,_xlpm.c,_xlpm.c))))</f>
        <v/>
      </c>
    </row>
    <row r="537" spans="2:2" x14ac:dyDescent="0.2">
      <c r="B537" t="str" cm="1">
        <f t="array" ref="B537">IF(A537="","",_xlfn.CHOOSECOLS('Prematch Backend 2A'!537:537,_xlfn.MAKEARRAY(1,A537-2,_xlfn.LAMBDA(_xlpm.r,_xlpm.c,_xlpm.c))))</f>
        <v/>
      </c>
    </row>
    <row r="538" spans="2:2" x14ac:dyDescent="0.2">
      <c r="B538" t="str" cm="1">
        <f t="array" ref="B538">IF(A538="","",_xlfn.CHOOSECOLS('Prematch Backend 2A'!538:538,_xlfn.MAKEARRAY(1,A538-2,_xlfn.LAMBDA(_xlpm.r,_xlpm.c,_xlpm.c))))</f>
        <v/>
      </c>
    </row>
    <row r="539" spans="2:2" x14ac:dyDescent="0.2">
      <c r="B539" t="str" cm="1">
        <f t="array" ref="B539">IF(A539="","",_xlfn.CHOOSECOLS('Prematch Backend 2A'!539:539,_xlfn.MAKEARRAY(1,A539-2,_xlfn.LAMBDA(_xlpm.r,_xlpm.c,_xlpm.c))))</f>
        <v/>
      </c>
    </row>
    <row r="540" spans="2:2" x14ac:dyDescent="0.2">
      <c r="B540" t="str" cm="1">
        <f t="array" ref="B540">IF(A540="","",_xlfn.CHOOSECOLS('Prematch Backend 2A'!540:540,_xlfn.MAKEARRAY(1,A540-2,_xlfn.LAMBDA(_xlpm.r,_xlpm.c,_xlpm.c))))</f>
        <v/>
      </c>
    </row>
    <row r="541" spans="2:2" x14ac:dyDescent="0.2">
      <c r="B541" t="str" cm="1">
        <f t="array" ref="B541">IF(A541="","",_xlfn.CHOOSECOLS('Prematch Backend 2A'!541:541,_xlfn.MAKEARRAY(1,A541-2,_xlfn.LAMBDA(_xlpm.r,_xlpm.c,_xlpm.c))))</f>
        <v/>
      </c>
    </row>
    <row r="542" spans="2:2" x14ac:dyDescent="0.2">
      <c r="B542" t="str" cm="1">
        <f t="array" ref="B542">IF(A542="","",_xlfn.CHOOSECOLS('Prematch Backend 2A'!542:542,_xlfn.MAKEARRAY(1,A542-2,_xlfn.LAMBDA(_xlpm.r,_xlpm.c,_xlpm.c))))</f>
        <v/>
      </c>
    </row>
    <row r="543" spans="2:2" x14ac:dyDescent="0.2">
      <c r="B543" t="str" cm="1">
        <f t="array" ref="B543">IF(A543="","",_xlfn.CHOOSECOLS('Prematch Backend 2A'!543:543,_xlfn.MAKEARRAY(1,A543-2,_xlfn.LAMBDA(_xlpm.r,_xlpm.c,_xlpm.c))))</f>
        <v/>
      </c>
    </row>
    <row r="544" spans="2:2" x14ac:dyDescent="0.2">
      <c r="B544" t="str" cm="1">
        <f t="array" ref="B544">IF(A544="","",_xlfn.CHOOSECOLS('Prematch Backend 2A'!544:544,_xlfn.MAKEARRAY(1,A544-2,_xlfn.LAMBDA(_xlpm.r,_xlpm.c,_xlpm.c))))</f>
        <v/>
      </c>
    </row>
    <row r="545" spans="2:2" x14ac:dyDescent="0.2">
      <c r="B545" t="str" cm="1">
        <f t="array" ref="B545">IF(A545="","",_xlfn.CHOOSECOLS('Prematch Backend 2A'!545:545,_xlfn.MAKEARRAY(1,A545-2,_xlfn.LAMBDA(_xlpm.r,_xlpm.c,_xlpm.c))))</f>
        <v/>
      </c>
    </row>
    <row r="546" spans="2:2" x14ac:dyDescent="0.2">
      <c r="B546" t="str" cm="1">
        <f t="array" ref="B546">IF(A546="","",_xlfn.CHOOSECOLS('Prematch Backend 2A'!546:546,_xlfn.MAKEARRAY(1,A546-2,_xlfn.LAMBDA(_xlpm.r,_xlpm.c,_xlpm.c))))</f>
        <v/>
      </c>
    </row>
    <row r="547" spans="2:2" x14ac:dyDescent="0.2">
      <c r="B547" t="str" cm="1">
        <f t="array" ref="B547">IF(A547="","",_xlfn.CHOOSECOLS('Prematch Backend 2A'!547:547,_xlfn.MAKEARRAY(1,A547-2,_xlfn.LAMBDA(_xlpm.r,_xlpm.c,_xlpm.c))))</f>
        <v/>
      </c>
    </row>
    <row r="548" spans="2:2" x14ac:dyDescent="0.2">
      <c r="B548" t="str" cm="1">
        <f t="array" ref="B548">IF(A548="","",_xlfn.CHOOSECOLS('Prematch Backend 2A'!548:548,_xlfn.MAKEARRAY(1,A548-2,_xlfn.LAMBDA(_xlpm.r,_xlpm.c,_xlpm.c))))</f>
        <v/>
      </c>
    </row>
    <row r="549" spans="2:2" x14ac:dyDescent="0.2">
      <c r="B549" t="str" cm="1">
        <f t="array" ref="B549">IF(A549="","",_xlfn.CHOOSECOLS('Prematch Backend 2A'!549:549,_xlfn.MAKEARRAY(1,A549-2,_xlfn.LAMBDA(_xlpm.r,_xlpm.c,_xlpm.c))))</f>
        <v/>
      </c>
    </row>
    <row r="550" spans="2:2" x14ac:dyDescent="0.2">
      <c r="B550" t="str" cm="1">
        <f t="array" ref="B550">IF(A550="","",_xlfn.CHOOSECOLS('Prematch Backend 2A'!550:550,_xlfn.MAKEARRAY(1,A550-2,_xlfn.LAMBDA(_xlpm.r,_xlpm.c,_xlpm.c))))</f>
        <v/>
      </c>
    </row>
    <row r="551" spans="2:2" x14ac:dyDescent="0.2">
      <c r="B551" t="str" cm="1">
        <f t="array" ref="B551">IF(A551="","",_xlfn.CHOOSECOLS('Prematch Backend 2A'!551:551,_xlfn.MAKEARRAY(1,A551-2,_xlfn.LAMBDA(_xlpm.r,_xlpm.c,_xlpm.c))))</f>
        <v/>
      </c>
    </row>
    <row r="552" spans="2:2" x14ac:dyDescent="0.2">
      <c r="B552" t="str" cm="1">
        <f t="array" ref="B552">IF(A552="","",_xlfn.CHOOSECOLS('Prematch Backend 2A'!552:552,_xlfn.MAKEARRAY(1,A552-2,_xlfn.LAMBDA(_xlpm.r,_xlpm.c,_xlpm.c))))</f>
        <v/>
      </c>
    </row>
    <row r="553" spans="2:2" x14ac:dyDescent="0.2">
      <c r="B553" t="str" cm="1">
        <f t="array" ref="B553">IF(A553="","",_xlfn.CHOOSECOLS('Prematch Backend 2A'!553:553,_xlfn.MAKEARRAY(1,A553-2,_xlfn.LAMBDA(_xlpm.r,_xlpm.c,_xlpm.c))))</f>
        <v/>
      </c>
    </row>
    <row r="554" spans="2:2" x14ac:dyDescent="0.2">
      <c r="B554" t="str" cm="1">
        <f t="array" ref="B554">IF(A554="","",_xlfn.CHOOSECOLS('Prematch Backend 2A'!554:554,_xlfn.MAKEARRAY(1,A554-2,_xlfn.LAMBDA(_xlpm.r,_xlpm.c,_xlpm.c))))</f>
        <v/>
      </c>
    </row>
    <row r="555" spans="2:2" x14ac:dyDescent="0.2">
      <c r="B555" t="str" cm="1">
        <f t="array" ref="B555">IF(A555="","",_xlfn.CHOOSECOLS('Prematch Backend 2A'!555:555,_xlfn.MAKEARRAY(1,A555-2,_xlfn.LAMBDA(_xlpm.r,_xlpm.c,_xlpm.c))))</f>
        <v/>
      </c>
    </row>
    <row r="556" spans="2:2" x14ac:dyDescent="0.2">
      <c r="B556" t="str" cm="1">
        <f t="array" ref="B556">IF(A556="","",_xlfn.CHOOSECOLS('Prematch Backend 2A'!556:556,_xlfn.MAKEARRAY(1,A556-2,_xlfn.LAMBDA(_xlpm.r,_xlpm.c,_xlpm.c))))</f>
        <v/>
      </c>
    </row>
    <row r="557" spans="2:2" x14ac:dyDescent="0.2">
      <c r="B557" t="str" cm="1">
        <f t="array" ref="B557">IF(A557="","",_xlfn.CHOOSECOLS('Prematch Backend 2A'!557:557,_xlfn.MAKEARRAY(1,A557-2,_xlfn.LAMBDA(_xlpm.r,_xlpm.c,_xlpm.c))))</f>
        <v/>
      </c>
    </row>
    <row r="558" spans="2:2" x14ac:dyDescent="0.2">
      <c r="B558" t="str" cm="1">
        <f t="array" ref="B558">IF(A558="","",_xlfn.CHOOSECOLS('Prematch Backend 2A'!558:558,_xlfn.MAKEARRAY(1,A558-2,_xlfn.LAMBDA(_xlpm.r,_xlpm.c,_xlpm.c))))</f>
        <v/>
      </c>
    </row>
    <row r="559" spans="2:2" x14ac:dyDescent="0.2">
      <c r="B559" t="str" cm="1">
        <f t="array" ref="B559">IF(A559="","",_xlfn.CHOOSECOLS('Prematch Backend 2A'!559:559,_xlfn.MAKEARRAY(1,A559-2,_xlfn.LAMBDA(_xlpm.r,_xlpm.c,_xlpm.c))))</f>
        <v/>
      </c>
    </row>
    <row r="560" spans="2:2" x14ac:dyDescent="0.2">
      <c r="B560" t="str" cm="1">
        <f t="array" ref="B560">IF(A560="","",_xlfn.CHOOSECOLS('Prematch Backend 2A'!560:560,_xlfn.MAKEARRAY(1,A560-2,_xlfn.LAMBDA(_xlpm.r,_xlpm.c,_xlpm.c))))</f>
        <v/>
      </c>
    </row>
    <row r="561" spans="2:2" x14ac:dyDescent="0.2">
      <c r="B561" t="str" cm="1">
        <f t="array" ref="B561">IF(A561="","",_xlfn.CHOOSECOLS('Prematch Backend 2A'!561:561,_xlfn.MAKEARRAY(1,A561-2,_xlfn.LAMBDA(_xlpm.r,_xlpm.c,_xlpm.c))))</f>
        <v/>
      </c>
    </row>
    <row r="562" spans="2:2" x14ac:dyDescent="0.2">
      <c r="B562" t="str" cm="1">
        <f t="array" ref="B562">IF(A562="","",_xlfn.CHOOSECOLS('Prematch Backend 2A'!562:562,_xlfn.MAKEARRAY(1,A562-2,_xlfn.LAMBDA(_xlpm.r,_xlpm.c,_xlpm.c))))</f>
        <v/>
      </c>
    </row>
    <row r="563" spans="2:2" x14ac:dyDescent="0.2">
      <c r="B563" t="str" cm="1">
        <f t="array" ref="B563">IF(A563="","",_xlfn.CHOOSECOLS('Prematch Backend 2A'!563:563,_xlfn.MAKEARRAY(1,A563-2,_xlfn.LAMBDA(_xlpm.r,_xlpm.c,_xlpm.c))))</f>
        <v/>
      </c>
    </row>
    <row r="564" spans="2:2" x14ac:dyDescent="0.2">
      <c r="B564" t="str" cm="1">
        <f t="array" ref="B564">IF(A564="","",_xlfn.CHOOSECOLS('Prematch Backend 2A'!564:564,_xlfn.MAKEARRAY(1,A564-2,_xlfn.LAMBDA(_xlpm.r,_xlpm.c,_xlpm.c))))</f>
        <v/>
      </c>
    </row>
    <row r="565" spans="2:2" x14ac:dyDescent="0.2">
      <c r="B565" t="str" cm="1">
        <f t="array" ref="B565">IF(A565="","",_xlfn.CHOOSECOLS('Prematch Backend 2A'!565:565,_xlfn.MAKEARRAY(1,A565-2,_xlfn.LAMBDA(_xlpm.r,_xlpm.c,_xlpm.c))))</f>
        <v/>
      </c>
    </row>
    <row r="566" spans="2:2" x14ac:dyDescent="0.2">
      <c r="B566" t="str" cm="1">
        <f t="array" ref="B566">IF(A566="","",_xlfn.CHOOSECOLS('Prematch Backend 2A'!566:566,_xlfn.MAKEARRAY(1,A566-2,_xlfn.LAMBDA(_xlpm.r,_xlpm.c,_xlpm.c))))</f>
        <v/>
      </c>
    </row>
    <row r="567" spans="2:2" x14ac:dyDescent="0.2">
      <c r="B567" t="str" cm="1">
        <f t="array" ref="B567">IF(A567="","",_xlfn.CHOOSECOLS('Prematch Backend 2A'!567:567,_xlfn.MAKEARRAY(1,A567-2,_xlfn.LAMBDA(_xlpm.r,_xlpm.c,_xlpm.c))))</f>
        <v/>
      </c>
    </row>
    <row r="568" spans="2:2" x14ac:dyDescent="0.2">
      <c r="B568" t="str" cm="1">
        <f t="array" ref="B568">IF(A568="","",_xlfn.CHOOSECOLS('Prematch Backend 2A'!568:568,_xlfn.MAKEARRAY(1,A568-2,_xlfn.LAMBDA(_xlpm.r,_xlpm.c,_xlpm.c))))</f>
        <v/>
      </c>
    </row>
    <row r="569" spans="2:2" x14ac:dyDescent="0.2">
      <c r="B569" t="str" cm="1">
        <f t="array" ref="B569">IF(A569="","",_xlfn.CHOOSECOLS('Prematch Backend 2A'!569:569,_xlfn.MAKEARRAY(1,A569-2,_xlfn.LAMBDA(_xlpm.r,_xlpm.c,_xlpm.c))))</f>
        <v/>
      </c>
    </row>
    <row r="570" spans="2:2" x14ac:dyDescent="0.2">
      <c r="B570" t="str" cm="1">
        <f t="array" ref="B570">IF(A570="","",_xlfn.CHOOSECOLS('Prematch Backend 2A'!570:570,_xlfn.MAKEARRAY(1,A570-2,_xlfn.LAMBDA(_xlpm.r,_xlpm.c,_xlpm.c))))</f>
        <v/>
      </c>
    </row>
    <row r="571" spans="2:2" x14ac:dyDescent="0.2">
      <c r="B571" t="str" cm="1">
        <f t="array" ref="B571">IF(A571="","",_xlfn.CHOOSECOLS('Prematch Backend 2A'!571:571,_xlfn.MAKEARRAY(1,A571-2,_xlfn.LAMBDA(_xlpm.r,_xlpm.c,_xlpm.c))))</f>
        <v/>
      </c>
    </row>
    <row r="572" spans="2:2" x14ac:dyDescent="0.2">
      <c r="B572" t="str" cm="1">
        <f t="array" ref="B572">IF(A572="","",_xlfn.CHOOSECOLS('Prematch Backend 2A'!572:572,_xlfn.MAKEARRAY(1,A572-2,_xlfn.LAMBDA(_xlpm.r,_xlpm.c,_xlpm.c))))</f>
        <v/>
      </c>
    </row>
    <row r="573" spans="2:2" x14ac:dyDescent="0.2">
      <c r="B573" t="str" cm="1">
        <f t="array" ref="B573">IF(A573="","",_xlfn.CHOOSECOLS('Prematch Backend 2A'!573:573,_xlfn.MAKEARRAY(1,A573-2,_xlfn.LAMBDA(_xlpm.r,_xlpm.c,_xlpm.c))))</f>
        <v/>
      </c>
    </row>
    <row r="574" spans="2:2" x14ac:dyDescent="0.2">
      <c r="B574" t="str" cm="1">
        <f t="array" ref="B574">IF(A574="","",_xlfn.CHOOSECOLS('Prematch Backend 2A'!574:574,_xlfn.MAKEARRAY(1,A574-2,_xlfn.LAMBDA(_xlpm.r,_xlpm.c,_xlpm.c))))</f>
        <v/>
      </c>
    </row>
    <row r="575" spans="2:2" x14ac:dyDescent="0.2">
      <c r="B575" t="str" cm="1">
        <f t="array" ref="B575">IF(A575="","",_xlfn.CHOOSECOLS('Prematch Backend 2A'!575:575,_xlfn.MAKEARRAY(1,A575-2,_xlfn.LAMBDA(_xlpm.r,_xlpm.c,_xlpm.c))))</f>
        <v/>
      </c>
    </row>
    <row r="576" spans="2:2" x14ac:dyDescent="0.2">
      <c r="B576" t="str" cm="1">
        <f t="array" ref="B576">IF(A576="","",_xlfn.CHOOSECOLS('Prematch Backend 2A'!576:576,_xlfn.MAKEARRAY(1,A576-2,_xlfn.LAMBDA(_xlpm.r,_xlpm.c,_xlpm.c))))</f>
        <v/>
      </c>
    </row>
    <row r="577" spans="2:2" x14ac:dyDescent="0.2">
      <c r="B577" t="str" cm="1">
        <f t="array" ref="B577">IF(A577="","",_xlfn.CHOOSECOLS('Prematch Backend 2A'!577:577,_xlfn.MAKEARRAY(1,A577-2,_xlfn.LAMBDA(_xlpm.r,_xlpm.c,_xlpm.c))))</f>
        <v/>
      </c>
    </row>
    <row r="578" spans="2:2" x14ac:dyDescent="0.2">
      <c r="B578" t="str" cm="1">
        <f t="array" ref="B578">IF(A578="","",_xlfn.CHOOSECOLS('Prematch Backend 2A'!578:578,_xlfn.MAKEARRAY(1,A578-2,_xlfn.LAMBDA(_xlpm.r,_xlpm.c,_xlpm.c))))</f>
        <v/>
      </c>
    </row>
    <row r="579" spans="2:2" x14ac:dyDescent="0.2">
      <c r="B579" t="str" cm="1">
        <f t="array" ref="B579">IF(A579="","",_xlfn.CHOOSECOLS('Prematch Backend 2A'!579:579,_xlfn.MAKEARRAY(1,A579-2,_xlfn.LAMBDA(_xlpm.r,_xlpm.c,_xlpm.c))))</f>
        <v/>
      </c>
    </row>
    <row r="580" spans="2:2" x14ac:dyDescent="0.2">
      <c r="B580" t="str" cm="1">
        <f t="array" ref="B580">IF(A580="","",_xlfn.CHOOSECOLS('Prematch Backend 2A'!580:580,_xlfn.MAKEARRAY(1,A580-2,_xlfn.LAMBDA(_xlpm.r,_xlpm.c,_xlpm.c))))</f>
        <v/>
      </c>
    </row>
    <row r="581" spans="2:2" x14ac:dyDescent="0.2">
      <c r="B581" t="str" cm="1">
        <f t="array" ref="B581">IF(A581="","",_xlfn.CHOOSECOLS('Prematch Backend 2A'!581:581,_xlfn.MAKEARRAY(1,A581-2,_xlfn.LAMBDA(_xlpm.r,_xlpm.c,_xlpm.c))))</f>
        <v/>
      </c>
    </row>
    <row r="582" spans="2:2" x14ac:dyDescent="0.2">
      <c r="B582" t="str" cm="1">
        <f t="array" ref="B582">IF(A582="","",_xlfn.CHOOSECOLS('Prematch Backend 2A'!582:582,_xlfn.MAKEARRAY(1,A582-2,_xlfn.LAMBDA(_xlpm.r,_xlpm.c,_xlpm.c))))</f>
        <v/>
      </c>
    </row>
    <row r="583" spans="2:2" x14ac:dyDescent="0.2">
      <c r="B583" t="str" cm="1">
        <f t="array" ref="B583">IF(A583="","",_xlfn.CHOOSECOLS('Prematch Backend 2A'!583:583,_xlfn.MAKEARRAY(1,A583-2,_xlfn.LAMBDA(_xlpm.r,_xlpm.c,_xlpm.c))))</f>
        <v/>
      </c>
    </row>
    <row r="584" spans="2:2" x14ac:dyDescent="0.2">
      <c r="B584" t="str" cm="1">
        <f t="array" ref="B584">IF(A584="","",_xlfn.CHOOSECOLS('Prematch Backend 2A'!584:584,_xlfn.MAKEARRAY(1,A584-2,_xlfn.LAMBDA(_xlpm.r,_xlpm.c,_xlpm.c))))</f>
        <v/>
      </c>
    </row>
    <row r="585" spans="2:2" x14ac:dyDescent="0.2">
      <c r="B585" t="str" cm="1">
        <f t="array" ref="B585">IF(A585="","",_xlfn.CHOOSECOLS('Prematch Backend 2A'!585:585,_xlfn.MAKEARRAY(1,A585-2,_xlfn.LAMBDA(_xlpm.r,_xlpm.c,_xlpm.c))))</f>
        <v/>
      </c>
    </row>
    <row r="586" spans="2:2" x14ac:dyDescent="0.2">
      <c r="B586" t="str" cm="1">
        <f t="array" ref="B586">IF(A586="","",_xlfn.CHOOSECOLS('Prematch Backend 2A'!586:586,_xlfn.MAKEARRAY(1,A586-2,_xlfn.LAMBDA(_xlpm.r,_xlpm.c,_xlpm.c))))</f>
        <v/>
      </c>
    </row>
    <row r="587" spans="2:2" x14ac:dyDescent="0.2">
      <c r="B587" t="str" cm="1">
        <f t="array" ref="B587">IF(A587="","",_xlfn.CHOOSECOLS('Prematch Backend 2A'!587:587,_xlfn.MAKEARRAY(1,A587-2,_xlfn.LAMBDA(_xlpm.r,_xlpm.c,_xlpm.c))))</f>
        <v/>
      </c>
    </row>
    <row r="588" spans="2:2" x14ac:dyDescent="0.2">
      <c r="B588" t="str" cm="1">
        <f t="array" ref="B588">IF(A588="","",_xlfn.CHOOSECOLS('Prematch Backend 2A'!588:588,_xlfn.MAKEARRAY(1,A588-2,_xlfn.LAMBDA(_xlpm.r,_xlpm.c,_xlpm.c))))</f>
        <v/>
      </c>
    </row>
    <row r="589" spans="2:2" x14ac:dyDescent="0.2">
      <c r="B589" t="str" cm="1">
        <f t="array" ref="B589">IF(A589="","",_xlfn.CHOOSECOLS('Prematch Backend 2A'!589:589,_xlfn.MAKEARRAY(1,A589-2,_xlfn.LAMBDA(_xlpm.r,_xlpm.c,_xlpm.c))))</f>
        <v/>
      </c>
    </row>
    <row r="590" spans="2:2" x14ac:dyDescent="0.2">
      <c r="B590" t="str" cm="1">
        <f t="array" ref="B590">IF(A590="","",_xlfn.CHOOSECOLS('Prematch Backend 2A'!590:590,_xlfn.MAKEARRAY(1,A590-2,_xlfn.LAMBDA(_xlpm.r,_xlpm.c,_xlpm.c))))</f>
        <v/>
      </c>
    </row>
    <row r="591" spans="2:2" x14ac:dyDescent="0.2">
      <c r="B591" t="str" cm="1">
        <f t="array" ref="B591">IF(A591="","",_xlfn.CHOOSECOLS('Prematch Backend 2A'!591:591,_xlfn.MAKEARRAY(1,A591-2,_xlfn.LAMBDA(_xlpm.r,_xlpm.c,_xlpm.c))))</f>
        <v/>
      </c>
    </row>
    <row r="592" spans="2:2" x14ac:dyDescent="0.2">
      <c r="B592" t="str" cm="1">
        <f t="array" ref="B592">IF(A592="","",_xlfn.CHOOSECOLS('Prematch Backend 2A'!592:592,_xlfn.MAKEARRAY(1,A592-2,_xlfn.LAMBDA(_xlpm.r,_xlpm.c,_xlpm.c))))</f>
        <v/>
      </c>
    </row>
    <row r="593" spans="2:2" x14ac:dyDescent="0.2">
      <c r="B593" t="str" cm="1">
        <f t="array" ref="B593">IF(A593="","",_xlfn.CHOOSECOLS('Prematch Backend 2A'!593:593,_xlfn.MAKEARRAY(1,A593-2,_xlfn.LAMBDA(_xlpm.r,_xlpm.c,_xlpm.c))))</f>
        <v/>
      </c>
    </row>
    <row r="594" spans="2:2" x14ac:dyDescent="0.2">
      <c r="B594" t="str" cm="1">
        <f t="array" ref="B594">IF(A594="","",_xlfn.CHOOSECOLS('Prematch Backend 2A'!594:594,_xlfn.MAKEARRAY(1,A594-2,_xlfn.LAMBDA(_xlpm.r,_xlpm.c,_xlpm.c))))</f>
        <v/>
      </c>
    </row>
    <row r="595" spans="2:2" x14ac:dyDescent="0.2">
      <c r="B595" t="str" cm="1">
        <f t="array" ref="B595">IF(A595="","",_xlfn.CHOOSECOLS('Prematch Backend 2A'!595:595,_xlfn.MAKEARRAY(1,A595-2,_xlfn.LAMBDA(_xlpm.r,_xlpm.c,_xlpm.c))))</f>
        <v/>
      </c>
    </row>
    <row r="596" spans="2:2" x14ac:dyDescent="0.2">
      <c r="B596" t="str" cm="1">
        <f t="array" ref="B596">IF(A596="","",_xlfn.CHOOSECOLS('Prematch Backend 2A'!596:596,_xlfn.MAKEARRAY(1,A596-2,_xlfn.LAMBDA(_xlpm.r,_xlpm.c,_xlpm.c))))</f>
        <v/>
      </c>
    </row>
    <row r="597" spans="2:2" x14ac:dyDescent="0.2">
      <c r="B597" t="str" cm="1">
        <f t="array" ref="B597">IF(A597="","",_xlfn.CHOOSECOLS('Prematch Backend 2A'!597:597,_xlfn.MAKEARRAY(1,A597-2,_xlfn.LAMBDA(_xlpm.r,_xlpm.c,_xlpm.c))))</f>
        <v/>
      </c>
    </row>
    <row r="598" spans="2:2" x14ac:dyDescent="0.2">
      <c r="B598" t="str" cm="1">
        <f t="array" ref="B598">IF(A598="","",_xlfn.CHOOSECOLS('Prematch Backend 2A'!598:598,_xlfn.MAKEARRAY(1,A598-2,_xlfn.LAMBDA(_xlpm.r,_xlpm.c,_xlpm.c))))</f>
        <v/>
      </c>
    </row>
    <row r="599" spans="2:2" x14ac:dyDescent="0.2">
      <c r="B599" t="str" cm="1">
        <f t="array" ref="B599">IF(A599="","",_xlfn.CHOOSECOLS('Prematch Backend 2A'!599:599,_xlfn.MAKEARRAY(1,A599-2,_xlfn.LAMBDA(_xlpm.r,_xlpm.c,_xlpm.c))))</f>
        <v/>
      </c>
    </row>
    <row r="600" spans="2:2" x14ac:dyDescent="0.2">
      <c r="B600" t="str" cm="1">
        <f t="array" ref="B600">IF(A600="","",_xlfn.CHOOSECOLS('Prematch Backend 2A'!600:600,_xlfn.MAKEARRAY(1,A600-2,_xlfn.LAMBDA(_xlpm.r,_xlpm.c,_xlpm.c))))</f>
        <v/>
      </c>
    </row>
    <row r="601" spans="2:2" x14ac:dyDescent="0.2">
      <c r="B601" t="str" cm="1">
        <f t="array" ref="B601">IF(A601="","",_xlfn.CHOOSECOLS('Prematch Backend 2A'!601:601,_xlfn.MAKEARRAY(1,A601-2,_xlfn.LAMBDA(_xlpm.r,_xlpm.c,_xlpm.c))))</f>
        <v/>
      </c>
    </row>
    <row r="602" spans="2:2" x14ac:dyDescent="0.2">
      <c r="B602" t="str" cm="1">
        <f t="array" ref="B602">IF(A602="","",_xlfn.CHOOSECOLS('Prematch Backend 2A'!602:602,_xlfn.MAKEARRAY(1,A602-2,_xlfn.LAMBDA(_xlpm.r,_xlpm.c,_xlpm.c))))</f>
        <v/>
      </c>
    </row>
    <row r="603" spans="2:2" x14ac:dyDescent="0.2">
      <c r="B603" t="str" cm="1">
        <f t="array" ref="B603">IF(A603="","",_xlfn.CHOOSECOLS('Prematch Backend 2A'!603:603,_xlfn.MAKEARRAY(1,A603-2,_xlfn.LAMBDA(_xlpm.r,_xlpm.c,_xlpm.c))))</f>
        <v/>
      </c>
    </row>
    <row r="604" spans="2:2" x14ac:dyDescent="0.2">
      <c r="B604" t="str" cm="1">
        <f t="array" ref="B604">IF(A604="","",_xlfn.CHOOSECOLS('Prematch Backend 2A'!604:604,_xlfn.MAKEARRAY(1,A604-2,_xlfn.LAMBDA(_xlpm.r,_xlpm.c,_xlpm.c))))</f>
        <v/>
      </c>
    </row>
    <row r="605" spans="2:2" x14ac:dyDescent="0.2">
      <c r="B605" t="str" cm="1">
        <f t="array" ref="B605">IF(A605="","",_xlfn.CHOOSECOLS('Prematch Backend 2A'!605:605,_xlfn.MAKEARRAY(1,A605-2,_xlfn.LAMBDA(_xlpm.r,_xlpm.c,_xlpm.c))))</f>
        <v/>
      </c>
    </row>
    <row r="606" spans="2:2" x14ac:dyDescent="0.2">
      <c r="B606" t="str" cm="1">
        <f t="array" ref="B606">IF(A606="","",_xlfn.CHOOSECOLS('Prematch Backend 2A'!606:606,_xlfn.MAKEARRAY(1,A606-2,_xlfn.LAMBDA(_xlpm.r,_xlpm.c,_xlpm.c))))</f>
        <v/>
      </c>
    </row>
    <row r="607" spans="2:2" x14ac:dyDescent="0.2">
      <c r="B607" t="str" cm="1">
        <f t="array" ref="B607">IF(A607="","",_xlfn.CHOOSECOLS('Prematch Backend 2A'!607:607,_xlfn.MAKEARRAY(1,A607-2,_xlfn.LAMBDA(_xlpm.r,_xlpm.c,_xlpm.c))))</f>
        <v/>
      </c>
    </row>
    <row r="608" spans="2:2" x14ac:dyDescent="0.2">
      <c r="B608" t="str" cm="1">
        <f t="array" ref="B608">IF(A608="","",_xlfn.CHOOSECOLS('Prematch Backend 2A'!608:608,_xlfn.MAKEARRAY(1,A608-2,_xlfn.LAMBDA(_xlpm.r,_xlpm.c,_xlpm.c))))</f>
        <v/>
      </c>
    </row>
    <row r="609" spans="2:2" x14ac:dyDescent="0.2">
      <c r="B609" t="str" cm="1">
        <f t="array" ref="B609">IF(A609="","",_xlfn.CHOOSECOLS('Prematch Backend 2A'!609:609,_xlfn.MAKEARRAY(1,A609-2,_xlfn.LAMBDA(_xlpm.r,_xlpm.c,_xlpm.c))))</f>
        <v/>
      </c>
    </row>
    <row r="610" spans="2:2" x14ac:dyDescent="0.2">
      <c r="B610" t="str" cm="1">
        <f t="array" ref="B610">IF(A610="","",_xlfn.CHOOSECOLS('Prematch Backend 2A'!610:610,_xlfn.MAKEARRAY(1,A610-2,_xlfn.LAMBDA(_xlpm.r,_xlpm.c,_xlpm.c))))</f>
        <v/>
      </c>
    </row>
    <row r="611" spans="2:2" x14ac:dyDescent="0.2">
      <c r="B611" t="str" cm="1">
        <f t="array" ref="B611">IF(A611="","",_xlfn.CHOOSECOLS('Prematch Backend 2A'!611:611,_xlfn.MAKEARRAY(1,A611-2,_xlfn.LAMBDA(_xlpm.r,_xlpm.c,_xlpm.c))))</f>
        <v/>
      </c>
    </row>
    <row r="612" spans="2:2" x14ac:dyDescent="0.2">
      <c r="B612" t="str" cm="1">
        <f t="array" ref="B612">IF(A612="","",_xlfn.CHOOSECOLS('Prematch Backend 2A'!612:612,_xlfn.MAKEARRAY(1,A612-2,_xlfn.LAMBDA(_xlpm.r,_xlpm.c,_xlpm.c))))</f>
        <v/>
      </c>
    </row>
    <row r="613" spans="2:2" x14ac:dyDescent="0.2">
      <c r="B613" t="str" cm="1">
        <f t="array" ref="B613">IF(A613="","",_xlfn.CHOOSECOLS('Prematch Backend 2A'!613:613,_xlfn.MAKEARRAY(1,A613-2,_xlfn.LAMBDA(_xlpm.r,_xlpm.c,_xlpm.c))))</f>
        <v/>
      </c>
    </row>
    <row r="614" spans="2:2" x14ac:dyDescent="0.2">
      <c r="B614" t="str" cm="1">
        <f t="array" ref="B614">IF(A614="","",_xlfn.CHOOSECOLS('Prematch Backend 2A'!614:614,_xlfn.MAKEARRAY(1,A614-2,_xlfn.LAMBDA(_xlpm.r,_xlpm.c,_xlpm.c))))</f>
        <v/>
      </c>
    </row>
    <row r="615" spans="2:2" x14ac:dyDescent="0.2">
      <c r="B615" t="str" cm="1">
        <f t="array" ref="B615">IF(A615="","",_xlfn.CHOOSECOLS('Prematch Backend 2A'!615:615,_xlfn.MAKEARRAY(1,A615-2,_xlfn.LAMBDA(_xlpm.r,_xlpm.c,_xlpm.c))))</f>
        <v/>
      </c>
    </row>
    <row r="616" spans="2:2" x14ac:dyDescent="0.2">
      <c r="B616" t="str" cm="1">
        <f t="array" ref="B616">IF(A616="","",_xlfn.CHOOSECOLS('Prematch Backend 2A'!616:616,_xlfn.MAKEARRAY(1,A616-2,_xlfn.LAMBDA(_xlpm.r,_xlpm.c,_xlpm.c))))</f>
        <v/>
      </c>
    </row>
    <row r="617" spans="2:2" x14ac:dyDescent="0.2">
      <c r="B617" t="str" cm="1">
        <f t="array" ref="B617">IF(A617="","",_xlfn.CHOOSECOLS('Prematch Backend 2A'!617:617,_xlfn.MAKEARRAY(1,A617-2,_xlfn.LAMBDA(_xlpm.r,_xlpm.c,_xlpm.c))))</f>
        <v/>
      </c>
    </row>
    <row r="618" spans="2:2" x14ac:dyDescent="0.2">
      <c r="B618" t="str" cm="1">
        <f t="array" ref="B618">IF(A618="","",_xlfn.CHOOSECOLS('Prematch Backend 2A'!618:618,_xlfn.MAKEARRAY(1,A618-2,_xlfn.LAMBDA(_xlpm.r,_xlpm.c,_xlpm.c))))</f>
        <v/>
      </c>
    </row>
    <row r="619" spans="2:2" x14ac:dyDescent="0.2">
      <c r="B619" t="str" cm="1">
        <f t="array" ref="B619">IF(A619="","",_xlfn.CHOOSECOLS('Prematch Backend 2A'!619:619,_xlfn.MAKEARRAY(1,A619-2,_xlfn.LAMBDA(_xlpm.r,_xlpm.c,_xlpm.c))))</f>
        <v/>
      </c>
    </row>
    <row r="620" spans="2:2" x14ac:dyDescent="0.2">
      <c r="B620" t="str" cm="1">
        <f t="array" ref="B620">IF(A620="","",_xlfn.CHOOSECOLS('Prematch Backend 2A'!620:620,_xlfn.MAKEARRAY(1,A620-2,_xlfn.LAMBDA(_xlpm.r,_xlpm.c,_xlpm.c))))</f>
        <v/>
      </c>
    </row>
    <row r="621" spans="2:2" x14ac:dyDescent="0.2">
      <c r="B621" t="str" cm="1">
        <f t="array" ref="B621">IF(A621="","",_xlfn.CHOOSECOLS('Prematch Backend 2A'!621:621,_xlfn.MAKEARRAY(1,A621-2,_xlfn.LAMBDA(_xlpm.r,_xlpm.c,_xlpm.c))))</f>
        <v/>
      </c>
    </row>
    <row r="622" spans="2:2" x14ac:dyDescent="0.2">
      <c r="B622" t="str" cm="1">
        <f t="array" ref="B622">IF(A622="","",_xlfn.CHOOSECOLS('Prematch Backend 2A'!622:622,_xlfn.MAKEARRAY(1,A622-2,_xlfn.LAMBDA(_xlpm.r,_xlpm.c,_xlpm.c))))</f>
        <v/>
      </c>
    </row>
    <row r="623" spans="2:2" x14ac:dyDescent="0.2">
      <c r="B623" t="str" cm="1">
        <f t="array" ref="B623">IF(A623="","",_xlfn.CHOOSECOLS('Prematch Backend 2A'!623:623,_xlfn.MAKEARRAY(1,A623-2,_xlfn.LAMBDA(_xlpm.r,_xlpm.c,_xlpm.c))))</f>
        <v/>
      </c>
    </row>
    <row r="624" spans="2:2" x14ac:dyDescent="0.2">
      <c r="B624" t="str" cm="1">
        <f t="array" ref="B624">IF(A624="","",_xlfn.CHOOSECOLS('Prematch Backend 2A'!624:624,_xlfn.MAKEARRAY(1,A624-2,_xlfn.LAMBDA(_xlpm.r,_xlpm.c,_xlpm.c))))</f>
        <v/>
      </c>
    </row>
    <row r="625" spans="2:2" x14ac:dyDescent="0.2">
      <c r="B625" t="str" cm="1">
        <f t="array" ref="B625">IF(A625="","",_xlfn.CHOOSECOLS('Prematch Backend 2A'!625:625,_xlfn.MAKEARRAY(1,A625-2,_xlfn.LAMBDA(_xlpm.r,_xlpm.c,_xlpm.c))))</f>
        <v/>
      </c>
    </row>
    <row r="626" spans="2:2" x14ac:dyDescent="0.2">
      <c r="B626" t="str" cm="1">
        <f t="array" ref="B626">IF(A626="","",_xlfn.CHOOSECOLS('Prematch Backend 2A'!626:626,_xlfn.MAKEARRAY(1,A626-2,_xlfn.LAMBDA(_xlpm.r,_xlpm.c,_xlpm.c))))</f>
        <v/>
      </c>
    </row>
    <row r="627" spans="2:2" x14ac:dyDescent="0.2">
      <c r="B627" t="str" cm="1">
        <f t="array" ref="B627">IF(A627="","",_xlfn.CHOOSECOLS('Prematch Backend 2A'!627:627,_xlfn.MAKEARRAY(1,A627-2,_xlfn.LAMBDA(_xlpm.r,_xlpm.c,_xlpm.c))))</f>
        <v/>
      </c>
    </row>
    <row r="628" spans="2:2" x14ac:dyDescent="0.2">
      <c r="B628" t="str" cm="1">
        <f t="array" ref="B628">IF(A628="","",_xlfn.CHOOSECOLS('Prematch Backend 2A'!628:628,_xlfn.MAKEARRAY(1,A628-2,_xlfn.LAMBDA(_xlpm.r,_xlpm.c,_xlpm.c))))</f>
        <v/>
      </c>
    </row>
    <row r="629" spans="2:2" x14ac:dyDescent="0.2">
      <c r="B629" t="str" cm="1">
        <f t="array" ref="B629">IF(A629="","",_xlfn.CHOOSECOLS('Prematch Backend 2A'!629:629,_xlfn.MAKEARRAY(1,A629-2,_xlfn.LAMBDA(_xlpm.r,_xlpm.c,_xlpm.c))))</f>
        <v/>
      </c>
    </row>
    <row r="630" spans="2:2" x14ac:dyDescent="0.2">
      <c r="B630" t="str" cm="1">
        <f t="array" ref="B630">IF(A630="","",_xlfn.CHOOSECOLS('Prematch Backend 2A'!630:630,_xlfn.MAKEARRAY(1,A630-2,_xlfn.LAMBDA(_xlpm.r,_xlpm.c,_xlpm.c))))</f>
        <v/>
      </c>
    </row>
    <row r="631" spans="2:2" x14ac:dyDescent="0.2">
      <c r="B631" t="str" cm="1">
        <f t="array" ref="B631">IF(A631="","",_xlfn.CHOOSECOLS('Prematch Backend 2A'!631:631,_xlfn.MAKEARRAY(1,A631-2,_xlfn.LAMBDA(_xlpm.r,_xlpm.c,_xlpm.c))))</f>
        <v/>
      </c>
    </row>
    <row r="632" spans="2:2" x14ac:dyDescent="0.2">
      <c r="B632" t="str" cm="1">
        <f t="array" ref="B632">IF(A632="","",_xlfn.CHOOSECOLS('Prematch Backend 2A'!632:632,_xlfn.MAKEARRAY(1,A632-2,_xlfn.LAMBDA(_xlpm.r,_xlpm.c,_xlpm.c))))</f>
        <v/>
      </c>
    </row>
    <row r="633" spans="2:2" x14ac:dyDescent="0.2">
      <c r="B633" t="str" cm="1">
        <f t="array" ref="B633">IF(A633="","",_xlfn.CHOOSECOLS('Prematch Backend 2A'!633:633,_xlfn.MAKEARRAY(1,A633-2,_xlfn.LAMBDA(_xlpm.r,_xlpm.c,_xlpm.c))))</f>
        <v/>
      </c>
    </row>
    <row r="634" spans="2:2" x14ac:dyDescent="0.2">
      <c r="B634" t="str" cm="1">
        <f t="array" ref="B634">IF(A634="","",_xlfn.CHOOSECOLS('Prematch Backend 2A'!634:634,_xlfn.MAKEARRAY(1,A634-2,_xlfn.LAMBDA(_xlpm.r,_xlpm.c,_xlpm.c))))</f>
        <v/>
      </c>
    </row>
    <row r="635" spans="2:2" x14ac:dyDescent="0.2">
      <c r="B635" t="str" cm="1">
        <f t="array" ref="B635">IF(A635="","",_xlfn.CHOOSECOLS('Prematch Backend 2A'!635:635,_xlfn.MAKEARRAY(1,A635-2,_xlfn.LAMBDA(_xlpm.r,_xlpm.c,_xlpm.c))))</f>
        <v/>
      </c>
    </row>
    <row r="636" spans="2:2" x14ac:dyDescent="0.2">
      <c r="B636" t="str" cm="1">
        <f t="array" ref="B636">IF(A636="","",_xlfn.CHOOSECOLS('Prematch Backend 2A'!636:636,_xlfn.MAKEARRAY(1,A636-2,_xlfn.LAMBDA(_xlpm.r,_xlpm.c,_xlpm.c))))</f>
        <v/>
      </c>
    </row>
    <row r="637" spans="2:2" x14ac:dyDescent="0.2">
      <c r="B637" t="str" cm="1">
        <f t="array" ref="B637">IF(A637="","",_xlfn.CHOOSECOLS('Prematch Backend 2A'!637:637,_xlfn.MAKEARRAY(1,A637-2,_xlfn.LAMBDA(_xlpm.r,_xlpm.c,_xlpm.c))))</f>
        <v/>
      </c>
    </row>
    <row r="638" spans="2:2" x14ac:dyDescent="0.2">
      <c r="B638" t="str" cm="1">
        <f t="array" ref="B638">IF(A638="","",_xlfn.CHOOSECOLS('Prematch Backend 2A'!638:638,_xlfn.MAKEARRAY(1,A638-2,_xlfn.LAMBDA(_xlpm.r,_xlpm.c,_xlpm.c))))</f>
        <v/>
      </c>
    </row>
    <row r="639" spans="2:2" x14ac:dyDescent="0.2">
      <c r="B639" t="str" cm="1">
        <f t="array" ref="B639">IF(A639="","",_xlfn.CHOOSECOLS('Prematch Backend 2A'!639:639,_xlfn.MAKEARRAY(1,A639-2,_xlfn.LAMBDA(_xlpm.r,_xlpm.c,_xlpm.c))))</f>
        <v/>
      </c>
    </row>
    <row r="640" spans="2:2" x14ac:dyDescent="0.2">
      <c r="B640" t="str" cm="1">
        <f t="array" ref="B640">IF(A640="","",_xlfn.CHOOSECOLS('Prematch Backend 2A'!640:640,_xlfn.MAKEARRAY(1,A640-2,_xlfn.LAMBDA(_xlpm.r,_xlpm.c,_xlpm.c))))</f>
        <v/>
      </c>
    </row>
    <row r="641" spans="2:2" x14ac:dyDescent="0.2">
      <c r="B641" t="str" cm="1">
        <f t="array" ref="B641">IF(A641="","",_xlfn.CHOOSECOLS('Prematch Backend 2A'!641:641,_xlfn.MAKEARRAY(1,A641-2,_xlfn.LAMBDA(_xlpm.r,_xlpm.c,_xlpm.c))))</f>
        <v/>
      </c>
    </row>
    <row r="642" spans="2:2" x14ac:dyDescent="0.2">
      <c r="B642" t="str" cm="1">
        <f t="array" ref="B642">IF(A642="","",_xlfn.CHOOSECOLS('Prematch Backend 2A'!642:642,_xlfn.MAKEARRAY(1,A642-2,_xlfn.LAMBDA(_xlpm.r,_xlpm.c,_xlpm.c))))</f>
        <v/>
      </c>
    </row>
    <row r="643" spans="2:2" x14ac:dyDescent="0.2">
      <c r="B643" t="str" cm="1">
        <f t="array" ref="B643">IF(A643="","",_xlfn.CHOOSECOLS('Prematch Backend 2A'!643:643,_xlfn.MAKEARRAY(1,A643-2,_xlfn.LAMBDA(_xlpm.r,_xlpm.c,_xlpm.c))))</f>
        <v/>
      </c>
    </row>
    <row r="644" spans="2:2" x14ac:dyDescent="0.2">
      <c r="B644" t="str" cm="1">
        <f t="array" ref="B644">IF(A644="","",_xlfn.CHOOSECOLS('Prematch Backend 2A'!644:644,_xlfn.MAKEARRAY(1,A644-2,_xlfn.LAMBDA(_xlpm.r,_xlpm.c,_xlpm.c))))</f>
        <v/>
      </c>
    </row>
    <row r="645" spans="2:2" x14ac:dyDescent="0.2">
      <c r="B645" t="str" cm="1">
        <f t="array" ref="B645">IF(A645="","",_xlfn.CHOOSECOLS('Prematch Backend 2A'!645:645,_xlfn.MAKEARRAY(1,A645-2,_xlfn.LAMBDA(_xlpm.r,_xlpm.c,_xlpm.c))))</f>
        <v/>
      </c>
    </row>
    <row r="646" spans="2:2" x14ac:dyDescent="0.2">
      <c r="B646" t="str" cm="1">
        <f t="array" ref="B646">IF(A646="","",_xlfn.CHOOSECOLS('Prematch Backend 2A'!646:646,_xlfn.MAKEARRAY(1,A646-2,_xlfn.LAMBDA(_xlpm.r,_xlpm.c,_xlpm.c))))</f>
        <v/>
      </c>
    </row>
    <row r="647" spans="2:2" x14ac:dyDescent="0.2">
      <c r="B647" t="str" cm="1">
        <f t="array" ref="B647">IF(A647="","",_xlfn.CHOOSECOLS('Prematch Backend 2A'!647:647,_xlfn.MAKEARRAY(1,A647-2,_xlfn.LAMBDA(_xlpm.r,_xlpm.c,_xlpm.c))))</f>
        <v/>
      </c>
    </row>
    <row r="648" spans="2:2" x14ac:dyDescent="0.2">
      <c r="B648" t="str" cm="1">
        <f t="array" ref="B648">IF(A648="","",_xlfn.CHOOSECOLS('Prematch Backend 2A'!648:648,_xlfn.MAKEARRAY(1,A648-2,_xlfn.LAMBDA(_xlpm.r,_xlpm.c,_xlpm.c))))</f>
        <v/>
      </c>
    </row>
    <row r="649" spans="2:2" x14ac:dyDescent="0.2">
      <c r="B649" t="str" cm="1">
        <f t="array" ref="B649">IF(A649="","",_xlfn.CHOOSECOLS('Prematch Backend 2A'!649:649,_xlfn.MAKEARRAY(1,A649-2,_xlfn.LAMBDA(_xlpm.r,_xlpm.c,_xlpm.c))))</f>
        <v/>
      </c>
    </row>
    <row r="650" spans="2:2" x14ac:dyDescent="0.2">
      <c r="B650" t="str" cm="1">
        <f t="array" ref="B650">IF(A650="","",_xlfn.CHOOSECOLS('Prematch Backend 2A'!650:650,_xlfn.MAKEARRAY(1,A650-2,_xlfn.LAMBDA(_xlpm.r,_xlpm.c,_xlpm.c))))</f>
        <v/>
      </c>
    </row>
    <row r="651" spans="2:2" x14ac:dyDescent="0.2">
      <c r="B651" t="str" cm="1">
        <f t="array" ref="B651">IF(A651="","",_xlfn.CHOOSECOLS('Prematch Backend 2A'!651:651,_xlfn.MAKEARRAY(1,A651-2,_xlfn.LAMBDA(_xlpm.r,_xlpm.c,_xlpm.c))))</f>
        <v/>
      </c>
    </row>
    <row r="652" spans="2:2" x14ac:dyDescent="0.2">
      <c r="B652" t="str" cm="1">
        <f t="array" ref="B652">IF(A652="","",_xlfn.CHOOSECOLS('Prematch Backend 2A'!652:652,_xlfn.MAKEARRAY(1,A652-2,_xlfn.LAMBDA(_xlpm.r,_xlpm.c,_xlpm.c))))</f>
        <v/>
      </c>
    </row>
    <row r="653" spans="2:2" x14ac:dyDescent="0.2">
      <c r="B653" t="str" cm="1">
        <f t="array" ref="B653">IF(A653="","",_xlfn.CHOOSECOLS('Prematch Backend 2A'!653:653,_xlfn.MAKEARRAY(1,A653-2,_xlfn.LAMBDA(_xlpm.r,_xlpm.c,_xlpm.c))))</f>
        <v/>
      </c>
    </row>
    <row r="654" spans="2:2" x14ac:dyDescent="0.2">
      <c r="B654" t="str" cm="1">
        <f t="array" ref="B654">IF(A654="","",_xlfn.CHOOSECOLS('Prematch Backend 2A'!654:654,_xlfn.MAKEARRAY(1,A654-2,_xlfn.LAMBDA(_xlpm.r,_xlpm.c,_xlpm.c))))</f>
        <v/>
      </c>
    </row>
    <row r="655" spans="2:2" x14ac:dyDescent="0.2">
      <c r="B655" t="str" cm="1">
        <f t="array" ref="B655">IF(A655="","",_xlfn.CHOOSECOLS('Prematch Backend 2A'!655:655,_xlfn.MAKEARRAY(1,A655-2,_xlfn.LAMBDA(_xlpm.r,_xlpm.c,_xlpm.c))))</f>
        <v/>
      </c>
    </row>
    <row r="656" spans="2:2" x14ac:dyDescent="0.2">
      <c r="B656" t="str" cm="1">
        <f t="array" ref="B656">IF(A656="","",_xlfn.CHOOSECOLS('Prematch Backend 2A'!656:656,_xlfn.MAKEARRAY(1,A656-2,_xlfn.LAMBDA(_xlpm.r,_xlpm.c,_xlpm.c))))</f>
        <v/>
      </c>
    </row>
    <row r="657" spans="2:2" x14ac:dyDescent="0.2">
      <c r="B657" t="str" cm="1">
        <f t="array" ref="B657">IF(A657="","",_xlfn.CHOOSECOLS('Prematch Backend 2A'!657:657,_xlfn.MAKEARRAY(1,A657-2,_xlfn.LAMBDA(_xlpm.r,_xlpm.c,_xlpm.c))))</f>
        <v/>
      </c>
    </row>
    <row r="658" spans="2:2" x14ac:dyDescent="0.2">
      <c r="B658" t="str" cm="1">
        <f t="array" ref="B658">IF(A658="","",_xlfn.CHOOSECOLS('Prematch Backend 2A'!658:658,_xlfn.MAKEARRAY(1,A658-2,_xlfn.LAMBDA(_xlpm.r,_xlpm.c,_xlpm.c))))</f>
        <v/>
      </c>
    </row>
    <row r="659" spans="2:2" x14ac:dyDescent="0.2">
      <c r="B659" t="str" cm="1">
        <f t="array" ref="B659">IF(A659="","",_xlfn.CHOOSECOLS('Prematch Backend 2A'!659:659,_xlfn.MAKEARRAY(1,A659-2,_xlfn.LAMBDA(_xlpm.r,_xlpm.c,_xlpm.c))))</f>
        <v/>
      </c>
    </row>
    <row r="660" spans="2:2" x14ac:dyDescent="0.2">
      <c r="B660" t="str" cm="1">
        <f t="array" ref="B660">IF(A660="","",_xlfn.CHOOSECOLS('Prematch Backend 2A'!660:660,_xlfn.MAKEARRAY(1,A660-2,_xlfn.LAMBDA(_xlpm.r,_xlpm.c,_xlpm.c))))</f>
        <v/>
      </c>
    </row>
    <row r="661" spans="2:2" x14ac:dyDescent="0.2">
      <c r="B661" t="str" cm="1">
        <f t="array" ref="B661">IF(A661="","",_xlfn.CHOOSECOLS('Prematch Backend 2A'!661:661,_xlfn.MAKEARRAY(1,A661-2,_xlfn.LAMBDA(_xlpm.r,_xlpm.c,_xlpm.c))))</f>
        <v/>
      </c>
    </row>
    <row r="662" spans="2:2" x14ac:dyDescent="0.2">
      <c r="B662" t="str" cm="1">
        <f t="array" ref="B662">IF(A662="","",_xlfn.CHOOSECOLS('Prematch Backend 2A'!662:662,_xlfn.MAKEARRAY(1,A662-2,_xlfn.LAMBDA(_xlpm.r,_xlpm.c,_xlpm.c))))</f>
        <v/>
      </c>
    </row>
    <row r="663" spans="2:2" x14ac:dyDescent="0.2">
      <c r="B663" t="str" cm="1">
        <f t="array" ref="B663">IF(A663="","",_xlfn.CHOOSECOLS('Prematch Backend 2A'!663:663,_xlfn.MAKEARRAY(1,A663-2,_xlfn.LAMBDA(_xlpm.r,_xlpm.c,_xlpm.c))))</f>
        <v/>
      </c>
    </row>
    <row r="664" spans="2:2" x14ac:dyDescent="0.2">
      <c r="B664" t="str" cm="1">
        <f t="array" ref="B664">IF(A664="","",_xlfn.CHOOSECOLS('Prematch Backend 2A'!664:664,_xlfn.MAKEARRAY(1,A664-2,_xlfn.LAMBDA(_xlpm.r,_xlpm.c,_xlpm.c))))</f>
        <v/>
      </c>
    </row>
    <row r="665" spans="2:2" x14ac:dyDescent="0.2">
      <c r="B665" t="str" cm="1">
        <f t="array" ref="B665">IF(A665="","",_xlfn.CHOOSECOLS('Prematch Backend 2A'!665:665,_xlfn.MAKEARRAY(1,A665-2,_xlfn.LAMBDA(_xlpm.r,_xlpm.c,_xlpm.c))))</f>
        <v/>
      </c>
    </row>
    <row r="666" spans="2:2" x14ac:dyDescent="0.2">
      <c r="B666" t="str" cm="1">
        <f t="array" ref="B666">IF(A666="","",_xlfn.CHOOSECOLS('Prematch Backend 2A'!666:666,_xlfn.MAKEARRAY(1,A666-2,_xlfn.LAMBDA(_xlpm.r,_xlpm.c,_xlpm.c))))</f>
        <v/>
      </c>
    </row>
    <row r="667" spans="2:2" x14ac:dyDescent="0.2">
      <c r="B667" t="str" cm="1">
        <f t="array" ref="B667">IF(A667="","",_xlfn.CHOOSECOLS('Prematch Backend 2A'!667:667,_xlfn.MAKEARRAY(1,A667-2,_xlfn.LAMBDA(_xlpm.r,_xlpm.c,_xlpm.c))))</f>
        <v/>
      </c>
    </row>
    <row r="668" spans="2:2" x14ac:dyDescent="0.2">
      <c r="B668" t="str" cm="1">
        <f t="array" ref="B668">IF(A668="","",_xlfn.CHOOSECOLS('Prematch Backend 2A'!668:668,_xlfn.MAKEARRAY(1,A668-2,_xlfn.LAMBDA(_xlpm.r,_xlpm.c,_xlpm.c))))</f>
        <v/>
      </c>
    </row>
    <row r="669" spans="2:2" x14ac:dyDescent="0.2">
      <c r="B669" t="str" cm="1">
        <f t="array" ref="B669">IF(A669="","",_xlfn.CHOOSECOLS('Prematch Backend 2A'!669:669,_xlfn.MAKEARRAY(1,A669-2,_xlfn.LAMBDA(_xlpm.r,_xlpm.c,_xlpm.c))))</f>
        <v/>
      </c>
    </row>
    <row r="670" spans="2:2" x14ac:dyDescent="0.2">
      <c r="B670" t="str" cm="1">
        <f t="array" ref="B670">IF(A670="","",_xlfn.CHOOSECOLS('Prematch Backend 2A'!670:670,_xlfn.MAKEARRAY(1,A670-2,_xlfn.LAMBDA(_xlpm.r,_xlpm.c,_xlpm.c))))</f>
        <v/>
      </c>
    </row>
    <row r="671" spans="2:2" x14ac:dyDescent="0.2">
      <c r="B671" t="str" cm="1">
        <f t="array" ref="B671">IF(A671="","",_xlfn.CHOOSECOLS('Prematch Backend 2A'!671:671,_xlfn.MAKEARRAY(1,A671-2,_xlfn.LAMBDA(_xlpm.r,_xlpm.c,_xlpm.c))))</f>
        <v/>
      </c>
    </row>
    <row r="672" spans="2:2" x14ac:dyDescent="0.2">
      <c r="B672" t="str" cm="1">
        <f t="array" ref="B672">IF(A672="","",_xlfn.CHOOSECOLS('Prematch Backend 2A'!672:672,_xlfn.MAKEARRAY(1,A672-2,_xlfn.LAMBDA(_xlpm.r,_xlpm.c,_xlpm.c))))</f>
        <v/>
      </c>
    </row>
    <row r="673" spans="2:2" x14ac:dyDescent="0.2">
      <c r="B673" t="str" cm="1">
        <f t="array" ref="B673">IF(A673="","",_xlfn.CHOOSECOLS('Prematch Backend 2A'!673:673,_xlfn.MAKEARRAY(1,A673-2,_xlfn.LAMBDA(_xlpm.r,_xlpm.c,_xlpm.c))))</f>
        <v/>
      </c>
    </row>
    <row r="674" spans="2:2" x14ac:dyDescent="0.2">
      <c r="B674" t="str" cm="1">
        <f t="array" ref="B674">IF(A674="","",_xlfn.CHOOSECOLS('Prematch Backend 2A'!674:674,_xlfn.MAKEARRAY(1,A674-2,_xlfn.LAMBDA(_xlpm.r,_xlpm.c,_xlpm.c))))</f>
        <v/>
      </c>
    </row>
    <row r="675" spans="2:2" x14ac:dyDescent="0.2">
      <c r="B675" t="str" cm="1">
        <f t="array" ref="B675">IF(A675="","",_xlfn.CHOOSECOLS('Prematch Backend 2A'!675:675,_xlfn.MAKEARRAY(1,A675-2,_xlfn.LAMBDA(_xlpm.r,_xlpm.c,_xlpm.c))))</f>
        <v/>
      </c>
    </row>
    <row r="676" spans="2:2" x14ac:dyDescent="0.2">
      <c r="B676" t="str" cm="1">
        <f t="array" ref="B676">IF(A676="","",_xlfn.CHOOSECOLS('Prematch Backend 2A'!676:676,_xlfn.MAKEARRAY(1,A676-2,_xlfn.LAMBDA(_xlpm.r,_xlpm.c,_xlpm.c))))</f>
        <v/>
      </c>
    </row>
    <row r="677" spans="2:2" x14ac:dyDescent="0.2">
      <c r="B677" t="str" cm="1">
        <f t="array" ref="B677">IF(A677="","",_xlfn.CHOOSECOLS('Prematch Backend 2A'!677:677,_xlfn.MAKEARRAY(1,A677-2,_xlfn.LAMBDA(_xlpm.r,_xlpm.c,_xlpm.c))))</f>
        <v/>
      </c>
    </row>
    <row r="678" spans="2:2" x14ac:dyDescent="0.2">
      <c r="B678" t="str" cm="1">
        <f t="array" ref="B678">IF(A678="","",_xlfn.CHOOSECOLS('Prematch Backend 2A'!678:678,_xlfn.MAKEARRAY(1,A678-2,_xlfn.LAMBDA(_xlpm.r,_xlpm.c,_xlpm.c))))</f>
        <v/>
      </c>
    </row>
    <row r="679" spans="2:2" x14ac:dyDescent="0.2">
      <c r="B679" t="str" cm="1">
        <f t="array" ref="B679">IF(A679="","",_xlfn.CHOOSECOLS('Prematch Backend 2A'!679:679,_xlfn.MAKEARRAY(1,A679-2,_xlfn.LAMBDA(_xlpm.r,_xlpm.c,_xlpm.c))))</f>
        <v/>
      </c>
    </row>
    <row r="680" spans="2:2" x14ac:dyDescent="0.2">
      <c r="B680" t="str" cm="1">
        <f t="array" ref="B680">IF(A680="","",_xlfn.CHOOSECOLS('Prematch Backend 2A'!680:680,_xlfn.MAKEARRAY(1,A680-2,_xlfn.LAMBDA(_xlpm.r,_xlpm.c,_xlpm.c))))</f>
        <v/>
      </c>
    </row>
    <row r="681" spans="2:2" x14ac:dyDescent="0.2">
      <c r="B681" t="str" cm="1">
        <f t="array" ref="B681">IF(A681="","",_xlfn.CHOOSECOLS('Prematch Backend 2A'!681:681,_xlfn.MAKEARRAY(1,A681-2,_xlfn.LAMBDA(_xlpm.r,_xlpm.c,_xlpm.c))))</f>
        <v/>
      </c>
    </row>
    <row r="682" spans="2:2" x14ac:dyDescent="0.2">
      <c r="B682" t="str" cm="1">
        <f t="array" ref="B682">IF(A682="","",_xlfn.CHOOSECOLS('Prematch Backend 2A'!682:682,_xlfn.MAKEARRAY(1,A682-2,_xlfn.LAMBDA(_xlpm.r,_xlpm.c,_xlpm.c))))</f>
        <v/>
      </c>
    </row>
    <row r="683" spans="2:2" x14ac:dyDescent="0.2">
      <c r="B683" t="str" cm="1">
        <f t="array" ref="B683">IF(A683="","",_xlfn.CHOOSECOLS('Prematch Backend 2A'!683:683,_xlfn.MAKEARRAY(1,A683-2,_xlfn.LAMBDA(_xlpm.r,_xlpm.c,_xlpm.c))))</f>
        <v/>
      </c>
    </row>
    <row r="684" spans="2:2" x14ac:dyDescent="0.2">
      <c r="B684" t="str" cm="1">
        <f t="array" ref="B684">IF(A684="","",_xlfn.CHOOSECOLS('Prematch Backend 2A'!684:684,_xlfn.MAKEARRAY(1,A684-2,_xlfn.LAMBDA(_xlpm.r,_xlpm.c,_xlpm.c))))</f>
        <v/>
      </c>
    </row>
    <row r="685" spans="2:2" x14ac:dyDescent="0.2">
      <c r="B685" t="str" cm="1">
        <f t="array" ref="B685">IF(A685="","",_xlfn.CHOOSECOLS('Prematch Backend 2A'!685:685,_xlfn.MAKEARRAY(1,A685-2,_xlfn.LAMBDA(_xlpm.r,_xlpm.c,_xlpm.c))))</f>
        <v/>
      </c>
    </row>
    <row r="686" spans="2:2" x14ac:dyDescent="0.2">
      <c r="B686" t="str" cm="1">
        <f t="array" ref="B686">IF(A686="","",_xlfn.CHOOSECOLS('Prematch Backend 2A'!686:686,_xlfn.MAKEARRAY(1,A686-2,_xlfn.LAMBDA(_xlpm.r,_xlpm.c,_xlpm.c))))</f>
        <v/>
      </c>
    </row>
    <row r="687" spans="2:2" x14ac:dyDescent="0.2">
      <c r="B687" t="str" cm="1">
        <f t="array" ref="B687">IF(A687="","",_xlfn.CHOOSECOLS('Prematch Backend 2A'!687:687,_xlfn.MAKEARRAY(1,A687-2,_xlfn.LAMBDA(_xlpm.r,_xlpm.c,_xlpm.c))))</f>
        <v/>
      </c>
    </row>
    <row r="688" spans="2:2" x14ac:dyDescent="0.2">
      <c r="B688" t="str" cm="1">
        <f t="array" ref="B688">IF(A688="","",_xlfn.CHOOSECOLS('Prematch Backend 2A'!688:688,_xlfn.MAKEARRAY(1,A688-2,_xlfn.LAMBDA(_xlpm.r,_xlpm.c,_xlpm.c))))</f>
        <v/>
      </c>
    </row>
    <row r="689" spans="2:2" x14ac:dyDescent="0.2">
      <c r="B689" t="str" cm="1">
        <f t="array" ref="B689">IF(A689="","",_xlfn.CHOOSECOLS('Prematch Backend 2A'!689:689,_xlfn.MAKEARRAY(1,A689-2,_xlfn.LAMBDA(_xlpm.r,_xlpm.c,_xlpm.c))))</f>
        <v/>
      </c>
    </row>
    <row r="690" spans="2:2" x14ac:dyDescent="0.2">
      <c r="B690" t="str" cm="1">
        <f t="array" ref="B690">IF(A690="","",_xlfn.CHOOSECOLS('Prematch Backend 2A'!690:690,_xlfn.MAKEARRAY(1,A690-2,_xlfn.LAMBDA(_xlpm.r,_xlpm.c,_xlpm.c))))</f>
        <v/>
      </c>
    </row>
    <row r="691" spans="2:2" x14ac:dyDescent="0.2">
      <c r="B691" t="str" cm="1">
        <f t="array" ref="B691">IF(A691="","",_xlfn.CHOOSECOLS('Prematch Backend 2A'!691:691,_xlfn.MAKEARRAY(1,A691-2,_xlfn.LAMBDA(_xlpm.r,_xlpm.c,_xlpm.c))))</f>
        <v/>
      </c>
    </row>
    <row r="692" spans="2:2" x14ac:dyDescent="0.2">
      <c r="B692" t="str" cm="1">
        <f t="array" ref="B692">IF(A692="","",_xlfn.CHOOSECOLS('Prematch Backend 2A'!692:692,_xlfn.MAKEARRAY(1,A692-2,_xlfn.LAMBDA(_xlpm.r,_xlpm.c,_xlpm.c))))</f>
        <v/>
      </c>
    </row>
    <row r="693" spans="2:2" x14ac:dyDescent="0.2">
      <c r="B693" t="str" cm="1">
        <f t="array" ref="B693">IF(A693="","",_xlfn.CHOOSECOLS('Prematch Backend 2A'!693:693,_xlfn.MAKEARRAY(1,A693-2,_xlfn.LAMBDA(_xlpm.r,_xlpm.c,_xlpm.c))))</f>
        <v/>
      </c>
    </row>
    <row r="694" spans="2:2" x14ac:dyDescent="0.2">
      <c r="B694" t="str" cm="1">
        <f t="array" ref="B694">IF(A694="","",_xlfn.CHOOSECOLS('Prematch Backend 2A'!694:694,_xlfn.MAKEARRAY(1,A694-2,_xlfn.LAMBDA(_xlpm.r,_xlpm.c,_xlpm.c))))</f>
        <v/>
      </c>
    </row>
    <row r="695" spans="2:2" x14ac:dyDescent="0.2">
      <c r="B695" t="str" cm="1">
        <f t="array" ref="B695">IF(A695="","",_xlfn.CHOOSECOLS('Prematch Backend 2A'!695:695,_xlfn.MAKEARRAY(1,A695-2,_xlfn.LAMBDA(_xlpm.r,_xlpm.c,_xlpm.c))))</f>
        <v/>
      </c>
    </row>
    <row r="696" spans="2:2" x14ac:dyDescent="0.2">
      <c r="B696" t="str" cm="1">
        <f t="array" ref="B696">IF(A696="","",_xlfn.CHOOSECOLS('Prematch Backend 2A'!696:696,_xlfn.MAKEARRAY(1,A696-2,_xlfn.LAMBDA(_xlpm.r,_xlpm.c,_xlpm.c))))</f>
        <v/>
      </c>
    </row>
    <row r="697" spans="2:2" x14ac:dyDescent="0.2">
      <c r="B697" t="str" cm="1">
        <f t="array" ref="B697">IF(A697="","",_xlfn.CHOOSECOLS('Prematch Backend 2A'!697:697,_xlfn.MAKEARRAY(1,A697-2,_xlfn.LAMBDA(_xlpm.r,_xlpm.c,_xlpm.c))))</f>
        <v/>
      </c>
    </row>
    <row r="698" spans="2:2" x14ac:dyDescent="0.2">
      <c r="B698" t="str" cm="1">
        <f t="array" ref="B698">IF(A698="","",_xlfn.CHOOSECOLS('Prematch Backend 2A'!698:698,_xlfn.MAKEARRAY(1,A698-2,_xlfn.LAMBDA(_xlpm.r,_xlpm.c,_xlpm.c))))</f>
        <v/>
      </c>
    </row>
    <row r="699" spans="2:2" x14ac:dyDescent="0.2">
      <c r="B699" t="str" cm="1">
        <f t="array" ref="B699">IF(A699="","",_xlfn.CHOOSECOLS('Prematch Backend 2A'!699:699,_xlfn.MAKEARRAY(1,A699-2,_xlfn.LAMBDA(_xlpm.r,_xlpm.c,_xlpm.c))))</f>
        <v/>
      </c>
    </row>
    <row r="700" spans="2:2" x14ac:dyDescent="0.2">
      <c r="B700" t="str" cm="1">
        <f t="array" ref="B700">IF(A700="","",_xlfn.CHOOSECOLS('Prematch Backend 2A'!700:700,_xlfn.MAKEARRAY(1,A700-2,_xlfn.LAMBDA(_xlpm.r,_xlpm.c,_xlpm.c))))</f>
        <v/>
      </c>
    </row>
    <row r="701" spans="2:2" x14ac:dyDescent="0.2">
      <c r="B701" t="str" cm="1">
        <f t="array" ref="B701">IF(A701="","",_xlfn.CHOOSECOLS('Prematch Backend 2A'!701:701,_xlfn.MAKEARRAY(1,A701-2,_xlfn.LAMBDA(_xlpm.r,_xlpm.c,_xlpm.c))))</f>
        <v/>
      </c>
    </row>
    <row r="702" spans="2:2" x14ac:dyDescent="0.2">
      <c r="B702" t="str" cm="1">
        <f t="array" ref="B702">IF(A702="","",_xlfn.CHOOSECOLS('Prematch Backend 2A'!702:702,_xlfn.MAKEARRAY(1,A702-2,_xlfn.LAMBDA(_xlpm.r,_xlpm.c,_xlpm.c))))</f>
        <v/>
      </c>
    </row>
    <row r="703" spans="2:2" x14ac:dyDescent="0.2">
      <c r="B703" t="str" cm="1">
        <f t="array" ref="B703">IF(A703="","",_xlfn.CHOOSECOLS('Prematch Backend 2A'!703:703,_xlfn.MAKEARRAY(1,A703-2,_xlfn.LAMBDA(_xlpm.r,_xlpm.c,_xlpm.c))))</f>
        <v/>
      </c>
    </row>
    <row r="704" spans="2:2" x14ac:dyDescent="0.2">
      <c r="B704" t="str" cm="1">
        <f t="array" ref="B704">IF(A704="","",_xlfn.CHOOSECOLS('Prematch Backend 2A'!704:704,_xlfn.MAKEARRAY(1,A704-2,_xlfn.LAMBDA(_xlpm.r,_xlpm.c,_xlpm.c))))</f>
        <v/>
      </c>
    </row>
    <row r="705" spans="2:2" x14ac:dyDescent="0.2">
      <c r="B705" t="str" cm="1">
        <f t="array" ref="B705">IF(A705="","",_xlfn.CHOOSECOLS('Prematch Backend 2A'!705:705,_xlfn.MAKEARRAY(1,A705-2,_xlfn.LAMBDA(_xlpm.r,_xlpm.c,_xlpm.c))))</f>
        <v/>
      </c>
    </row>
    <row r="706" spans="2:2" x14ac:dyDescent="0.2">
      <c r="B706" t="str" cm="1">
        <f t="array" ref="B706">IF(A706="","",_xlfn.CHOOSECOLS('Prematch Backend 2A'!706:706,_xlfn.MAKEARRAY(1,A706-2,_xlfn.LAMBDA(_xlpm.r,_xlpm.c,_xlpm.c))))</f>
        <v/>
      </c>
    </row>
    <row r="707" spans="2:2" x14ac:dyDescent="0.2">
      <c r="B707" t="str" cm="1">
        <f t="array" ref="B707">IF(A707="","",_xlfn.CHOOSECOLS('Prematch Backend 2A'!707:707,_xlfn.MAKEARRAY(1,A707-2,_xlfn.LAMBDA(_xlpm.r,_xlpm.c,_xlpm.c))))</f>
        <v/>
      </c>
    </row>
    <row r="708" spans="2:2" x14ac:dyDescent="0.2">
      <c r="B708" t="str" cm="1">
        <f t="array" ref="B708">IF(A708="","",_xlfn.CHOOSECOLS('Prematch Backend 2A'!708:708,_xlfn.MAKEARRAY(1,A708-2,_xlfn.LAMBDA(_xlpm.r,_xlpm.c,_xlpm.c))))</f>
        <v/>
      </c>
    </row>
    <row r="709" spans="2:2" x14ac:dyDescent="0.2">
      <c r="B709" t="str" cm="1">
        <f t="array" ref="B709">IF(A709="","",_xlfn.CHOOSECOLS('Prematch Backend 2A'!709:709,_xlfn.MAKEARRAY(1,A709-2,_xlfn.LAMBDA(_xlpm.r,_xlpm.c,_xlpm.c))))</f>
        <v/>
      </c>
    </row>
    <row r="710" spans="2:2" x14ac:dyDescent="0.2">
      <c r="B710" t="str" cm="1">
        <f t="array" ref="B710">IF(A710="","",_xlfn.CHOOSECOLS('Prematch Backend 2A'!710:710,_xlfn.MAKEARRAY(1,A710-2,_xlfn.LAMBDA(_xlpm.r,_xlpm.c,_xlpm.c))))</f>
        <v/>
      </c>
    </row>
    <row r="711" spans="2:2" x14ac:dyDescent="0.2">
      <c r="B711" t="str" cm="1">
        <f t="array" ref="B711">IF(A711="","",_xlfn.CHOOSECOLS('Prematch Backend 2A'!711:711,_xlfn.MAKEARRAY(1,A711-2,_xlfn.LAMBDA(_xlpm.r,_xlpm.c,_xlpm.c))))</f>
        <v/>
      </c>
    </row>
    <row r="712" spans="2:2" x14ac:dyDescent="0.2">
      <c r="B712" t="str" cm="1">
        <f t="array" ref="B712">IF(A712="","",_xlfn.CHOOSECOLS('Prematch Backend 2A'!712:712,_xlfn.MAKEARRAY(1,A712-2,_xlfn.LAMBDA(_xlpm.r,_xlpm.c,_xlpm.c))))</f>
        <v/>
      </c>
    </row>
    <row r="713" spans="2:2" x14ac:dyDescent="0.2">
      <c r="B713" t="str" cm="1">
        <f t="array" ref="B713">IF(A713="","",_xlfn.CHOOSECOLS('Prematch Backend 2A'!713:713,_xlfn.MAKEARRAY(1,A713-2,_xlfn.LAMBDA(_xlpm.r,_xlpm.c,_xlpm.c))))</f>
        <v/>
      </c>
    </row>
    <row r="714" spans="2:2" x14ac:dyDescent="0.2">
      <c r="B714" t="str" cm="1">
        <f t="array" ref="B714">IF(A714="","",_xlfn.CHOOSECOLS('Prematch Backend 2A'!714:714,_xlfn.MAKEARRAY(1,A714-2,_xlfn.LAMBDA(_xlpm.r,_xlpm.c,_xlpm.c))))</f>
        <v/>
      </c>
    </row>
    <row r="715" spans="2:2" x14ac:dyDescent="0.2">
      <c r="B715" t="str" cm="1">
        <f t="array" ref="B715">IF(A715="","",_xlfn.CHOOSECOLS('Prematch Backend 2A'!715:715,_xlfn.MAKEARRAY(1,A715-2,_xlfn.LAMBDA(_xlpm.r,_xlpm.c,_xlpm.c))))</f>
        <v/>
      </c>
    </row>
    <row r="716" spans="2:2" x14ac:dyDescent="0.2">
      <c r="B716" t="str" cm="1">
        <f t="array" ref="B716">IF(A716="","",_xlfn.CHOOSECOLS('Prematch Backend 2A'!716:716,_xlfn.MAKEARRAY(1,A716-2,_xlfn.LAMBDA(_xlpm.r,_xlpm.c,_xlpm.c))))</f>
        <v/>
      </c>
    </row>
    <row r="717" spans="2:2" x14ac:dyDescent="0.2">
      <c r="B717" t="str" cm="1">
        <f t="array" ref="B717">IF(A717="","",_xlfn.CHOOSECOLS('Prematch Backend 2A'!717:717,_xlfn.MAKEARRAY(1,A717-2,_xlfn.LAMBDA(_xlpm.r,_xlpm.c,_xlpm.c))))</f>
        <v/>
      </c>
    </row>
    <row r="718" spans="2:2" x14ac:dyDescent="0.2">
      <c r="B718" t="str" cm="1">
        <f t="array" ref="B718">IF(A718="","",_xlfn.CHOOSECOLS('Prematch Backend 2A'!718:718,_xlfn.MAKEARRAY(1,A718-2,_xlfn.LAMBDA(_xlpm.r,_xlpm.c,_xlpm.c))))</f>
        <v/>
      </c>
    </row>
    <row r="719" spans="2:2" x14ac:dyDescent="0.2">
      <c r="B719" t="str" cm="1">
        <f t="array" ref="B719">IF(A719="","",_xlfn.CHOOSECOLS('Prematch Backend 2A'!719:719,_xlfn.MAKEARRAY(1,A719-2,_xlfn.LAMBDA(_xlpm.r,_xlpm.c,_xlpm.c))))</f>
        <v/>
      </c>
    </row>
    <row r="720" spans="2:2" x14ac:dyDescent="0.2">
      <c r="B720" t="str" cm="1">
        <f t="array" ref="B720">IF(A720="","",_xlfn.CHOOSECOLS('Prematch Backend 2A'!720:720,_xlfn.MAKEARRAY(1,A720-2,_xlfn.LAMBDA(_xlpm.r,_xlpm.c,_xlpm.c))))</f>
        <v/>
      </c>
    </row>
    <row r="721" spans="2:2" x14ac:dyDescent="0.2">
      <c r="B721" t="str" cm="1">
        <f t="array" ref="B721">IF(A721="","",_xlfn.CHOOSECOLS('Prematch Backend 2A'!721:721,_xlfn.MAKEARRAY(1,A721-2,_xlfn.LAMBDA(_xlpm.r,_xlpm.c,_xlpm.c))))</f>
        <v/>
      </c>
    </row>
    <row r="722" spans="2:2" x14ac:dyDescent="0.2">
      <c r="B722" t="str" cm="1">
        <f t="array" ref="B722">IF(A722="","",_xlfn.CHOOSECOLS('Prematch Backend 2A'!722:722,_xlfn.MAKEARRAY(1,A722-2,_xlfn.LAMBDA(_xlpm.r,_xlpm.c,_xlpm.c))))</f>
        <v/>
      </c>
    </row>
    <row r="723" spans="2:2" x14ac:dyDescent="0.2">
      <c r="B723" t="str" cm="1">
        <f t="array" ref="B723">IF(A723="","",_xlfn.CHOOSECOLS('Prematch Backend 2A'!723:723,_xlfn.MAKEARRAY(1,A723-2,_xlfn.LAMBDA(_xlpm.r,_xlpm.c,_xlpm.c))))</f>
        <v/>
      </c>
    </row>
    <row r="724" spans="2:2" x14ac:dyDescent="0.2">
      <c r="B724" t="str" cm="1">
        <f t="array" ref="B724">IF(A724="","",_xlfn.CHOOSECOLS('Prematch Backend 2A'!724:724,_xlfn.MAKEARRAY(1,A724-2,_xlfn.LAMBDA(_xlpm.r,_xlpm.c,_xlpm.c))))</f>
        <v/>
      </c>
    </row>
    <row r="725" spans="2:2" x14ac:dyDescent="0.2">
      <c r="B725" t="str" cm="1">
        <f t="array" ref="B725">IF(A725="","",_xlfn.CHOOSECOLS('Prematch Backend 2A'!725:725,_xlfn.MAKEARRAY(1,A725-2,_xlfn.LAMBDA(_xlpm.r,_xlpm.c,_xlpm.c))))</f>
        <v/>
      </c>
    </row>
    <row r="726" spans="2:2" x14ac:dyDescent="0.2">
      <c r="B726" t="str" cm="1">
        <f t="array" ref="B726">IF(A726="","",_xlfn.CHOOSECOLS('Prematch Backend 2A'!726:726,_xlfn.MAKEARRAY(1,A726-2,_xlfn.LAMBDA(_xlpm.r,_xlpm.c,_xlpm.c))))</f>
        <v/>
      </c>
    </row>
    <row r="727" spans="2:2" x14ac:dyDescent="0.2">
      <c r="B727" t="str" cm="1">
        <f t="array" ref="B727">IF(A727="","",_xlfn.CHOOSECOLS('Prematch Backend 2A'!727:727,_xlfn.MAKEARRAY(1,A727-2,_xlfn.LAMBDA(_xlpm.r,_xlpm.c,_xlpm.c))))</f>
        <v/>
      </c>
    </row>
    <row r="728" spans="2:2" x14ac:dyDescent="0.2">
      <c r="B728" t="str" cm="1">
        <f t="array" ref="B728">IF(A728="","",_xlfn.CHOOSECOLS('Prematch Backend 2A'!728:728,_xlfn.MAKEARRAY(1,A728-2,_xlfn.LAMBDA(_xlpm.r,_xlpm.c,_xlpm.c))))</f>
        <v/>
      </c>
    </row>
    <row r="729" spans="2:2" x14ac:dyDescent="0.2">
      <c r="B729" t="str" cm="1">
        <f t="array" ref="B729">IF(A729="","",_xlfn.CHOOSECOLS('Prematch Backend 2A'!729:729,_xlfn.MAKEARRAY(1,A729-2,_xlfn.LAMBDA(_xlpm.r,_xlpm.c,_xlpm.c))))</f>
        <v/>
      </c>
    </row>
    <row r="730" spans="2:2" x14ac:dyDescent="0.2">
      <c r="B730" t="str" cm="1">
        <f t="array" ref="B730">IF(A730="","",_xlfn.CHOOSECOLS('Prematch Backend 2A'!730:730,_xlfn.MAKEARRAY(1,A730-2,_xlfn.LAMBDA(_xlpm.r,_xlpm.c,_xlpm.c))))</f>
        <v/>
      </c>
    </row>
    <row r="731" spans="2:2" x14ac:dyDescent="0.2">
      <c r="B731" t="str" cm="1">
        <f t="array" ref="B731">IF(A731="","",_xlfn.CHOOSECOLS('Prematch Backend 2A'!731:731,_xlfn.MAKEARRAY(1,A731-2,_xlfn.LAMBDA(_xlpm.r,_xlpm.c,_xlpm.c))))</f>
        <v/>
      </c>
    </row>
    <row r="732" spans="2:2" x14ac:dyDescent="0.2">
      <c r="B732" t="str" cm="1">
        <f t="array" ref="B732">IF(A732="","",_xlfn.CHOOSECOLS('Prematch Backend 2A'!732:732,_xlfn.MAKEARRAY(1,A732-2,_xlfn.LAMBDA(_xlpm.r,_xlpm.c,_xlpm.c))))</f>
        <v/>
      </c>
    </row>
    <row r="733" spans="2:2" x14ac:dyDescent="0.2">
      <c r="B733" t="str" cm="1">
        <f t="array" ref="B733">IF(A733="","",_xlfn.CHOOSECOLS('Prematch Backend 2A'!733:733,_xlfn.MAKEARRAY(1,A733-2,_xlfn.LAMBDA(_xlpm.r,_xlpm.c,_xlpm.c))))</f>
        <v/>
      </c>
    </row>
    <row r="734" spans="2:2" x14ac:dyDescent="0.2">
      <c r="B734" t="str" cm="1">
        <f t="array" ref="B734">IF(A734="","",_xlfn.CHOOSECOLS('Prematch Backend 2A'!734:734,_xlfn.MAKEARRAY(1,A734-2,_xlfn.LAMBDA(_xlpm.r,_xlpm.c,_xlpm.c))))</f>
        <v/>
      </c>
    </row>
    <row r="735" spans="2:2" x14ac:dyDescent="0.2">
      <c r="B735" t="str" cm="1">
        <f t="array" ref="B735">IF(A735="","",_xlfn.CHOOSECOLS('Prematch Backend 2A'!735:735,_xlfn.MAKEARRAY(1,A735-2,_xlfn.LAMBDA(_xlpm.r,_xlpm.c,_xlpm.c))))</f>
        <v/>
      </c>
    </row>
    <row r="736" spans="2:2" x14ac:dyDescent="0.2">
      <c r="B736" t="str" cm="1">
        <f t="array" ref="B736">IF(A736="","",_xlfn.CHOOSECOLS('Prematch Backend 2A'!736:736,_xlfn.MAKEARRAY(1,A736-2,_xlfn.LAMBDA(_xlpm.r,_xlpm.c,_xlpm.c))))</f>
        <v/>
      </c>
    </row>
    <row r="737" spans="2:2" x14ac:dyDescent="0.2">
      <c r="B737" t="str" cm="1">
        <f t="array" ref="B737">IF(A737="","",_xlfn.CHOOSECOLS('Prematch Backend 2A'!737:737,_xlfn.MAKEARRAY(1,A737-2,_xlfn.LAMBDA(_xlpm.r,_xlpm.c,_xlpm.c))))</f>
        <v/>
      </c>
    </row>
    <row r="738" spans="2:2" x14ac:dyDescent="0.2">
      <c r="B738" t="str" cm="1">
        <f t="array" ref="B738">IF(A738="","",_xlfn.CHOOSECOLS('Prematch Backend 2A'!738:738,_xlfn.MAKEARRAY(1,A738-2,_xlfn.LAMBDA(_xlpm.r,_xlpm.c,_xlpm.c))))</f>
        <v/>
      </c>
    </row>
    <row r="739" spans="2:2" x14ac:dyDescent="0.2">
      <c r="B739" t="str" cm="1">
        <f t="array" ref="B739">IF(A739="","",_xlfn.CHOOSECOLS('Prematch Backend 2A'!739:739,_xlfn.MAKEARRAY(1,A739-2,_xlfn.LAMBDA(_xlpm.r,_xlpm.c,_xlpm.c))))</f>
        <v/>
      </c>
    </row>
    <row r="740" spans="2:2" x14ac:dyDescent="0.2">
      <c r="B740" t="str" cm="1">
        <f t="array" ref="B740">IF(A740="","",_xlfn.CHOOSECOLS('Prematch Backend 2A'!740:740,_xlfn.MAKEARRAY(1,A740-2,_xlfn.LAMBDA(_xlpm.r,_xlpm.c,_xlpm.c))))</f>
        <v/>
      </c>
    </row>
    <row r="741" spans="2:2" x14ac:dyDescent="0.2">
      <c r="B741" t="str" cm="1">
        <f t="array" ref="B741">IF(A741="","",_xlfn.CHOOSECOLS('Prematch Backend 2A'!741:741,_xlfn.MAKEARRAY(1,A741-2,_xlfn.LAMBDA(_xlpm.r,_xlpm.c,_xlpm.c))))</f>
        <v/>
      </c>
    </row>
    <row r="742" spans="2:2" x14ac:dyDescent="0.2">
      <c r="B742" t="str" cm="1">
        <f t="array" ref="B742">IF(A742="","",_xlfn.CHOOSECOLS('Prematch Backend 2A'!742:742,_xlfn.MAKEARRAY(1,A742-2,_xlfn.LAMBDA(_xlpm.r,_xlpm.c,_xlpm.c))))</f>
        <v/>
      </c>
    </row>
    <row r="743" spans="2:2" x14ac:dyDescent="0.2">
      <c r="B743" t="str" cm="1">
        <f t="array" ref="B743">IF(A743="","",_xlfn.CHOOSECOLS('Prematch Backend 2A'!743:743,_xlfn.MAKEARRAY(1,A743-2,_xlfn.LAMBDA(_xlpm.r,_xlpm.c,_xlpm.c))))</f>
        <v/>
      </c>
    </row>
    <row r="744" spans="2:2" x14ac:dyDescent="0.2">
      <c r="B744" t="str" cm="1">
        <f t="array" ref="B744">IF(A744="","",_xlfn.CHOOSECOLS('Prematch Backend 2A'!744:744,_xlfn.MAKEARRAY(1,A744-2,_xlfn.LAMBDA(_xlpm.r,_xlpm.c,_xlpm.c))))</f>
        <v/>
      </c>
    </row>
    <row r="745" spans="2:2" x14ac:dyDescent="0.2">
      <c r="B745" t="str" cm="1">
        <f t="array" ref="B745">IF(A745="","",_xlfn.CHOOSECOLS('Prematch Backend 2A'!745:745,_xlfn.MAKEARRAY(1,A745-2,_xlfn.LAMBDA(_xlpm.r,_xlpm.c,_xlpm.c))))</f>
        <v/>
      </c>
    </row>
    <row r="746" spans="2:2" x14ac:dyDescent="0.2">
      <c r="B746" t="str" cm="1">
        <f t="array" ref="B746">IF(A746="","",_xlfn.CHOOSECOLS('Prematch Backend 2A'!746:746,_xlfn.MAKEARRAY(1,A746-2,_xlfn.LAMBDA(_xlpm.r,_xlpm.c,_xlpm.c))))</f>
        <v/>
      </c>
    </row>
    <row r="747" spans="2:2" x14ac:dyDescent="0.2">
      <c r="B747" t="str" cm="1">
        <f t="array" ref="B747">IF(A747="","",_xlfn.CHOOSECOLS('Prematch Backend 2A'!747:747,_xlfn.MAKEARRAY(1,A747-2,_xlfn.LAMBDA(_xlpm.r,_xlpm.c,_xlpm.c))))</f>
        <v/>
      </c>
    </row>
    <row r="748" spans="2:2" x14ac:dyDescent="0.2">
      <c r="B748" t="str" cm="1">
        <f t="array" ref="B748">IF(A748="","",_xlfn.CHOOSECOLS('Prematch Backend 2A'!748:748,_xlfn.MAKEARRAY(1,A748-2,_xlfn.LAMBDA(_xlpm.r,_xlpm.c,_xlpm.c))))</f>
        <v/>
      </c>
    </row>
    <row r="749" spans="2:2" x14ac:dyDescent="0.2">
      <c r="B749" t="str" cm="1">
        <f t="array" ref="B749">IF(A749="","",_xlfn.CHOOSECOLS('Prematch Backend 2A'!749:749,_xlfn.MAKEARRAY(1,A749-2,_xlfn.LAMBDA(_xlpm.r,_xlpm.c,_xlpm.c))))</f>
        <v/>
      </c>
    </row>
    <row r="750" spans="2:2" x14ac:dyDescent="0.2">
      <c r="B750" t="str" cm="1">
        <f t="array" ref="B750">IF(A750="","",_xlfn.CHOOSECOLS('Prematch Backend 2A'!750:750,_xlfn.MAKEARRAY(1,A750-2,_xlfn.LAMBDA(_xlpm.r,_xlpm.c,_xlpm.c))))</f>
        <v/>
      </c>
    </row>
    <row r="751" spans="2:2" x14ac:dyDescent="0.2">
      <c r="B751" t="str" cm="1">
        <f t="array" ref="B751">IF(A751="","",_xlfn.CHOOSECOLS('Prematch Backend 2A'!751:751,_xlfn.MAKEARRAY(1,A751-2,_xlfn.LAMBDA(_xlpm.r,_xlpm.c,_xlpm.c))))</f>
        <v/>
      </c>
    </row>
    <row r="752" spans="2:2" x14ac:dyDescent="0.2">
      <c r="B752" t="str" cm="1">
        <f t="array" ref="B752">IF(A752="","",_xlfn.CHOOSECOLS('Prematch Backend 2A'!752:752,_xlfn.MAKEARRAY(1,A752-2,_xlfn.LAMBDA(_xlpm.r,_xlpm.c,_xlpm.c))))</f>
        <v/>
      </c>
    </row>
    <row r="753" spans="2:2" x14ac:dyDescent="0.2">
      <c r="B753" t="str" cm="1">
        <f t="array" ref="B753">IF(A753="","",_xlfn.CHOOSECOLS('Prematch Backend 2A'!753:753,_xlfn.MAKEARRAY(1,A753-2,_xlfn.LAMBDA(_xlpm.r,_xlpm.c,_xlpm.c))))</f>
        <v/>
      </c>
    </row>
    <row r="754" spans="2:2" x14ac:dyDescent="0.2">
      <c r="B754" t="str" cm="1">
        <f t="array" ref="B754">IF(A754="","",_xlfn.CHOOSECOLS('Prematch Backend 2A'!754:754,_xlfn.MAKEARRAY(1,A754-2,_xlfn.LAMBDA(_xlpm.r,_xlpm.c,_xlpm.c))))</f>
        <v/>
      </c>
    </row>
    <row r="755" spans="2:2" x14ac:dyDescent="0.2">
      <c r="B755" t="str" cm="1">
        <f t="array" ref="B755">IF(A755="","",_xlfn.CHOOSECOLS('Prematch Backend 2A'!755:755,_xlfn.MAKEARRAY(1,A755-2,_xlfn.LAMBDA(_xlpm.r,_xlpm.c,_xlpm.c))))</f>
        <v/>
      </c>
    </row>
    <row r="756" spans="2:2" x14ac:dyDescent="0.2">
      <c r="B756" t="str" cm="1">
        <f t="array" ref="B756">IF(A756="","",_xlfn.CHOOSECOLS('Prematch Backend 2A'!756:756,_xlfn.MAKEARRAY(1,A756-2,_xlfn.LAMBDA(_xlpm.r,_xlpm.c,_xlpm.c))))</f>
        <v/>
      </c>
    </row>
    <row r="757" spans="2:2" x14ac:dyDescent="0.2">
      <c r="B757" t="str" cm="1">
        <f t="array" ref="B757">IF(A757="","",_xlfn.CHOOSECOLS('Prematch Backend 2A'!757:757,_xlfn.MAKEARRAY(1,A757-2,_xlfn.LAMBDA(_xlpm.r,_xlpm.c,_xlpm.c))))</f>
        <v/>
      </c>
    </row>
    <row r="758" spans="2:2" x14ac:dyDescent="0.2">
      <c r="B758" t="str" cm="1">
        <f t="array" ref="B758">IF(A758="","",_xlfn.CHOOSECOLS('Prematch Backend 2A'!758:758,_xlfn.MAKEARRAY(1,A758-2,_xlfn.LAMBDA(_xlpm.r,_xlpm.c,_xlpm.c))))</f>
        <v/>
      </c>
    </row>
    <row r="759" spans="2:2" x14ac:dyDescent="0.2">
      <c r="B759" t="str" cm="1">
        <f t="array" ref="B759">IF(A759="","",_xlfn.CHOOSECOLS('Prematch Backend 2A'!759:759,_xlfn.MAKEARRAY(1,A759-2,_xlfn.LAMBDA(_xlpm.r,_xlpm.c,_xlpm.c))))</f>
        <v/>
      </c>
    </row>
    <row r="760" spans="2:2" x14ac:dyDescent="0.2">
      <c r="B760" t="str" cm="1">
        <f t="array" ref="B760">IF(A760="","",_xlfn.CHOOSECOLS('Prematch Backend 2A'!760:760,_xlfn.MAKEARRAY(1,A760-2,_xlfn.LAMBDA(_xlpm.r,_xlpm.c,_xlpm.c))))</f>
        <v/>
      </c>
    </row>
    <row r="761" spans="2:2" x14ac:dyDescent="0.2">
      <c r="B761" t="str" cm="1">
        <f t="array" ref="B761">IF(A761="","",_xlfn.CHOOSECOLS('Prematch Backend 2A'!761:761,_xlfn.MAKEARRAY(1,A761-2,_xlfn.LAMBDA(_xlpm.r,_xlpm.c,_xlpm.c))))</f>
        <v/>
      </c>
    </row>
    <row r="762" spans="2:2" x14ac:dyDescent="0.2">
      <c r="B762" t="str" cm="1">
        <f t="array" ref="B762">IF(A762="","",_xlfn.CHOOSECOLS('Prematch Backend 2A'!762:762,_xlfn.MAKEARRAY(1,A762-2,_xlfn.LAMBDA(_xlpm.r,_xlpm.c,_xlpm.c))))</f>
        <v/>
      </c>
    </row>
    <row r="763" spans="2:2" x14ac:dyDescent="0.2">
      <c r="B763" t="str" cm="1">
        <f t="array" ref="B763">IF(A763="","",_xlfn.CHOOSECOLS('Prematch Backend 2A'!763:763,_xlfn.MAKEARRAY(1,A763-2,_xlfn.LAMBDA(_xlpm.r,_xlpm.c,_xlpm.c))))</f>
        <v/>
      </c>
    </row>
    <row r="764" spans="2:2" x14ac:dyDescent="0.2">
      <c r="B764" t="str" cm="1">
        <f t="array" ref="B764">IF(A764="","",_xlfn.CHOOSECOLS('Prematch Backend 2A'!764:764,_xlfn.MAKEARRAY(1,A764-2,_xlfn.LAMBDA(_xlpm.r,_xlpm.c,_xlpm.c))))</f>
        <v/>
      </c>
    </row>
    <row r="765" spans="2:2" x14ac:dyDescent="0.2">
      <c r="B765" t="str" cm="1">
        <f t="array" ref="B765">IF(A765="","",_xlfn.CHOOSECOLS('Prematch Backend 2A'!765:765,_xlfn.MAKEARRAY(1,A765-2,_xlfn.LAMBDA(_xlpm.r,_xlpm.c,_xlpm.c))))</f>
        <v/>
      </c>
    </row>
    <row r="766" spans="2:2" x14ac:dyDescent="0.2">
      <c r="B766" t="str" cm="1">
        <f t="array" ref="B766">IF(A766="","",_xlfn.CHOOSECOLS('Prematch Backend 2A'!766:766,_xlfn.MAKEARRAY(1,A766-2,_xlfn.LAMBDA(_xlpm.r,_xlpm.c,_xlpm.c))))</f>
        <v/>
      </c>
    </row>
    <row r="767" spans="2:2" x14ac:dyDescent="0.2">
      <c r="B767" t="str" cm="1">
        <f t="array" ref="B767">IF(A767="","",_xlfn.CHOOSECOLS('Prematch Backend 2A'!767:767,_xlfn.MAKEARRAY(1,A767-2,_xlfn.LAMBDA(_xlpm.r,_xlpm.c,_xlpm.c))))</f>
        <v/>
      </c>
    </row>
    <row r="768" spans="2:2" x14ac:dyDescent="0.2">
      <c r="B768" t="str" cm="1">
        <f t="array" ref="B768">IF(A768="","",_xlfn.CHOOSECOLS('Prematch Backend 2A'!768:768,_xlfn.MAKEARRAY(1,A768-2,_xlfn.LAMBDA(_xlpm.r,_xlpm.c,_xlpm.c))))</f>
        <v/>
      </c>
    </row>
    <row r="769" spans="2:2" x14ac:dyDescent="0.2">
      <c r="B769" t="str" cm="1">
        <f t="array" ref="B769">IF(A769="","",_xlfn.CHOOSECOLS('Prematch Backend 2A'!769:769,_xlfn.MAKEARRAY(1,A769-2,_xlfn.LAMBDA(_xlpm.r,_xlpm.c,_xlpm.c))))</f>
        <v/>
      </c>
    </row>
    <row r="770" spans="2:2" x14ac:dyDescent="0.2">
      <c r="B770" t="str" cm="1">
        <f t="array" ref="B770">IF(A770="","",_xlfn.CHOOSECOLS('Prematch Backend 2A'!770:770,_xlfn.MAKEARRAY(1,A770-2,_xlfn.LAMBDA(_xlpm.r,_xlpm.c,_xlpm.c))))</f>
        <v/>
      </c>
    </row>
    <row r="771" spans="2:2" x14ac:dyDescent="0.2">
      <c r="B771" t="str" cm="1">
        <f t="array" ref="B771">IF(A771="","",_xlfn.CHOOSECOLS('Prematch Backend 2A'!771:771,_xlfn.MAKEARRAY(1,A771-2,_xlfn.LAMBDA(_xlpm.r,_xlpm.c,_xlpm.c))))</f>
        <v/>
      </c>
    </row>
    <row r="772" spans="2:2" x14ac:dyDescent="0.2">
      <c r="B772" t="str" cm="1">
        <f t="array" ref="B772">IF(A772="","",_xlfn.CHOOSECOLS('Prematch Backend 2A'!772:772,_xlfn.MAKEARRAY(1,A772-2,_xlfn.LAMBDA(_xlpm.r,_xlpm.c,_xlpm.c))))</f>
        <v/>
      </c>
    </row>
    <row r="773" spans="2:2" x14ac:dyDescent="0.2">
      <c r="B773" t="str" cm="1">
        <f t="array" ref="B773">IF(A773="","",_xlfn.CHOOSECOLS('Prematch Backend 2A'!773:773,_xlfn.MAKEARRAY(1,A773-2,_xlfn.LAMBDA(_xlpm.r,_xlpm.c,_xlpm.c))))</f>
        <v/>
      </c>
    </row>
    <row r="774" spans="2:2" x14ac:dyDescent="0.2">
      <c r="B774" t="str" cm="1">
        <f t="array" ref="B774">IF(A774="","",_xlfn.CHOOSECOLS('Prematch Backend 2A'!774:774,_xlfn.MAKEARRAY(1,A774-2,_xlfn.LAMBDA(_xlpm.r,_xlpm.c,_xlpm.c))))</f>
        <v/>
      </c>
    </row>
    <row r="775" spans="2:2" x14ac:dyDescent="0.2">
      <c r="B775" t="str" cm="1">
        <f t="array" ref="B775">IF(A775="","",_xlfn.CHOOSECOLS('Prematch Backend 2A'!775:775,_xlfn.MAKEARRAY(1,A775-2,_xlfn.LAMBDA(_xlpm.r,_xlpm.c,_xlpm.c))))</f>
        <v/>
      </c>
    </row>
    <row r="776" spans="2:2" x14ac:dyDescent="0.2">
      <c r="B776" t="str" cm="1">
        <f t="array" ref="B776">IF(A776="","",_xlfn.CHOOSECOLS('Prematch Backend 2A'!776:776,_xlfn.MAKEARRAY(1,A776-2,_xlfn.LAMBDA(_xlpm.r,_xlpm.c,_xlpm.c))))</f>
        <v/>
      </c>
    </row>
    <row r="777" spans="2:2" x14ac:dyDescent="0.2">
      <c r="B777" t="str" cm="1">
        <f t="array" ref="B777">IF(A777="","",_xlfn.CHOOSECOLS('Prematch Backend 2A'!777:777,_xlfn.MAKEARRAY(1,A777-2,_xlfn.LAMBDA(_xlpm.r,_xlpm.c,_xlpm.c))))</f>
        <v/>
      </c>
    </row>
    <row r="778" spans="2:2" x14ac:dyDescent="0.2">
      <c r="B778" t="str" cm="1">
        <f t="array" ref="B778">IF(A778="","",_xlfn.CHOOSECOLS('Prematch Backend 2A'!778:778,_xlfn.MAKEARRAY(1,A778-2,_xlfn.LAMBDA(_xlpm.r,_xlpm.c,_xlpm.c))))</f>
        <v/>
      </c>
    </row>
    <row r="779" spans="2:2" x14ac:dyDescent="0.2">
      <c r="B779" t="str" cm="1">
        <f t="array" ref="B779">IF(A779="","",_xlfn.CHOOSECOLS('Prematch Backend 2A'!779:779,_xlfn.MAKEARRAY(1,A779-2,_xlfn.LAMBDA(_xlpm.r,_xlpm.c,_xlpm.c))))</f>
        <v/>
      </c>
    </row>
    <row r="780" spans="2:2" x14ac:dyDescent="0.2">
      <c r="B780" t="str" cm="1">
        <f t="array" ref="B780">IF(A780="","",_xlfn.CHOOSECOLS('Prematch Backend 2A'!780:780,_xlfn.MAKEARRAY(1,A780-2,_xlfn.LAMBDA(_xlpm.r,_xlpm.c,_xlpm.c))))</f>
        <v/>
      </c>
    </row>
    <row r="781" spans="2:2" x14ac:dyDescent="0.2">
      <c r="B781" t="str" cm="1">
        <f t="array" ref="B781">IF(A781="","",_xlfn.CHOOSECOLS('Prematch Backend 2A'!781:781,_xlfn.MAKEARRAY(1,A781-2,_xlfn.LAMBDA(_xlpm.r,_xlpm.c,_xlpm.c))))</f>
        <v/>
      </c>
    </row>
    <row r="782" spans="2:2" x14ac:dyDescent="0.2">
      <c r="B782" t="str" cm="1">
        <f t="array" ref="B782">IF(A782="","",_xlfn.CHOOSECOLS('Prematch Backend 2A'!782:782,_xlfn.MAKEARRAY(1,A782-2,_xlfn.LAMBDA(_xlpm.r,_xlpm.c,_xlpm.c))))</f>
        <v/>
      </c>
    </row>
    <row r="783" spans="2:2" x14ac:dyDescent="0.2">
      <c r="B783" t="str" cm="1">
        <f t="array" ref="B783">IF(A783="","",_xlfn.CHOOSECOLS('Prematch Backend 2A'!783:783,_xlfn.MAKEARRAY(1,A783-2,_xlfn.LAMBDA(_xlpm.r,_xlpm.c,_xlpm.c))))</f>
        <v/>
      </c>
    </row>
    <row r="784" spans="2:2" x14ac:dyDescent="0.2">
      <c r="B784" t="str" cm="1">
        <f t="array" ref="B784">IF(A784="","",_xlfn.CHOOSECOLS('Prematch Backend 2A'!784:784,_xlfn.MAKEARRAY(1,A784-2,_xlfn.LAMBDA(_xlpm.r,_xlpm.c,_xlpm.c))))</f>
        <v/>
      </c>
    </row>
    <row r="785" spans="2:2" x14ac:dyDescent="0.2">
      <c r="B785" t="str" cm="1">
        <f t="array" ref="B785">IF(A785="","",_xlfn.CHOOSECOLS('Prematch Backend 2A'!785:785,_xlfn.MAKEARRAY(1,A785-2,_xlfn.LAMBDA(_xlpm.r,_xlpm.c,_xlpm.c))))</f>
        <v/>
      </c>
    </row>
    <row r="786" spans="2:2" x14ac:dyDescent="0.2">
      <c r="B786" t="str" cm="1">
        <f t="array" ref="B786">IF(A786="","",_xlfn.CHOOSECOLS('Prematch Backend 2A'!786:786,_xlfn.MAKEARRAY(1,A786-2,_xlfn.LAMBDA(_xlpm.r,_xlpm.c,_xlpm.c))))</f>
        <v/>
      </c>
    </row>
    <row r="787" spans="2:2" x14ac:dyDescent="0.2">
      <c r="B787" t="str" cm="1">
        <f t="array" ref="B787">IF(A787="","",_xlfn.CHOOSECOLS('Prematch Backend 2A'!787:787,_xlfn.MAKEARRAY(1,A787-2,_xlfn.LAMBDA(_xlpm.r,_xlpm.c,_xlpm.c))))</f>
        <v/>
      </c>
    </row>
    <row r="788" spans="2:2" x14ac:dyDescent="0.2">
      <c r="B788" t="str" cm="1">
        <f t="array" ref="B788">IF(A788="","",_xlfn.CHOOSECOLS('Prematch Backend 2A'!788:788,_xlfn.MAKEARRAY(1,A788-2,_xlfn.LAMBDA(_xlpm.r,_xlpm.c,_xlpm.c))))</f>
        <v/>
      </c>
    </row>
    <row r="789" spans="2:2" x14ac:dyDescent="0.2">
      <c r="B789" t="str" cm="1">
        <f t="array" ref="B789">IF(A789="","",_xlfn.CHOOSECOLS('Prematch Backend 2A'!789:789,_xlfn.MAKEARRAY(1,A789-2,_xlfn.LAMBDA(_xlpm.r,_xlpm.c,_xlpm.c))))</f>
        <v/>
      </c>
    </row>
    <row r="790" spans="2:2" x14ac:dyDescent="0.2">
      <c r="B790" t="str" cm="1">
        <f t="array" ref="B790">IF(A790="","",_xlfn.CHOOSECOLS('Prematch Backend 2A'!790:790,_xlfn.MAKEARRAY(1,A790-2,_xlfn.LAMBDA(_xlpm.r,_xlpm.c,_xlpm.c))))</f>
        <v/>
      </c>
    </row>
    <row r="791" spans="2:2" x14ac:dyDescent="0.2">
      <c r="B791" t="str" cm="1">
        <f t="array" ref="B791">IF(A791="","",_xlfn.CHOOSECOLS('Prematch Backend 2A'!791:791,_xlfn.MAKEARRAY(1,A791-2,_xlfn.LAMBDA(_xlpm.r,_xlpm.c,_xlpm.c))))</f>
        <v/>
      </c>
    </row>
    <row r="792" spans="2:2" x14ac:dyDescent="0.2">
      <c r="B792" t="str" cm="1">
        <f t="array" ref="B792">IF(A792="","",_xlfn.CHOOSECOLS('Prematch Backend 2A'!792:792,_xlfn.MAKEARRAY(1,A792-2,_xlfn.LAMBDA(_xlpm.r,_xlpm.c,_xlpm.c))))</f>
        <v/>
      </c>
    </row>
    <row r="793" spans="2:2" x14ac:dyDescent="0.2">
      <c r="B793" t="str" cm="1">
        <f t="array" ref="B793">IF(A793="","",_xlfn.CHOOSECOLS('Prematch Backend 2A'!793:793,_xlfn.MAKEARRAY(1,A793-2,_xlfn.LAMBDA(_xlpm.r,_xlpm.c,_xlpm.c))))</f>
        <v/>
      </c>
    </row>
    <row r="794" spans="2:2" x14ac:dyDescent="0.2">
      <c r="B794" t="str" cm="1">
        <f t="array" ref="B794">IF(A794="","",_xlfn.CHOOSECOLS('Prematch Backend 2A'!794:794,_xlfn.MAKEARRAY(1,A794-2,_xlfn.LAMBDA(_xlpm.r,_xlpm.c,_xlpm.c))))</f>
        <v/>
      </c>
    </row>
    <row r="795" spans="2:2" x14ac:dyDescent="0.2">
      <c r="B795" t="str" cm="1">
        <f t="array" ref="B795">IF(A795="","",_xlfn.CHOOSECOLS('Prematch Backend 2A'!795:795,_xlfn.MAKEARRAY(1,A795-2,_xlfn.LAMBDA(_xlpm.r,_xlpm.c,_xlpm.c))))</f>
        <v/>
      </c>
    </row>
    <row r="796" spans="2:2" x14ac:dyDescent="0.2">
      <c r="B796" t="str" cm="1">
        <f t="array" ref="B796">IF(A796="","",_xlfn.CHOOSECOLS('Prematch Backend 2A'!796:796,_xlfn.MAKEARRAY(1,A796-2,_xlfn.LAMBDA(_xlpm.r,_xlpm.c,_xlpm.c))))</f>
        <v/>
      </c>
    </row>
    <row r="797" spans="2:2" x14ac:dyDescent="0.2">
      <c r="B797" t="str" cm="1">
        <f t="array" ref="B797">IF(A797="","",_xlfn.CHOOSECOLS('Prematch Backend 2A'!797:797,_xlfn.MAKEARRAY(1,A797-2,_xlfn.LAMBDA(_xlpm.r,_xlpm.c,_xlpm.c))))</f>
        <v/>
      </c>
    </row>
    <row r="798" spans="2:2" x14ac:dyDescent="0.2">
      <c r="B798" t="str" cm="1">
        <f t="array" ref="B798">IF(A798="","",_xlfn.CHOOSECOLS('Prematch Backend 2A'!798:798,_xlfn.MAKEARRAY(1,A798-2,_xlfn.LAMBDA(_xlpm.r,_xlpm.c,_xlpm.c))))</f>
        <v/>
      </c>
    </row>
    <row r="799" spans="2:2" x14ac:dyDescent="0.2">
      <c r="B799" t="str" cm="1">
        <f t="array" ref="B799">IF(A799="","",_xlfn.CHOOSECOLS('Prematch Backend 2A'!799:799,_xlfn.MAKEARRAY(1,A799-2,_xlfn.LAMBDA(_xlpm.r,_xlpm.c,_xlpm.c))))</f>
        <v/>
      </c>
    </row>
    <row r="800" spans="2:2" x14ac:dyDescent="0.2">
      <c r="B800" t="str" cm="1">
        <f t="array" ref="B800">IF(A800="","",_xlfn.CHOOSECOLS('Prematch Backend 2A'!800:800,_xlfn.MAKEARRAY(1,A800-2,_xlfn.LAMBDA(_xlpm.r,_xlpm.c,_xlpm.c))))</f>
        <v/>
      </c>
    </row>
    <row r="801" spans="2:2" x14ac:dyDescent="0.2">
      <c r="B801" t="str" cm="1">
        <f t="array" ref="B801">IF(A801="","",_xlfn.CHOOSECOLS('Prematch Backend 2A'!801:801,_xlfn.MAKEARRAY(1,A801-2,_xlfn.LAMBDA(_xlpm.r,_xlpm.c,_xlpm.c))))</f>
        <v/>
      </c>
    </row>
    <row r="802" spans="2:2" x14ac:dyDescent="0.2">
      <c r="B802" t="str" cm="1">
        <f t="array" ref="B802">IF(A802="","",_xlfn.CHOOSECOLS('Prematch Backend 2A'!802:802,_xlfn.MAKEARRAY(1,A802-2,_xlfn.LAMBDA(_xlpm.r,_xlpm.c,_xlpm.c))))</f>
        <v/>
      </c>
    </row>
    <row r="803" spans="2:2" x14ac:dyDescent="0.2">
      <c r="B803" t="str" cm="1">
        <f t="array" ref="B803">IF(A803="","",_xlfn.CHOOSECOLS('Prematch Backend 2A'!803:803,_xlfn.MAKEARRAY(1,A803-2,_xlfn.LAMBDA(_xlpm.r,_xlpm.c,_xlpm.c))))</f>
        <v/>
      </c>
    </row>
    <row r="804" spans="2:2" x14ac:dyDescent="0.2">
      <c r="B804" t="str" cm="1">
        <f t="array" ref="B804">IF(A804="","",_xlfn.CHOOSECOLS('Prematch Backend 2A'!804:804,_xlfn.MAKEARRAY(1,A804-2,_xlfn.LAMBDA(_xlpm.r,_xlpm.c,_xlpm.c))))</f>
        <v/>
      </c>
    </row>
    <row r="805" spans="2:2" x14ac:dyDescent="0.2">
      <c r="B805" t="str" cm="1">
        <f t="array" ref="B805">IF(A805="","",_xlfn.CHOOSECOLS('Prematch Backend 2A'!805:805,_xlfn.MAKEARRAY(1,A805-2,_xlfn.LAMBDA(_xlpm.r,_xlpm.c,_xlpm.c))))</f>
        <v/>
      </c>
    </row>
    <row r="806" spans="2:2" x14ac:dyDescent="0.2">
      <c r="B806" t="str" cm="1">
        <f t="array" ref="B806">IF(A806="","",_xlfn.CHOOSECOLS('Prematch Backend 2A'!806:806,_xlfn.MAKEARRAY(1,A806-2,_xlfn.LAMBDA(_xlpm.r,_xlpm.c,_xlpm.c))))</f>
        <v/>
      </c>
    </row>
    <row r="807" spans="2:2" x14ac:dyDescent="0.2">
      <c r="B807" t="str" cm="1">
        <f t="array" ref="B807">IF(A807="","",_xlfn.CHOOSECOLS('Prematch Backend 2A'!807:807,_xlfn.MAKEARRAY(1,A807-2,_xlfn.LAMBDA(_xlpm.r,_xlpm.c,_xlpm.c))))</f>
        <v/>
      </c>
    </row>
    <row r="808" spans="2:2" x14ac:dyDescent="0.2">
      <c r="B808" t="str" cm="1">
        <f t="array" ref="B808">IF(A808="","",_xlfn.CHOOSECOLS('Prematch Backend 2A'!808:808,_xlfn.MAKEARRAY(1,A808-2,_xlfn.LAMBDA(_xlpm.r,_xlpm.c,_xlpm.c))))</f>
        <v/>
      </c>
    </row>
    <row r="809" spans="2:2" x14ac:dyDescent="0.2">
      <c r="B809" t="str" cm="1">
        <f t="array" ref="B809">IF(A809="","",_xlfn.CHOOSECOLS('Prematch Backend 2A'!809:809,_xlfn.MAKEARRAY(1,A809-2,_xlfn.LAMBDA(_xlpm.r,_xlpm.c,_xlpm.c))))</f>
        <v/>
      </c>
    </row>
    <row r="810" spans="2:2" x14ac:dyDescent="0.2">
      <c r="B810" t="str" cm="1">
        <f t="array" ref="B810">IF(A810="","",_xlfn.CHOOSECOLS('Prematch Backend 2A'!810:810,_xlfn.MAKEARRAY(1,A810-2,_xlfn.LAMBDA(_xlpm.r,_xlpm.c,_xlpm.c))))</f>
        <v/>
      </c>
    </row>
    <row r="811" spans="2:2" x14ac:dyDescent="0.2">
      <c r="B811" t="str" cm="1">
        <f t="array" ref="B811">IF(A811="","",_xlfn.CHOOSECOLS('Prematch Backend 2A'!811:811,_xlfn.MAKEARRAY(1,A811-2,_xlfn.LAMBDA(_xlpm.r,_xlpm.c,_xlpm.c))))</f>
        <v/>
      </c>
    </row>
    <row r="812" spans="2:2" x14ac:dyDescent="0.2">
      <c r="B812" t="str" cm="1">
        <f t="array" ref="B812">IF(A812="","",_xlfn.CHOOSECOLS('Prematch Backend 2A'!812:812,_xlfn.MAKEARRAY(1,A812-2,_xlfn.LAMBDA(_xlpm.r,_xlpm.c,_xlpm.c))))</f>
        <v/>
      </c>
    </row>
    <row r="813" spans="2:2" x14ac:dyDescent="0.2">
      <c r="B813" t="str" cm="1">
        <f t="array" ref="B813">IF(A813="","",_xlfn.CHOOSECOLS('Prematch Backend 2A'!813:813,_xlfn.MAKEARRAY(1,A813-2,_xlfn.LAMBDA(_xlpm.r,_xlpm.c,_xlpm.c))))</f>
        <v/>
      </c>
    </row>
    <row r="814" spans="2:2" x14ac:dyDescent="0.2">
      <c r="B814" t="str" cm="1">
        <f t="array" ref="B814">IF(A814="","",_xlfn.CHOOSECOLS('Prematch Backend 2A'!814:814,_xlfn.MAKEARRAY(1,A814-2,_xlfn.LAMBDA(_xlpm.r,_xlpm.c,_xlpm.c))))</f>
        <v/>
      </c>
    </row>
    <row r="815" spans="2:2" x14ac:dyDescent="0.2">
      <c r="B815" t="str" cm="1">
        <f t="array" ref="B815">IF(A815="","",_xlfn.CHOOSECOLS('Prematch Backend 2A'!815:815,_xlfn.MAKEARRAY(1,A815-2,_xlfn.LAMBDA(_xlpm.r,_xlpm.c,_xlpm.c))))</f>
        <v/>
      </c>
    </row>
    <row r="816" spans="2:2" x14ac:dyDescent="0.2">
      <c r="B816" t="str" cm="1">
        <f t="array" ref="B816">IF(A816="","",_xlfn.CHOOSECOLS('Prematch Backend 2A'!816:816,_xlfn.MAKEARRAY(1,A816-2,_xlfn.LAMBDA(_xlpm.r,_xlpm.c,_xlpm.c))))</f>
        <v/>
      </c>
    </row>
    <row r="817" spans="2:2" x14ac:dyDescent="0.2">
      <c r="B817" t="str" cm="1">
        <f t="array" ref="B817">IF(A817="","",_xlfn.CHOOSECOLS('Prematch Backend 2A'!817:817,_xlfn.MAKEARRAY(1,A817-2,_xlfn.LAMBDA(_xlpm.r,_xlpm.c,_xlpm.c))))</f>
        <v/>
      </c>
    </row>
    <row r="818" spans="2:2" x14ac:dyDescent="0.2">
      <c r="B818" t="str" cm="1">
        <f t="array" ref="B818">IF(A818="","",_xlfn.CHOOSECOLS('Prematch Backend 2A'!818:818,_xlfn.MAKEARRAY(1,A818-2,_xlfn.LAMBDA(_xlpm.r,_xlpm.c,_xlpm.c))))</f>
        <v/>
      </c>
    </row>
    <row r="819" spans="2:2" x14ac:dyDescent="0.2">
      <c r="B819" t="str" cm="1">
        <f t="array" ref="B819">IF(A819="","",_xlfn.CHOOSECOLS('Prematch Backend 2A'!819:819,_xlfn.MAKEARRAY(1,A819-2,_xlfn.LAMBDA(_xlpm.r,_xlpm.c,_xlpm.c))))</f>
        <v/>
      </c>
    </row>
    <row r="820" spans="2:2" x14ac:dyDescent="0.2">
      <c r="B820" t="str" cm="1">
        <f t="array" ref="B820">IF(A820="","",_xlfn.CHOOSECOLS('Prematch Backend 2A'!820:820,_xlfn.MAKEARRAY(1,A820-2,_xlfn.LAMBDA(_xlpm.r,_xlpm.c,_xlpm.c))))</f>
        <v/>
      </c>
    </row>
    <row r="821" spans="2:2" x14ac:dyDescent="0.2">
      <c r="B821" t="str" cm="1">
        <f t="array" ref="B821">IF(A821="","",_xlfn.CHOOSECOLS('Prematch Backend 2A'!821:821,_xlfn.MAKEARRAY(1,A821-2,_xlfn.LAMBDA(_xlpm.r,_xlpm.c,_xlpm.c))))</f>
        <v/>
      </c>
    </row>
    <row r="822" spans="2:2" x14ac:dyDescent="0.2">
      <c r="B822" t="str" cm="1">
        <f t="array" ref="B822">IF(A822="","",_xlfn.CHOOSECOLS('Prematch Backend 2A'!822:822,_xlfn.MAKEARRAY(1,A822-2,_xlfn.LAMBDA(_xlpm.r,_xlpm.c,_xlpm.c))))</f>
        <v/>
      </c>
    </row>
    <row r="823" spans="2:2" x14ac:dyDescent="0.2">
      <c r="B823" t="str" cm="1">
        <f t="array" ref="B823">IF(A823="","",_xlfn.CHOOSECOLS('Prematch Backend 2A'!823:823,_xlfn.MAKEARRAY(1,A823-2,_xlfn.LAMBDA(_xlpm.r,_xlpm.c,_xlpm.c))))</f>
        <v/>
      </c>
    </row>
    <row r="824" spans="2:2" x14ac:dyDescent="0.2">
      <c r="B824" t="str" cm="1">
        <f t="array" ref="B824">IF(A824="","",_xlfn.CHOOSECOLS('Prematch Backend 2A'!824:824,_xlfn.MAKEARRAY(1,A824-2,_xlfn.LAMBDA(_xlpm.r,_xlpm.c,_xlpm.c))))</f>
        <v/>
      </c>
    </row>
    <row r="825" spans="2:2" x14ac:dyDescent="0.2">
      <c r="B825" t="str" cm="1">
        <f t="array" ref="B825">IF(A825="","",_xlfn.CHOOSECOLS('Prematch Backend 2A'!825:825,_xlfn.MAKEARRAY(1,A825-2,_xlfn.LAMBDA(_xlpm.r,_xlpm.c,_xlpm.c))))</f>
        <v/>
      </c>
    </row>
    <row r="826" spans="2:2" x14ac:dyDescent="0.2">
      <c r="B826" t="str" cm="1">
        <f t="array" ref="B826">IF(A826="","",_xlfn.CHOOSECOLS('Prematch Backend 2A'!826:826,_xlfn.MAKEARRAY(1,A826-2,_xlfn.LAMBDA(_xlpm.r,_xlpm.c,_xlpm.c))))</f>
        <v/>
      </c>
    </row>
    <row r="827" spans="2:2" x14ac:dyDescent="0.2">
      <c r="B827" t="str" cm="1">
        <f t="array" ref="B827">IF(A827="","",_xlfn.CHOOSECOLS('Prematch Backend 2A'!827:827,_xlfn.MAKEARRAY(1,A827-2,_xlfn.LAMBDA(_xlpm.r,_xlpm.c,_xlpm.c))))</f>
        <v/>
      </c>
    </row>
    <row r="828" spans="2:2" x14ac:dyDescent="0.2">
      <c r="B828" t="str" cm="1">
        <f t="array" ref="B828">IF(A828="","",_xlfn.CHOOSECOLS('Prematch Backend 2A'!828:828,_xlfn.MAKEARRAY(1,A828-2,_xlfn.LAMBDA(_xlpm.r,_xlpm.c,_xlpm.c))))</f>
        <v/>
      </c>
    </row>
    <row r="829" spans="2:2" x14ac:dyDescent="0.2">
      <c r="B829" t="str" cm="1">
        <f t="array" ref="B829">IF(A829="","",_xlfn.CHOOSECOLS('Prematch Backend 2A'!829:829,_xlfn.MAKEARRAY(1,A829-2,_xlfn.LAMBDA(_xlpm.r,_xlpm.c,_xlpm.c))))</f>
        <v/>
      </c>
    </row>
    <row r="830" spans="2:2" x14ac:dyDescent="0.2">
      <c r="B830" t="str" cm="1">
        <f t="array" ref="B830">IF(A830="","",_xlfn.CHOOSECOLS('Prematch Backend 2A'!830:830,_xlfn.MAKEARRAY(1,A830-2,_xlfn.LAMBDA(_xlpm.r,_xlpm.c,_xlpm.c))))</f>
        <v/>
      </c>
    </row>
    <row r="831" spans="2:2" x14ac:dyDescent="0.2">
      <c r="B831" t="str" cm="1">
        <f t="array" ref="B831">IF(A831="","",_xlfn.CHOOSECOLS('Prematch Backend 2A'!831:831,_xlfn.MAKEARRAY(1,A831-2,_xlfn.LAMBDA(_xlpm.r,_xlpm.c,_xlpm.c))))</f>
        <v/>
      </c>
    </row>
    <row r="832" spans="2:2" x14ac:dyDescent="0.2">
      <c r="B832" t="str" cm="1">
        <f t="array" ref="B832">IF(A832="","",_xlfn.CHOOSECOLS('Prematch Backend 2A'!832:832,_xlfn.MAKEARRAY(1,A832-2,_xlfn.LAMBDA(_xlpm.r,_xlpm.c,_xlpm.c))))</f>
        <v/>
      </c>
    </row>
    <row r="833" spans="2:2" x14ac:dyDescent="0.2">
      <c r="B833" t="str" cm="1">
        <f t="array" ref="B833">IF(A833="","",_xlfn.CHOOSECOLS('Prematch Backend 2A'!833:833,_xlfn.MAKEARRAY(1,A833-2,_xlfn.LAMBDA(_xlpm.r,_xlpm.c,_xlpm.c))))</f>
        <v/>
      </c>
    </row>
    <row r="834" spans="2:2" x14ac:dyDescent="0.2">
      <c r="B834" t="str" cm="1">
        <f t="array" ref="B834">IF(A834="","",_xlfn.CHOOSECOLS('Prematch Backend 2A'!834:834,_xlfn.MAKEARRAY(1,A834-2,_xlfn.LAMBDA(_xlpm.r,_xlpm.c,_xlpm.c))))</f>
        <v/>
      </c>
    </row>
    <row r="835" spans="2:2" x14ac:dyDescent="0.2">
      <c r="B835" t="str" cm="1">
        <f t="array" ref="B835">IF(A835="","",_xlfn.CHOOSECOLS('Prematch Backend 2A'!835:835,_xlfn.MAKEARRAY(1,A835-2,_xlfn.LAMBDA(_xlpm.r,_xlpm.c,_xlpm.c))))</f>
        <v/>
      </c>
    </row>
    <row r="836" spans="2:2" x14ac:dyDescent="0.2">
      <c r="B836" t="str" cm="1">
        <f t="array" ref="B836">IF(A836="","",_xlfn.CHOOSECOLS('Prematch Backend 2A'!836:836,_xlfn.MAKEARRAY(1,A836-2,_xlfn.LAMBDA(_xlpm.r,_xlpm.c,_xlpm.c))))</f>
        <v/>
      </c>
    </row>
    <row r="837" spans="2:2" x14ac:dyDescent="0.2">
      <c r="B837" t="str" cm="1">
        <f t="array" ref="B837">IF(A837="","",_xlfn.CHOOSECOLS('Prematch Backend 2A'!837:837,_xlfn.MAKEARRAY(1,A837-2,_xlfn.LAMBDA(_xlpm.r,_xlpm.c,_xlpm.c))))</f>
        <v/>
      </c>
    </row>
    <row r="838" spans="2:2" x14ac:dyDescent="0.2">
      <c r="B838" t="str" cm="1">
        <f t="array" ref="B838">IF(A838="","",_xlfn.CHOOSECOLS('Prematch Backend 2A'!838:838,_xlfn.MAKEARRAY(1,A838-2,_xlfn.LAMBDA(_xlpm.r,_xlpm.c,_xlpm.c))))</f>
        <v/>
      </c>
    </row>
    <row r="839" spans="2:2" x14ac:dyDescent="0.2">
      <c r="B839" t="str" cm="1">
        <f t="array" ref="B839">IF(A839="","",_xlfn.CHOOSECOLS('Prematch Backend 2A'!839:839,_xlfn.MAKEARRAY(1,A839-2,_xlfn.LAMBDA(_xlpm.r,_xlpm.c,_xlpm.c))))</f>
        <v/>
      </c>
    </row>
    <row r="840" spans="2:2" x14ac:dyDescent="0.2">
      <c r="B840" t="str" cm="1">
        <f t="array" ref="B840">IF(A840="","",_xlfn.CHOOSECOLS('Prematch Backend 2A'!840:840,_xlfn.MAKEARRAY(1,A840-2,_xlfn.LAMBDA(_xlpm.r,_xlpm.c,_xlpm.c))))</f>
        <v/>
      </c>
    </row>
    <row r="841" spans="2:2" x14ac:dyDescent="0.2">
      <c r="B841" t="str" cm="1">
        <f t="array" ref="B841">IF(A841="","",_xlfn.CHOOSECOLS('Prematch Backend 2A'!841:841,_xlfn.MAKEARRAY(1,A841-2,_xlfn.LAMBDA(_xlpm.r,_xlpm.c,_xlpm.c))))</f>
        <v/>
      </c>
    </row>
    <row r="842" spans="2:2" x14ac:dyDescent="0.2">
      <c r="B842" t="str" cm="1">
        <f t="array" ref="B842">IF(A842="","",_xlfn.CHOOSECOLS('Prematch Backend 2A'!842:842,_xlfn.MAKEARRAY(1,A842-2,_xlfn.LAMBDA(_xlpm.r,_xlpm.c,_xlpm.c))))</f>
        <v/>
      </c>
    </row>
    <row r="843" spans="2:2" x14ac:dyDescent="0.2">
      <c r="B843" t="str" cm="1">
        <f t="array" ref="B843">IF(A843="","",_xlfn.CHOOSECOLS('Prematch Backend 2A'!843:843,_xlfn.MAKEARRAY(1,A843-2,_xlfn.LAMBDA(_xlpm.r,_xlpm.c,_xlpm.c))))</f>
        <v/>
      </c>
    </row>
    <row r="844" spans="2:2" x14ac:dyDescent="0.2">
      <c r="B844" t="str" cm="1">
        <f t="array" ref="B844">IF(A844="","",_xlfn.CHOOSECOLS('Prematch Backend 2A'!844:844,_xlfn.MAKEARRAY(1,A844-2,_xlfn.LAMBDA(_xlpm.r,_xlpm.c,_xlpm.c))))</f>
        <v/>
      </c>
    </row>
    <row r="845" spans="2:2" x14ac:dyDescent="0.2">
      <c r="B845" t="str" cm="1">
        <f t="array" ref="B845">IF(A845="","",_xlfn.CHOOSECOLS('Prematch Backend 2A'!845:845,_xlfn.MAKEARRAY(1,A845-2,_xlfn.LAMBDA(_xlpm.r,_xlpm.c,_xlpm.c))))</f>
        <v/>
      </c>
    </row>
    <row r="846" spans="2:2" x14ac:dyDescent="0.2">
      <c r="B846" t="str" cm="1">
        <f t="array" ref="B846">IF(A846="","",_xlfn.CHOOSECOLS('Prematch Backend 2A'!846:846,_xlfn.MAKEARRAY(1,A846-2,_xlfn.LAMBDA(_xlpm.r,_xlpm.c,_xlpm.c))))</f>
        <v/>
      </c>
    </row>
    <row r="847" spans="2:2" x14ac:dyDescent="0.2">
      <c r="B847" t="str" cm="1">
        <f t="array" ref="B847">IF(A847="","",_xlfn.CHOOSECOLS('Prematch Backend 2A'!847:847,_xlfn.MAKEARRAY(1,A847-2,_xlfn.LAMBDA(_xlpm.r,_xlpm.c,_xlpm.c))))</f>
        <v/>
      </c>
    </row>
    <row r="848" spans="2:2" x14ac:dyDescent="0.2">
      <c r="B848" t="str" cm="1">
        <f t="array" ref="B848">IF(A848="","",_xlfn.CHOOSECOLS('Prematch Backend 2A'!848:848,_xlfn.MAKEARRAY(1,A848-2,_xlfn.LAMBDA(_xlpm.r,_xlpm.c,_xlpm.c))))</f>
        <v/>
      </c>
    </row>
    <row r="849" spans="2:2" x14ac:dyDescent="0.2">
      <c r="B849" t="str" cm="1">
        <f t="array" ref="B849">IF(A849="","",_xlfn.CHOOSECOLS('Prematch Backend 2A'!849:849,_xlfn.MAKEARRAY(1,A849-2,_xlfn.LAMBDA(_xlpm.r,_xlpm.c,_xlpm.c))))</f>
        <v/>
      </c>
    </row>
    <row r="850" spans="2:2" x14ac:dyDescent="0.2">
      <c r="B850" t="str" cm="1">
        <f t="array" ref="B850">IF(A850="","",_xlfn.CHOOSECOLS('Prematch Backend 2A'!850:850,_xlfn.MAKEARRAY(1,A850-2,_xlfn.LAMBDA(_xlpm.r,_xlpm.c,_xlpm.c))))</f>
        <v/>
      </c>
    </row>
    <row r="851" spans="2:2" x14ac:dyDescent="0.2">
      <c r="B851" t="str" cm="1">
        <f t="array" ref="B851">IF(A851="","",_xlfn.CHOOSECOLS('Prematch Backend 2A'!851:851,_xlfn.MAKEARRAY(1,A851-2,_xlfn.LAMBDA(_xlpm.r,_xlpm.c,_xlpm.c))))</f>
        <v/>
      </c>
    </row>
    <row r="852" spans="2:2" x14ac:dyDescent="0.2">
      <c r="B852" t="str" cm="1">
        <f t="array" ref="B852">IF(A852="","",_xlfn.CHOOSECOLS('Prematch Backend 2A'!852:852,_xlfn.MAKEARRAY(1,A852-2,_xlfn.LAMBDA(_xlpm.r,_xlpm.c,_xlpm.c))))</f>
        <v/>
      </c>
    </row>
    <row r="853" spans="2:2" x14ac:dyDescent="0.2">
      <c r="B853" t="str" cm="1">
        <f t="array" ref="B853">IF(A853="","",_xlfn.CHOOSECOLS('Prematch Backend 2A'!853:853,_xlfn.MAKEARRAY(1,A853-2,_xlfn.LAMBDA(_xlpm.r,_xlpm.c,_xlpm.c))))</f>
        <v/>
      </c>
    </row>
    <row r="854" spans="2:2" x14ac:dyDescent="0.2">
      <c r="B854" t="str" cm="1">
        <f t="array" ref="B854">IF(A854="","",_xlfn.CHOOSECOLS('Prematch Backend 2A'!854:854,_xlfn.MAKEARRAY(1,A854-2,_xlfn.LAMBDA(_xlpm.r,_xlpm.c,_xlpm.c))))</f>
        <v/>
      </c>
    </row>
    <row r="855" spans="2:2" x14ac:dyDescent="0.2">
      <c r="B855" t="str" cm="1">
        <f t="array" ref="B855">IF(A855="","",_xlfn.CHOOSECOLS('Prematch Backend 2A'!855:855,_xlfn.MAKEARRAY(1,A855-2,_xlfn.LAMBDA(_xlpm.r,_xlpm.c,_xlpm.c))))</f>
        <v/>
      </c>
    </row>
    <row r="856" spans="2:2" x14ac:dyDescent="0.2">
      <c r="B856" t="str" cm="1">
        <f t="array" ref="B856">IF(A856="","",_xlfn.CHOOSECOLS('Prematch Backend 2A'!856:856,_xlfn.MAKEARRAY(1,A856-2,_xlfn.LAMBDA(_xlpm.r,_xlpm.c,_xlpm.c))))</f>
        <v/>
      </c>
    </row>
    <row r="857" spans="2:2" x14ac:dyDescent="0.2">
      <c r="B857" t="str" cm="1">
        <f t="array" ref="B857">IF(A857="","",_xlfn.CHOOSECOLS('Prematch Backend 2A'!857:857,_xlfn.MAKEARRAY(1,A857-2,_xlfn.LAMBDA(_xlpm.r,_xlpm.c,_xlpm.c))))</f>
        <v/>
      </c>
    </row>
    <row r="858" spans="2:2" x14ac:dyDescent="0.2">
      <c r="B858" t="str" cm="1">
        <f t="array" ref="B858">IF(A858="","",_xlfn.CHOOSECOLS('Prematch Backend 2A'!858:858,_xlfn.MAKEARRAY(1,A858-2,_xlfn.LAMBDA(_xlpm.r,_xlpm.c,_xlpm.c))))</f>
        <v/>
      </c>
    </row>
    <row r="859" spans="2:2" x14ac:dyDescent="0.2">
      <c r="B859" t="str" cm="1">
        <f t="array" ref="B859">IF(A859="","",_xlfn.CHOOSECOLS('Prematch Backend 2A'!859:859,_xlfn.MAKEARRAY(1,A859-2,_xlfn.LAMBDA(_xlpm.r,_xlpm.c,_xlpm.c))))</f>
        <v/>
      </c>
    </row>
    <row r="860" spans="2:2" x14ac:dyDescent="0.2">
      <c r="B860" t="str" cm="1">
        <f t="array" ref="B860">IF(A860="","",_xlfn.CHOOSECOLS('Prematch Backend 2A'!860:860,_xlfn.MAKEARRAY(1,A860-2,_xlfn.LAMBDA(_xlpm.r,_xlpm.c,_xlpm.c))))</f>
        <v/>
      </c>
    </row>
    <row r="861" spans="2:2" x14ac:dyDescent="0.2">
      <c r="B861" t="str" cm="1">
        <f t="array" ref="B861">IF(A861="","",_xlfn.CHOOSECOLS('Prematch Backend 2A'!861:861,_xlfn.MAKEARRAY(1,A861-2,_xlfn.LAMBDA(_xlpm.r,_xlpm.c,_xlpm.c))))</f>
        <v/>
      </c>
    </row>
    <row r="862" spans="2:2" x14ac:dyDescent="0.2">
      <c r="B862" t="str" cm="1">
        <f t="array" ref="B862">IF(A862="","",_xlfn.CHOOSECOLS('Prematch Backend 2A'!862:862,_xlfn.MAKEARRAY(1,A862-2,_xlfn.LAMBDA(_xlpm.r,_xlpm.c,_xlpm.c))))</f>
        <v/>
      </c>
    </row>
    <row r="863" spans="2:2" x14ac:dyDescent="0.2">
      <c r="B863" t="str" cm="1">
        <f t="array" ref="B863">IF(A863="","",_xlfn.CHOOSECOLS('Prematch Backend 2A'!863:863,_xlfn.MAKEARRAY(1,A863-2,_xlfn.LAMBDA(_xlpm.r,_xlpm.c,_xlpm.c))))</f>
        <v/>
      </c>
    </row>
    <row r="864" spans="2:2" x14ac:dyDescent="0.2">
      <c r="B864" t="str" cm="1">
        <f t="array" ref="B864">IF(A864="","",_xlfn.CHOOSECOLS('Prematch Backend 2A'!864:864,_xlfn.MAKEARRAY(1,A864-2,_xlfn.LAMBDA(_xlpm.r,_xlpm.c,_xlpm.c))))</f>
        <v/>
      </c>
    </row>
    <row r="865" spans="2:2" x14ac:dyDescent="0.2">
      <c r="B865" t="str" cm="1">
        <f t="array" ref="B865">IF(A865="","",_xlfn.CHOOSECOLS('Prematch Backend 2A'!865:865,_xlfn.MAKEARRAY(1,A865-2,_xlfn.LAMBDA(_xlpm.r,_xlpm.c,_xlpm.c))))</f>
        <v/>
      </c>
    </row>
    <row r="866" spans="2:2" x14ac:dyDescent="0.2">
      <c r="B866" t="str" cm="1">
        <f t="array" ref="B866">IF(A866="","",_xlfn.CHOOSECOLS('Prematch Backend 2A'!866:866,_xlfn.MAKEARRAY(1,A866-2,_xlfn.LAMBDA(_xlpm.r,_xlpm.c,_xlpm.c))))</f>
        <v/>
      </c>
    </row>
    <row r="867" spans="2:2" x14ac:dyDescent="0.2">
      <c r="B867" t="str" cm="1">
        <f t="array" ref="B867">IF(A867="","",_xlfn.CHOOSECOLS('Prematch Backend 2A'!867:867,_xlfn.MAKEARRAY(1,A867-2,_xlfn.LAMBDA(_xlpm.r,_xlpm.c,_xlpm.c))))</f>
        <v/>
      </c>
    </row>
    <row r="868" spans="2:2" x14ac:dyDescent="0.2">
      <c r="B868" t="str" cm="1">
        <f t="array" ref="B868">IF(A868="","",_xlfn.CHOOSECOLS('Prematch Backend 2A'!868:868,_xlfn.MAKEARRAY(1,A868-2,_xlfn.LAMBDA(_xlpm.r,_xlpm.c,_xlpm.c))))</f>
        <v/>
      </c>
    </row>
    <row r="869" spans="2:2" x14ac:dyDescent="0.2">
      <c r="B869" t="str" cm="1">
        <f t="array" ref="B869">IF(A869="","",_xlfn.CHOOSECOLS('Prematch Backend 2A'!869:869,_xlfn.MAKEARRAY(1,A869-2,_xlfn.LAMBDA(_xlpm.r,_xlpm.c,_xlpm.c))))</f>
        <v/>
      </c>
    </row>
    <row r="870" spans="2:2" x14ac:dyDescent="0.2">
      <c r="B870" t="str" cm="1">
        <f t="array" ref="B870">IF(A870="","",_xlfn.CHOOSECOLS('Prematch Backend 2A'!870:870,_xlfn.MAKEARRAY(1,A870-2,_xlfn.LAMBDA(_xlpm.r,_xlpm.c,_xlpm.c))))</f>
        <v/>
      </c>
    </row>
    <row r="871" spans="2:2" x14ac:dyDescent="0.2">
      <c r="B871" t="str" cm="1">
        <f t="array" ref="B871">IF(A871="","",_xlfn.CHOOSECOLS('Prematch Backend 2A'!871:871,_xlfn.MAKEARRAY(1,A871-2,_xlfn.LAMBDA(_xlpm.r,_xlpm.c,_xlpm.c))))</f>
        <v/>
      </c>
    </row>
    <row r="872" spans="2:2" x14ac:dyDescent="0.2">
      <c r="B872" t="str" cm="1">
        <f t="array" ref="B872">IF(A872="","",_xlfn.CHOOSECOLS('Prematch Backend 2A'!872:872,_xlfn.MAKEARRAY(1,A872-2,_xlfn.LAMBDA(_xlpm.r,_xlpm.c,_xlpm.c))))</f>
        <v/>
      </c>
    </row>
    <row r="873" spans="2:2" x14ac:dyDescent="0.2">
      <c r="B873" t="str" cm="1">
        <f t="array" ref="B873">IF(A873="","",_xlfn.CHOOSECOLS('Prematch Backend 2A'!873:873,_xlfn.MAKEARRAY(1,A873-2,_xlfn.LAMBDA(_xlpm.r,_xlpm.c,_xlpm.c))))</f>
        <v/>
      </c>
    </row>
    <row r="874" spans="2:2" x14ac:dyDescent="0.2">
      <c r="B874" t="str" cm="1">
        <f t="array" ref="B874">IF(A874="","",_xlfn.CHOOSECOLS('Prematch Backend 2A'!874:874,_xlfn.MAKEARRAY(1,A874-2,_xlfn.LAMBDA(_xlpm.r,_xlpm.c,_xlpm.c))))</f>
        <v/>
      </c>
    </row>
    <row r="875" spans="2:2" x14ac:dyDescent="0.2">
      <c r="B875" t="str" cm="1">
        <f t="array" ref="B875">IF(A875="","",_xlfn.CHOOSECOLS('Prematch Backend 2A'!875:875,_xlfn.MAKEARRAY(1,A875-2,_xlfn.LAMBDA(_xlpm.r,_xlpm.c,_xlpm.c))))</f>
        <v/>
      </c>
    </row>
    <row r="876" spans="2:2" x14ac:dyDescent="0.2">
      <c r="B876" t="str" cm="1">
        <f t="array" ref="B876">IF(A876="","",_xlfn.CHOOSECOLS('Prematch Backend 2A'!876:876,_xlfn.MAKEARRAY(1,A876-2,_xlfn.LAMBDA(_xlpm.r,_xlpm.c,_xlpm.c))))</f>
        <v/>
      </c>
    </row>
    <row r="877" spans="2:2" x14ac:dyDescent="0.2">
      <c r="B877" t="str" cm="1">
        <f t="array" ref="B877">IF(A877="","",_xlfn.CHOOSECOLS('Prematch Backend 2A'!877:877,_xlfn.MAKEARRAY(1,A877-2,_xlfn.LAMBDA(_xlpm.r,_xlpm.c,_xlpm.c))))</f>
        <v/>
      </c>
    </row>
    <row r="878" spans="2:2" x14ac:dyDescent="0.2">
      <c r="B878" t="str" cm="1">
        <f t="array" ref="B878">IF(A878="","",_xlfn.CHOOSECOLS('Prematch Backend 2A'!878:878,_xlfn.MAKEARRAY(1,A878-2,_xlfn.LAMBDA(_xlpm.r,_xlpm.c,_xlpm.c))))</f>
        <v/>
      </c>
    </row>
    <row r="879" spans="2:2" x14ac:dyDescent="0.2">
      <c r="B879" t="str" cm="1">
        <f t="array" ref="B879">IF(A879="","",_xlfn.CHOOSECOLS('Prematch Backend 2A'!879:879,_xlfn.MAKEARRAY(1,A879-2,_xlfn.LAMBDA(_xlpm.r,_xlpm.c,_xlpm.c))))</f>
        <v/>
      </c>
    </row>
    <row r="880" spans="2:2" x14ac:dyDescent="0.2">
      <c r="B880" t="str" cm="1">
        <f t="array" ref="B880">IF(A880="","",_xlfn.CHOOSECOLS('Prematch Backend 2A'!880:880,_xlfn.MAKEARRAY(1,A880-2,_xlfn.LAMBDA(_xlpm.r,_xlpm.c,_xlpm.c))))</f>
        <v/>
      </c>
    </row>
    <row r="881" spans="2:2" x14ac:dyDescent="0.2">
      <c r="B881" t="str" cm="1">
        <f t="array" ref="B881">IF(A881="","",_xlfn.CHOOSECOLS('Prematch Backend 2A'!881:881,_xlfn.MAKEARRAY(1,A881-2,_xlfn.LAMBDA(_xlpm.r,_xlpm.c,_xlpm.c))))</f>
        <v/>
      </c>
    </row>
    <row r="882" spans="2:2" x14ac:dyDescent="0.2">
      <c r="B882" t="str" cm="1">
        <f t="array" ref="B882">IF(A882="","",_xlfn.CHOOSECOLS('Prematch Backend 2A'!882:882,_xlfn.MAKEARRAY(1,A882-2,_xlfn.LAMBDA(_xlpm.r,_xlpm.c,_xlpm.c))))</f>
        <v/>
      </c>
    </row>
    <row r="883" spans="2:2" x14ac:dyDescent="0.2">
      <c r="B883" t="str" cm="1">
        <f t="array" ref="B883">IF(A883="","",_xlfn.CHOOSECOLS('Prematch Backend 2A'!883:883,_xlfn.MAKEARRAY(1,A883-2,_xlfn.LAMBDA(_xlpm.r,_xlpm.c,_xlpm.c))))</f>
        <v/>
      </c>
    </row>
    <row r="884" spans="2:2" x14ac:dyDescent="0.2">
      <c r="B884" t="str" cm="1">
        <f t="array" ref="B884">IF(A884="","",_xlfn.CHOOSECOLS('Prematch Backend 2A'!884:884,_xlfn.MAKEARRAY(1,A884-2,_xlfn.LAMBDA(_xlpm.r,_xlpm.c,_xlpm.c))))</f>
        <v/>
      </c>
    </row>
    <row r="885" spans="2:2" x14ac:dyDescent="0.2">
      <c r="B885" t="str" cm="1">
        <f t="array" ref="B885">IF(A885="","",_xlfn.CHOOSECOLS('Prematch Backend 2A'!885:885,_xlfn.MAKEARRAY(1,A885-2,_xlfn.LAMBDA(_xlpm.r,_xlpm.c,_xlpm.c))))</f>
        <v/>
      </c>
    </row>
    <row r="886" spans="2:2" x14ac:dyDescent="0.2">
      <c r="B886" t="str" cm="1">
        <f t="array" ref="B886">IF(A886="","",_xlfn.CHOOSECOLS('Prematch Backend 2A'!886:886,_xlfn.MAKEARRAY(1,A886-2,_xlfn.LAMBDA(_xlpm.r,_xlpm.c,_xlpm.c))))</f>
        <v/>
      </c>
    </row>
    <row r="887" spans="2:2" x14ac:dyDescent="0.2">
      <c r="B887" t="str" cm="1">
        <f t="array" ref="B887">IF(A887="","",_xlfn.CHOOSECOLS('Prematch Backend 2A'!887:887,_xlfn.MAKEARRAY(1,A887-2,_xlfn.LAMBDA(_xlpm.r,_xlpm.c,_xlpm.c))))</f>
        <v/>
      </c>
    </row>
    <row r="888" spans="2:2" x14ac:dyDescent="0.2">
      <c r="B888" t="str" cm="1">
        <f t="array" ref="B888">IF(A888="","",_xlfn.CHOOSECOLS('Prematch Backend 2A'!888:888,_xlfn.MAKEARRAY(1,A888-2,_xlfn.LAMBDA(_xlpm.r,_xlpm.c,_xlpm.c))))</f>
        <v/>
      </c>
    </row>
    <row r="889" spans="2:2" x14ac:dyDescent="0.2">
      <c r="B889" t="str" cm="1">
        <f t="array" ref="B889">IF(A889="","",_xlfn.CHOOSECOLS('Prematch Backend 2A'!889:889,_xlfn.MAKEARRAY(1,A889-2,_xlfn.LAMBDA(_xlpm.r,_xlpm.c,_xlpm.c))))</f>
        <v/>
      </c>
    </row>
    <row r="890" spans="2:2" x14ac:dyDescent="0.2">
      <c r="B890" t="str" cm="1">
        <f t="array" ref="B890">IF(A890="","",_xlfn.CHOOSECOLS('Prematch Backend 2A'!890:890,_xlfn.MAKEARRAY(1,A890-2,_xlfn.LAMBDA(_xlpm.r,_xlpm.c,_xlpm.c))))</f>
        <v/>
      </c>
    </row>
    <row r="891" spans="2:2" x14ac:dyDescent="0.2">
      <c r="B891" t="str" cm="1">
        <f t="array" ref="B891">IF(A891="","",_xlfn.CHOOSECOLS('Prematch Backend 2A'!891:891,_xlfn.MAKEARRAY(1,A891-2,_xlfn.LAMBDA(_xlpm.r,_xlpm.c,_xlpm.c))))</f>
        <v/>
      </c>
    </row>
    <row r="892" spans="2:2" x14ac:dyDescent="0.2">
      <c r="B892" t="str" cm="1">
        <f t="array" ref="B892">IF(A892="","",_xlfn.CHOOSECOLS('Prematch Backend 2A'!892:892,_xlfn.MAKEARRAY(1,A892-2,_xlfn.LAMBDA(_xlpm.r,_xlpm.c,_xlpm.c))))</f>
        <v/>
      </c>
    </row>
    <row r="893" spans="2:2" x14ac:dyDescent="0.2">
      <c r="B893" t="str" cm="1">
        <f t="array" ref="B893">IF(A893="","",_xlfn.CHOOSECOLS('Prematch Backend 2A'!893:893,_xlfn.MAKEARRAY(1,A893-2,_xlfn.LAMBDA(_xlpm.r,_xlpm.c,_xlpm.c))))</f>
        <v/>
      </c>
    </row>
    <row r="894" spans="2:2" x14ac:dyDescent="0.2">
      <c r="B894" t="str" cm="1">
        <f t="array" ref="B894">IF(A894="","",_xlfn.CHOOSECOLS('Prematch Backend 2A'!894:894,_xlfn.MAKEARRAY(1,A894-2,_xlfn.LAMBDA(_xlpm.r,_xlpm.c,_xlpm.c))))</f>
        <v/>
      </c>
    </row>
    <row r="895" spans="2:2" x14ac:dyDescent="0.2">
      <c r="B895" t="str" cm="1">
        <f t="array" ref="B895">IF(A895="","",_xlfn.CHOOSECOLS('Prematch Backend 2A'!895:895,_xlfn.MAKEARRAY(1,A895-2,_xlfn.LAMBDA(_xlpm.r,_xlpm.c,_xlpm.c))))</f>
        <v/>
      </c>
    </row>
    <row r="896" spans="2:2" x14ac:dyDescent="0.2">
      <c r="B896" t="str" cm="1">
        <f t="array" ref="B896">IF(A896="","",_xlfn.CHOOSECOLS('Prematch Backend 2A'!896:896,_xlfn.MAKEARRAY(1,A896-2,_xlfn.LAMBDA(_xlpm.r,_xlpm.c,_xlpm.c))))</f>
        <v/>
      </c>
    </row>
    <row r="897" spans="2:2" x14ac:dyDescent="0.2">
      <c r="B897" t="str" cm="1">
        <f t="array" ref="B897">IF(A897="","",_xlfn.CHOOSECOLS('Prematch Backend 2A'!897:897,_xlfn.MAKEARRAY(1,A897-2,_xlfn.LAMBDA(_xlpm.r,_xlpm.c,_xlpm.c))))</f>
        <v/>
      </c>
    </row>
    <row r="898" spans="2:2" x14ac:dyDescent="0.2">
      <c r="B898" t="str" cm="1">
        <f t="array" ref="B898">IF(A898="","",_xlfn.CHOOSECOLS('Prematch Backend 2A'!898:898,_xlfn.MAKEARRAY(1,A898-2,_xlfn.LAMBDA(_xlpm.r,_xlpm.c,_xlpm.c))))</f>
        <v/>
      </c>
    </row>
    <row r="899" spans="2:2" x14ac:dyDescent="0.2">
      <c r="B899" t="str" cm="1">
        <f t="array" ref="B899">IF(A899="","",_xlfn.CHOOSECOLS('Prematch Backend 2A'!899:899,_xlfn.MAKEARRAY(1,A899-2,_xlfn.LAMBDA(_xlpm.r,_xlpm.c,_xlpm.c))))</f>
        <v/>
      </c>
    </row>
    <row r="900" spans="2:2" x14ac:dyDescent="0.2">
      <c r="B900" t="str" cm="1">
        <f t="array" ref="B900">IF(A900="","",_xlfn.CHOOSECOLS('Prematch Backend 2A'!900:900,_xlfn.MAKEARRAY(1,A900-2,_xlfn.LAMBDA(_xlpm.r,_xlpm.c,_xlpm.c))))</f>
        <v/>
      </c>
    </row>
    <row r="901" spans="2:2" x14ac:dyDescent="0.2">
      <c r="B901" t="str" cm="1">
        <f t="array" ref="B901">IF(A901="","",_xlfn.CHOOSECOLS('Prematch Backend 2A'!901:901,_xlfn.MAKEARRAY(1,A901-2,_xlfn.LAMBDA(_xlpm.r,_xlpm.c,_xlpm.c))))</f>
        <v/>
      </c>
    </row>
    <row r="902" spans="2:2" x14ac:dyDescent="0.2">
      <c r="B902" t="str" cm="1">
        <f t="array" ref="B902">IF(A902="","",_xlfn.CHOOSECOLS('Prematch Backend 2A'!902:902,_xlfn.MAKEARRAY(1,A902-2,_xlfn.LAMBDA(_xlpm.r,_xlpm.c,_xlpm.c))))</f>
        <v/>
      </c>
    </row>
    <row r="903" spans="2:2" x14ac:dyDescent="0.2">
      <c r="B903" t="str" cm="1">
        <f t="array" ref="B903">IF(A903="","",_xlfn.CHOOSECOLS('Prematch Backend 2A'!903:903,_xlfn.MAKEARRAY(1,A903-2,_xlfn.LAMBDA(_xlpm.r,_xlpm.c,_xlpm.c))))</f>
        <v/>
      </c>
    </row>
    <row r="904" spans="2:2" x14ac:dyDescent="0.2">
      <c r="B904" t="str" cm="1">
        <f t="array" ref="B904">IF(A904="","",_xlfn.CHOOSECOLS('Prematch Backend 2A'!904:904,_xlfn.MAKEARRAY(1,A904-2,_xlfn.LAMBDA(_xlpm.r,_xlpm.c,_xlpm.c))))</f>
        <v/>
      </c>
    </row>
    <row r="905" spans="2:2" x14ac:dyDescent="0.2">
      <c r="B905" t="str" cm="1">
        <f t="array" ref="B905">IF(A905="","",_xlfn.CHOOSECOLS('Prematch Backend 2A'!905:905,_xlfn.MAKEARRAY(1,A905-2,_xlfn.LAMBDA(_xlpm.r,_xlpm.c,_xlpm.c))))</f>
        <v/>
      </c>
    </row>
    <row r="906" spans="2:2" x14ac:dyDescent="0.2">
      <c r="B906" t="str" cm="1">
        <f t="array" ref="B906">IF(A906="","",_xlfn.CHOOSECOLS('Prematch Backend 2A'!906:906,_xlfn.MAKEARRAY(1,A906-2,_xlfn.LAMBDA(_xlpm.r,_xlpm.c,_xlpm.c))))</f>
        <v/>
      </c>
    </row>
    <row r="907" spans="2:2" x14ac:dyDescent="0.2">
      <c r="B907" t="str" cm="1">
        <f t="array" ref="B907">IF(A907="","",_xlfn.CHOOSECOLS('Prematch Backend 2A'!907:907,_xlfn.MAKEARRAY(1,A907-2,_xlfn.LAMBDA(_xlpm.r,_xlpm.c,_xlpm.c))))</f>
        <v/>
      </c>
    </row>
    <row r="908" spans="2:2" x14ac:dyDescent="0.2">
      <c r="B908" t="str" cm="1">
        <f t="array" ref="B908">IF(A908="","",_xlfn.CHOOSECOLS('Prematch Backend 2A'!908:908,_xlfn.MAKEARRAY(1,A908-2,_xlfn.LAMBDA(_xlpm.r,_xlpm.c,_xlpm.c))))</f>
        <v/>
      </c>
    </row>
    <row r="909" spans="2:2" x14ac:dyDescent="0.2">
      <c r="B909" t="str" cm="1">
        <f t="array" ref="B909">IF(A909="","",_xlfn.CHOOSECOLS('Prematch Backend 2A'!909:909,_xlfn.MAKEARRAY(1,A909-2,_xlfn.LAMBDA(_xlpm.r,_xlpm.c,_xlpm.c))))</f>
        <v/>
      </c>
    </row>
    <row r="910" spans="2:2" x14ac:dyDescent="0.2">
      <c r="B910" t="str" cm="1">
        <f t="array" ref="B910">IF(A910="","",_xlfn.CHOOSECOLS('Prematch Backend 2A'!910:910,_xlfn.MAKEARRAY(1,A910-2,_xlfn.LAMBDA(_xlpm.r,_xlpm.c,_xlpm.c))))</f>
        <v/>
      </c>
    </row>
    <row r="911" spans="2:2" x14ac:dyDescent="0.2">
      <c r="B911" t="str" cm="1">
        <f t="array" ref="B911">IF(A911="","",_xlfn.CHOOSECOLS('Prematch Backend 2A'!911:911,_xlfn.MAKEARRAY(1,A911-2,_xlfn.LAMBDA(_xlpm.r,_xlpm.c,_xlpm.c))))</f>
        <v/>
      </c>
    </row>
    <row r="912" spans="2:2" x14ac:dyDescent="0.2">
      <c r="B912" t="str" cm="1">
        <f t="array" ref="B912">IF(A912="","",_xlfn.CHOOSECOLS('Prematch Backend 2A'!912:912,_xlfn.MAKEARRAY(1,A912-2,_xlfn.LAMBDA(_xlpm.r,_xlpm.c,_xlpm.c))))</f>
        <v/>
      </c>
    </row>
    <row r="913" spans="2:2" x14ac:dyDescent="0.2">
      <c r="B913" t="str" cm="1">
        <f t="array" ref="B913">IF(A913="","",_xlfn.CHOOSECOLS('Prematch Backend 2A'!913:913,_xlfn.MAKEARRAY(1,A913-2,_xlfn.LAMBDA(_xlpm.r,_xlpm.c,_xlpm.c))))</f>
        <v/>
      </c>
    </row>
    <row r="914" spans="2:2" x14ac:dyDescent="0.2">
      <c r="B914" t="str" cm="1">
        <f t="array" ref="B914">IF(A914="","",_xlfn.CHOOSECOLS('Prematch Backend 2A'!914:914,_xlfn.MAKEARRAY(1,A914-2,_xlfn.LAMBDA(_xlpm.r,_xlpm.c,_xlpm.c))))</f>
        <v/>
      </c>
    </row>
    <row r="915" spans="2:2" x14ac:dyDescent="0.2">
      <c r="B915" t="str" cm="1">
        <f t="array" ref="B915">IF(A915="","",_xlfn.CHOOSECOLS('Prematch Backend 2A'!915:915,_xlfn.MAKEARRAY(1,A915-2,_xlfn.LAMBDA(_xlpm.r,_xlpm.c,_xlpm.c))))</f>
        <v/>
      </c>
    </row>
    <row r="916" spans="2:2" x14ac:dyDescent="0.2">
      <c r="B916" t="str" cm="1">
        <f t="array" ref="B916">IF(A916="","",_xlfn.CHOOSECOLS('Prematch Backend 2A'!916:916,_xlfn.MAKEARRAY(1,A916-2,_xlfn.LAMBDA(_xlpm.r,_xlpm.c,_xlpm.c))))</f>
        <v/>
      </c>
    </row>
    <row r="917" spans="2:2" x14ac:dyDescent="0.2">
      <c r="B917" t="str" cm="1">
        <f t="array" ref="B917">IF(A917="","",_xlfn.CHOOSECOLS('Prematch Backend 2A'!917:917,_xlfn.MAKEARRAY(1,A917-2,_xlfn.LAMBDA(_xlpm.r,_xlpm.c,_xlpm.c))))</f>
        <v/>
      </c>
    </row>
    <row r="918" spans="2:2" x14ac:dyDescent="0.2">
      <c r="B918" t="str" cm="1">
        <f t="array" ref="B918">IF(A918="","",_xlfn.CHOOSECOLS('Prematch Backend 2A'!918:918,_xlfn.MAKEARRAY(1,A918-2,_xlfn.LAMBDA(_xlpm.r,_xlpm.c,_xlpm.c))))</f>
        <v/>
      </c>
    </row>
    <row r="919" spans="2:2" x14ac:dyDescent="0.2">
      <c r="B919" t="str" cm="1">
        <f t="array" ref="B919">IF(A919="","",_xlfn.CHOOSECOLS('Prematch Backend 2A'!919:919,_xlfn.MAKEARRAY(1,A919-2,_xlfn.LAMBDA(_xlpm.r,_xlpm.c,_xlpm.c))))</f>
        <v/>
      </c>
    </row>
    <row r="920" spans="2:2" x14ac:dyDescent="0.2">
      <c r="B920" t="str" cm="1">
        <f t="array" ref="B920">IF(A920="","",_xlfn.CHOOSECOLS('Prematch Backend 2A'!920:920,_xlfn.MAKEARRAY(1,A920-2,_xlfn.LAMBDA(_xlpm.r,_xlpm.c,_xlpm.c))))</f>
        <v/>
      </c>
    </row>
    <row r="921" spans="2:2" x14ac:dyDescent="0.2">
      <c r="B921" t="str" cm="1">
        <f t="array" ref="B921">IF(A921="","",_xlfn.CHOOSECOLS('Prematch Backend 2A'!921:921,_xlfn.MAKEARRAY(1,A921-2,_xlfn.LAMBDA(_xlpm.r,_xlpm.c,_xlpm.c))))</f>
        <v/>
      </c>
    </row>
    <row r="922" spans="2:2" x14ac:dyDescent="0.2">
      <c r="B922" t="str" cm="1">
        <f t="array" ref="B922">IF(A922="","",_xlfn.CHOOSECOLS('Prematch Backend 2A'!922:922,_xlfn.MAKEARRAY(1,A922-2,_xlfn.LAMBDA(_xlpm.r,_xlpm.c,_xlpm.c))))</f>
        <v/>
      </c>
    </row>
    <row r="923" spans="2:2" x14ac:dyDescent="0.2">
      <c r="B923" t="str" cm="1">
        <f t="array" ref="B923">IF(A923="","",_xlfn.CHOOSECOLS('Prematch Backend 2A'!923:923,_xlfn.MAKEARRAY(1,A923-2,_xlfn.LAMBDA(_xlpm.r,_xlpm.c,_xlpm.c))))</f>
        <v/>
      </c>
    </row>
    <row r="924" spans="2:2" x14ac:dyDescent="0.2">
      <c r="B924" t="str" cm="1">
        <f t="array" ref="B924">IF(A924="","",_xlfn.CHOOSECOLS('Prematch Backend 2A'!924:924,_xlfn.MAKEARRAY(1,A924-2,_xlfn.LAMBDA(_xlpm.r,_xlpm.c,_xlpm.c))))</f>
        <v/>
      </c>
    </row>
    <row r="925" spans="2:2" x14ac:dyDescent="0.2">
      <c r="B925" t="str" cm="1">
        <f t="array" ref="B925">IF(A925="","",_xlfn.CHOOSECOLS('Prematch Backend 2A'!925:925,_xlfn.MAKEARRAY(1,A925-2,_xlfn.LAMBDA(_xlpm.r,_xlpm.c,_xlpm.c))))</f>
        <v/>
      </c>
    </row>
    <row r="926" spans="2:2" x14ac:dyDescent="0.2">
      <c r="B926" t="str" cm="1">
        <f t="array" ref="B926">IF(A926="","",_xlfn.CHOOSECOLS('Prematch Backend 2A'!926:926,_xlfn.MAKEARRAY(1,A926-2,_xlfn.LAMBDA(_xlpm.r,_xlpm.c,_xlpm.c))))</f>
        <v/>
      </c>
    </row>
    <row r="927" spans="2:2" x14ac:dyDescent="0.2">
      <c r="B927" t="str" cm="1">
        <f t="array" ref="B927">IF(A927="","",_xlfn.CHOOSECOLS('Prematch Backend 2A'!927:927,_xlfn.MAKEARRAY(1,A927-2,_xlfn.LAMBDA(_xlpm.r,_xlpm.c,_xlpm.c))))</f>
        <v/>
      </c>
    </row>
    <row r="928" spans="2:2" x14ac:dyDescent="0.2">
      <c r="B928" t="str" cm="1">
        <f t="array" ref="B928">IF(A928="","",_xlfn.CHOOSECOLS('Prematch Backend 2A'!928:928,_xlfn.MAKEARRAY(1,A928-2,_xlfn.LAMBDA(_xlpm.r,_xlpm.c,_xlpm.c))))</f>
        <v/>
      </c>
    </row>
    <row r="929" spans="2:2" x14ac:dyDescent="0.2">
      <c r="B929" t="str" cm="1">
        <f t="array" ref="B929">IF(A929="","",_xlfn.CHOOSECOLS('Prematch Backend 2A'!929:929,_xlfn.MAKEARRAY(1,A929-2,_xlfn.LAMBDA(_xlpm.r,_xlpm.c,_xlpm.c))))</f>
        <v/>
      </c>
    </row>
    <row r="930" spans="2:2" x14ac:dyDescent="0.2">
      <c r="B930" t="str" cm="1">
        <f t="array" ref="B930">IF(A930="","",_xlfn.CHOOSECOLS('Prematch Backend 2A'!930:930,_xlfn.MAKEARRAY(1,A930-2,_xlfn.LAMBDA(_xlpm.r,_xlpm.c,_xlpm.c))))</f>
        <v/>
      </c>
    </row>
    <row r="931" spans="2:2" x14ac:dyDescent="0.2">
      <c r="B931" t="str" cm="1">
        <f t="array" ref="B931">IF(A931="","",_xlfn.CHOOSECOLS('Prematch Backend 2A'!931:931,_xlfn.MAKEARRAY(1,A931-2,_xlfn.LAMBDA(_xlpm.r,_xlpm.c,_xlpm.c))))</f>
        <v/>
      </c>
    </row>
    <row r="932" spans="2:2" x14ac:dyDescent="0.2">
      <c r="B932" t="str" cm="1">
        <f t="array" ref="B932">IF(A932="","",_xlfn.CHOOSECOLS('Prematch Backend 2A'!932:932,_xlfn.MAKEARRAY(1,A932-2,_xlfn.LAMBDA(_xlpm.r,_xlpm.c,_xlpm.c))))</f>
        <v/>
      </c>
    </row>
    <row r="933" spans="2:2" x14ac:dyDescent="0.2">
      <c r="B933" t="str" cm="1">
        <f t="array" ref="B933">IF(A933="","",_xlfn.CHOOSECOLS('Prematch Backend 2A'!933:933,_xlfn.MAKEARRAY(1,A933-2,_xlfn.LAMBDA(_xlpm.r,_xlpm.c,_xlpm.c))))</f>
        <v/>
      </c>
    </row>
    <row r="934" spans="2:2" x14ac:dyDescent="0.2">
      <c r="B934" t="str" cm="1">
        <f t="array" ref="B934">IF(A934="","",_xlfn.CHOOSECOLS('Prematch Backend 2A'!934:934,_xlfn.MAKEARRAY(1,A934-2,_xlfn.LAMBDA(_xlpm.r,_xlpm.c,_xlpm.c))))</f>
        <v/>
      </c>
    </row>
    <row r="935" spans="2:2" x14ac:dyDescent="0.2">
      <c r="B935" t="str" cm="1">
        <f t="array" ref="B935">IF(A935="","",_xlfn.CHOOSECOLS('Prematch Backend 2A'!935:935,_xlfn.MAKEARRAY(1,A935-2,_xlfn.LAMBDA(_xlpm.r,_xlpm.c,_xlpm.c))))</f>
        <v/>
      </c>
    </row>
    <row r="936" spans="2:2" x14ac:dyDescent="0.2">
      <c r="B936" t="str" cm="1">
        <f t="array" ref="B936">IF(A936="","",_xlfn.CHOOSECOLS('Prematch Backend 2A'!936:936,_xlfn.MAKEARRAY(1,A936-2,_xlfn.LAMBDA(_xlpm.r,_xlpm.c,_xlpm.c))))</f>
        <v/>
      </c>
    </row>
    <row r="937" spans="2:2" x14ac:dyDescent="0.2">
      <c r="B937" t="str" cm="1">
        <f t="array" ref="B937">IF(A937="","",_xlfn.CHOOSECOLS('Prematch Backend 2A'!937:937,_xlfn.MAKEARRAY(1,A937-2,_xlfn.LAMBDA(_xlpm.r,_xlpm.c,_xlpm.c))))</f>
        <v/>
      </c>
    </row>
    <row r="938" spans="2:2" x14ac:dyDescent="0.2">
      <c r="B938" t="str" cm="1">
        <f t="array" ref="B938">IF(A938="","",_xlfn.CHOOSECOLS('Prematch Backend 2A'!938:938,_xlfn.MAKEARRAY(1,A938-2,_xlfn.LAMBDA(_xlpm.r,_xlpm.c,_xlpm.c))))</f>
        <v/>
      </c>
    </row>
    <row r="939" spans="2:2" x14ac:dyDescent="0.2">
      <c r="B939" t="str" cm="1">
        <f t="array" ref="B939">IF(A939="","",_xlfn.CHOOSECOLS('Prematch Backend 2A'!939:939,_xlfn.MAKEARRAY(1,A939-2,_xlfn.LAMBDA(_xlpm.r,_xlpm.c,_xlpm.c))))</f>
        <v/>
      </c>
    </row>
    <row r="940" spans="2:2" x14ac:dyDescent="0.2">
      <c r="B940" t="str" cm="1">
        <f t="array" ref="B940">IF(A940="","",_xlfn.CHOOSECOLS('Prematch Backend 2A'!940:940,_xlfn.MAKEARRAY(1,A940-2,_xlfn.LAMBDA(_xlpm.r,_xlpm.c,_xlpm.c))))</f>
        <v/>
      </c>
    </row>
    <row r="941" spans="2:2" x14ac:dyDescent="0.2">
      <c r="B941" t="str" cm="1">
        <f t="array" ref="B941">IF(A941="","",_xlfn.CHOOSECOLS('Prematch Backend 2A'!941:941,_xlfn.MAKEARRAY(1,A941-2,_xlfn.LAMBDA(_xlpm.r,_xlpm.c,_xlpm.c))))</f>
        <v/>
      </c>
    </row>
    <row r="942" spans="2:2" x14ac:dyDescent="0.2">
      <c r="B942" t="str" cm="1">
        <f t="array" ref="B942">IF(A942="","",_xlfn.CHOOSECOLS('Prematch Backend 2A'!942:942,_xlfn.MAKEARRAY(1,A942-2,_xlfn.LAMBDA(_xlpm.r,_xlpm.c,_xlpm.c))))</f>
        <v/>
      </c>
    </row>
    <row r="943" spans="2:2" x14ac:dyDescent="0.2">
      <c r="B943" t="str" cm="1">
        <f t="array" ref="B943">IF(A943="","",_xlfn.CHOOSECOLS('Prematch Backend 2A'!943:943,_xlfn.MAKEARRAY(1,A943-2,_xlfn.LAMBDA(_xlpm.r,_xlpm.c,_xlpm.c))))</f>
        <v/>
      </c>
    </row>
    <row r="944" spans="2:2" x14ac:dyDescent="0.2">
      <c r="B944" t="str" cm="1">
        <f t="array" ref="B944">IF(A944="","",_xlfn.CHOOSECOLS('Prematch Backend 2A'!944:944,_xlfn.MAKEARRAY(1,A944-2,_xlfn.LAMBDA(_xlpm.r,_xlpm.c,_xlpm.c))))</f>
        <v/>
      </c>
    </row>
    <row r="945" spans="2:2" x14ac:dyDescent="0.2">
      <c r="B945" t="str" cm="1">
        <f t="array" ref="B945">IF(A945="","",_xlfn.CHOOSECOLS('Prematch Backend 2A'!945:945,_xlfn.MAKEARRAY(1,A945-2,_xlfn.LAMBDA(_xlpm.r,_xlpm.c,_xlpm.c))))</f>
        <v/>
      </c>
    </row>
    <row r="946" spans="2:2" x14ac:dyDescent="0.2">
      <c r="B946" t="str" cm="1">
        <f t="array" ref="B946">IF(A946="","",_xlfn.CHOOSECOLS('Prematch Backend 2A'!946:946,_xlfn.MAKEARRAY(1,A946-2,_xlfn.LAMBDA(_xlpm.r,_xlpm.c,_xlpm.c))))</f>
        <v/>
      </c>
    </row>
    <row r="947" spans="2:2" x14ac:dyDescent="0.2">
      <c r="B947" t="str" cm="1">
        <f t="array" ref="B947">IF(A947="","",_xlfn.CHOOSECOLS('Prematch Backend 2A'!947:947,_xlfn.MAKEARRAY(1,A947-2,_xlfn.LAMBDA(_xlpm.r,_xlpm.c,_xlpm.c))))</f>
        <v/>
      </c>
    </row>
    <row r="948" spans="2:2" x14ac:dyDescent="0.2">
      <c r="B948" t="str" cm="1">
        <f t="array" ref="B948">IF(A948="","",_xlfn.CHOOSECOLS('Prematch Backend 2A'!948:948,_xlfn.MAKEARRAY(1,A948-2,_xlfn.LAMBDA(_xlpm.r,_xlpm.c,_xlpm.c))))</f>
        <v/>
      </c>
    </row>
    <row r="949" spans="2:2" x14ac:dyDescent="0.2">
      <c r="B949" t="str" cm="1">
        <f t="array" ref="B949">IF(A949="","",_xlfn.CHOOSECOLS('Prematch Backend 2A'!949:949,_xlfn.MAKEARRAY(1,A949-2,_xlfn.LAMBDA(_xlpm.r,_xlpm.c,_xlpm.c))))</f>
        <v/>
      </c>
    </row>
    <row r="950" spans="2:2" x14ac:dyDescent="0.2">
      <c r="B950" t="str" cm="1">
        <f t="array" ref="B950">IF(A950="","",_xlfn.CHOOSECOLS('Prematch Backend 2A'!950:950,_xlfn.MAKEARRAY(1,A950-2,_xlfn.LAMBDA(_xlpm.r,_xlpm.c,_xlpm.c))))</f>
        <v/>
      </c>
    </row>
    <row r="951" spans="2:2" x14ac:dyDescent="0.2">
      <c r="B951" t="str" cm="1">
        <f t="array" ref="B951">IF(A951="","",_xlfn.CHOOSECOLS('Prematch Backend 2A'!951:951,_xlfn.MAKEARRAY(1,A951-2,_xlfn.LAMBDA(_xlpm.r,_xlpm.c,_xlpm.c))))</f>
        <v/>
      </c>
    </row>
    <row r="952" spans="2:2" x14ac:dyDescent="0.2">
      <c r="B952" t="str" cm="1">
        <f t="array" ref="B952">IF(A952="","",_xlfn.CHOOSECOLS('Prematch Backend 2A'!952:952,_xlfn.MAKEARRAY(1,A952-2,_xlfn.LAMBDA(_xlpm.r,_xlpm.c,_xlpm.c))))</f>
        <v/>
      </c>
    </row>
    <row r="953" spans="2:2" x14ac:dyDescent="0.2">
      <c r="B953" t="str" cm="1">
        <f t="array" ref="B953">IF(A953="","",_xlfn.CHOOSECOLS('Prematch Backend 2A'!953:953,_xlfn.MAKEARRAY(1,A953-2,_xlfn.LAMBDA(_xlpm.r,_xlpm.c,_xlpm.c))))</f>
        <v/>
      </c>
    </row>
    <row r="954" spans="2:2" x14ac:dyDescent="0.2">
      <c r="B954" t="str" cm="1">
        <f t="array" ref="B954">IF(A954="","",_xlfn.CHOOSECOLS('Prematch Backend 2A'!954:954,_xlfn.MAKEARRAY(1,A954-2,_xlfn.LAMBDA(_xlpm.r,_xlpm.c,_xlpm.c))))</f>
        <v/>
      </c>
    </row>
    <row r="955" spans="2:2" x14ac:dyDescent="0.2">
      <c r="B955" t="str" cm="1">
        <f t="array" ref="B955">IF(A955="","",_xlfn.CHOOSECOLS('Prematch Backend 2A'!955:955,_xlfn.MAKEARRAY(1,A955-2,_xlfn.LAMBDA(_xlpm.r,_xlpm.c,_xlpm.c))))</f>
        <v/>
      </c>
    </row>
    <row r="956" spans="2:2" x14ac:dyDescent="0.2">
      <c r="B956" t="str" cm="1">
        <f t="array" ref="B956">IF(A956="","",_xlfn.CHOOSECOLS('Prematch Backend 2A'!956:956,_xlfn.MAKEARRAY(1,A956-2,_xlfn.LAMBDA(_xlpm.r,_xlpm.c,_xlpm.c))))</f>
        <v/>
      </c>
    </row>
    <row r="957" spans="2:2" x14ac:dyDescent="0.2">
      <c r="B957" t="str" cm="1">
        <f t="array" ref="B957">IF(A957="","",_xlfn.CHOOSECOLS('Prematch Backend 2A'!957:957,_xlfn.MAKEARRAY(1,A957-2,_xlfn.LAMBDA(_xlpm.r,_xlpm.c,_xlpm.c))))</f>
        <v/>
      </c>
    </row>
    <row r="958" spans="2:2" x14ac:dyDescent="0.2">
      <c r="B958" t="str" cm="1">
        <f t="array" ref="B958">IF(A958="","",_xlfn.CHOOSECOLS('Prematch Backend 2A'!958:958,_xlfn.MAKEARRAY(1,A958-2,_xlfn.LAMBDA(_xlpm.r,_xlpm.c,_xlpm.c))))</f>
        <v/>
      </c>
    </row>
    <row r="959" spans="2:2" x14ac:dyDescent="0.2">
      <c r="B959" t="str" cm="1">
        <f t="array" ref="B959">IF(A959="","",_xlfn.CHOOSECOLS('Prematch Backend 2A'!959:959,_xlfn.MAKEARRAY(1,A959-2,_xlfn.LAMBDA(_xlpm.r,_xlpm.c,_xlpm.c))))</f>
        <v/>
      </c>
    </row>
    <row r="960" spans="2:2" x14ac:dyDescent="0.2">
      <c r="B960" t="str" cm="1">
        <f t="array" ref="B960">IF(A960="","",_xlfn.CHOOSECOLS('Prematch Backend 2A'!960:960,_xlfn.MAKEARRAY(1,A960-2,_xlfn.LAMBDA(_xlpm.r,_xlpm.c,_xlpm.c))))</f>
        <v/>
      </c>
    </row>
    <row r="961" spans="2:2" x14ac:dyDescent="0.2">
      <c r="B961" t="str" cm="1">
        <f t="array" ref="B961">IF(A961="","",_xlfn.CHOOSECOLS('Prematch Backend 2A'!961:961,_xlfn.MAKEARRAY(1,A961-2,_xlfn.LAMBDA(_xlpm.r,_xlpm.c,_xlpm.c))))</f>
        <v/>
      </c>
    </row>
    <row r="962" spans="2:2" x14ac:dyDescent="0.2">
      <c r="B962" t="str" cm="1">
        <f t="array" ref="B962">IF(A962="","",_xlfn.CHOOSECOLS('Prematch Backend 2A'!962:962,_xlfn.MAKEARRAY(1,A962-2,_xlfn.LAMBDA(_xlpm.r,_xlpm.c,_xlpm.c))))</f>
        <v/>
      </c>
    </row>
    <row r="963" spans="2:2" x14ac:dyDescent="0.2">
      <c r="B963" t="str" cm="1">
        <f t="array" ref="B963">IF(A963="","",_xlfn.CHOOSECOLS('Prematch Backend 2A'!963:963,_xlfn.MAKEARRAY(1,A963-2,_xlfn.LAMBDA(_xlpm.r,_xlpm.c,_xlpm.c))))</f>
        <v/>
      </c>
    </row>
    <row r="964" spans="2:2" x14ac:dyDescent="0.2">
      <c r="B964" t="str" cm="1">
        <f t="array" ref="B964">IF(A964="","",_xlfn.CHOOSECOLS('Prematch Backend 2A'!964:964,_xlfn.MAKEARRAY(1,A964-2,_xlfn.LAMBDA(_xlpm.r,_xlpm.c,_xlpm.c))))</f>
        <v/>
      </c>
    </row>
    <row r="965" spans="2:2" x14ac:dyDescent="0.2">
      <c r="B965" t="str" cm="1">
        <f t="array" ref="B965">IF(A965="","",_xlfn.CHOOSECOLS('Prematch Backend 2A'!965:965,_xlfn.MAKEARRAY(1,A965-2,_xlfn.LAMBDA(_xlpm.r,_xlpm.c,_xlpm.c))))</f>
        <v/>
      </c>
    </row>
    <row r="966" spans="2:2" x14ac:dyDescent="0.2">
      <c r="B966" t="str" cm="1">
        <f t="array" ref="B966">IF(A966="","",_xlfn.CHOOSECOLS('Prematch Backend 2A'!966:966,_xlfn.MAKEARRAY(1,A966-2,_xlfn.LAMBDA(_xlpm.r,_xlpm.c,_xlpm.c))))</f>
        <v/>
      </c>
    </row>
    <row r="967" spans="2:2" x14ac:dyDescent="0.2">
      <c r="B967" t="str" cm="1">
        <f t="array" ref="B967">IF(A967="","",_xlfn.CHOOSECOLS('Prematch Backend 2A'!967:967,_xlfn.MAKEARRAY(1,A967-2,_xlfn.LAMBDA(_xlpm.r,_xlpm.c,_xlpm.c))))</f>
        <v/>
      </c>
    </row>
    <row r="968" spans="2:2" x14ac:dyDescent="0.2">
      <c r="B968" t="str" cm="1">
        <f t="array" ref="B968">IF(A968="","",_xlfn.CHOOSECOLS('Prematch Backend 2A'!968:968,_xlfn.MAKEARRAY(1,A968-2,_xlfn.LAMBDA(_xlpm.r,_xlpm.c,_xlpm.c))))</f>
        <v/>
      </c>
    </row>
    <row r="969" spans="2:2" x14ac:dyDescent="0.2">
      <c r="B969" t="str" cm="1">
        <f t="array" ref="B969">IF(A969="","",_xlfn.CHOOSECOLS('Prematch Backend 2A'!969:969,_xlfn.MAKEARRAY(1,A969-2,_xlfn.LAMBDA(_xlpm.r,_xlpm.c,_xlpm.c))))</f>
        <v/>
      </c>
    </row>
    <row r="970" spans="2:2" x14ac:dyDescent="0.2">
      <c r="B970" t="str" cm="1">
        <f t="array" ref="B970">IF(A970="","",_xlfn.CHOOSECOLS('Prematch Backend 2A'!970:970,_xlfn.MAKEARRAY(1,A970-2,_xlfn.LAMBDA(_xlpm.r,_xlpm.c,_xlpm.c))))</f>
        <v/>
      </c>
    </row>
    <row r="971" spans="2:2" x14ac:dyDescent="0.2">
      <c r="B971" t="str" cm="1">
        <f t="array" ref="B971">IF(A971="","",_xlfn.CHOOSECOLS('Prematch Backend 2A'!971:971,_xlfn.MAKEARRAY(1,A971-2,_xlfn.LAMBDA(_xlpm.r,_xlpm.c,_xlpm.c))))</f>
        <v/>
      </c>
    </row>
    <row r="972" spans="2:2" x14ac:dyDescent="0.2">
      <c r="B972" t="str" cm="1">
        <f t="array" ref="B972">IF(A972="","",_xlfn.CHOOSECOLS('Prematch Backend 2A'!972:972,_xlfn.MAKEARRAY(1,A972-2,_xlfn.LAMBDA(_xlpm.r,_xlpm.c,_xlpm.c))))</f>
        <v/>
      </c>
    </row>
    <row r="973" spans="2:2" x14ac:dyDescent="0.2">
      <c r="B973" t="str" cm="1">
        <f t="array" ref="B973">IF(A973="","",_xlfn.CHOOSECOLS('Prematch Backend 2A'!973:973,_xlfn.MAKEARRAY(1,A973-2,_xlfn.LAMBDA(_xlpm.r,_xlpm.c,_xlpm.c))))</f>
        <v/>
      </c>
    </row>
    <row r="974" spans="2:2" x14ac:dyDescent="0.2">
      <c r="B974" t="str" cm="1">
        <f t="array" ref="B974">IF(A974="","",_xlfn.CHOOSECOLS('Prematch Backend 2A'!974:974,_xlfn.MAKEARRAY(1,A974-2,_xlfn.LAMBDA(_xlpm.r,_xlpm.c,_xlpm.c))))</f>
        <v/>
      </c>
    </row>
    <row r="975" spans="2:2" x14ac:dyDescent="0.2">
      <c r="B975" t="str" cm="1">
        <f t="array" ref="B975">IF(A975="","",_xlfn.CHOOSECOLS('Prematch Backend 2A'!975:975,_xlfn.MAKEARRAY(1,A975-2,_xlfn.LAMBDA(_xlpm.r,_xlpm.c,_xlpm.c))))</f>
        <v/>
      </c>
    </row>
    <row r="976" spans="2:2" x14ac:dyDescent="0.2">
      <c r="B976" t="str" cm="1">
        <f t="array" ref="B976">IF(A976="","",_xlfn.CHOOSECOLS('Prematch Backend 2A'!976:976,_xlfn.MAKEARRAY(1,A976-2,_xlfn.LAMBDA(_xlpm.r,_xlpm.c,_xlpm.c))))</f>
        <v/>
      </c>
    </row>
    <row r="977" spans="2:2" x14ac:dyDescent="0.2">
      <c r="B977" t="str" cm="1">
        <f t="array" ref="B977">IF(A977="","",_xlfn.CHOOSECOLS('Prematch Backend 2A'!977:977,_xlfn.MAKEARRAY(1,A977-2,_xlfn.LAMBDA(_xlpm.r,_xlpm.c,_xlpm.c))))</f>
        <v/>
      </c>
    </row>
    <row r="978" spans="2:2" x14ac:dyDescent="0.2">
      <c r="B978" t="str" cm="1">
        <f t="array" ref="B978">IF(A978="","",_xlfn.CHOOSECOLS('Prematch Backend 2A'!978:978,_xlfn.MAKEARRAY(1,A978-2,_xlfn.LAMBDA(_xlpm.r,_xlpm.c,_xlpm.c))))</f>
        <v/>
      </c>
    </row>
    <row r="979" spans="2:2" x14ac:dyDescent="0.2">
      <c r="B979" t="str" cm="1">
        <f t="array" ref="B979">IF(A979="","",_xlfn.CHOOSECOLS('Prematch Backend 2A'!979:979,_xlfn.MAKEARRAY(1,A979-2,_xlfn.LAMBDA(_xlpm.r,_xlpm.c,_xlpm.c))))</f>
        <v/>
      </c>
    </row>
    <row r="980" spans="2:2" x14ac:dyDescent="0.2">
      <c r="B980" t="str" cm="1">
        <f t="array" ref="B980">IF(A980="","",_xlfn.CHOOSECOLS('Prematch Backend 2A'!980:980,_xlfn.MAKEARRAY(1,A980-2,_xlfn.LAMBDA(_xlpm.r,_xlpm.c,_xlpm.c))))</f>
        <v/>
      </c>
    </row>
    <row r="981" spans="2:2" x14ac:dyDescent="0.2">
      <c r="B981" t="str" cm="1">
        <f t="array" ref="B981">IF(A981="","",_xlfn.CHOOSECOLS('Prematch Backend 2A'!981:981,_xlfn.MAKEARRAY(1,A981-2,_xlfn.LAMBDA(_xlpm.r,_xlpm.c,_xlpm.c))))</f>
        <v/>
      </c>
    </row>
    <row r="982" spans="2:2" x14ac:dyDescent="0.2">
      <c r="B982" t="str" cm="1">
        <f t="array" ref="B982">IF(A982="","",_xlfn.CHOOSECOLS('Prematch Backend 2A'!982:982,_xlfn.MAKEARRAY(1,A982-2,_xlfn.LAMBDA(_xlpm.r,_xlpm.c,_xlpm.c))))</f>
        <v/>
      </c>
    </row>
    <row r="983" spans="2:2" x14ac:dyDescent="0.2">
      <c r="B983" t="str" cm="1">
        <f t="array" ref="B983">IF(A983="","",_xlfn.CHOOSECOLS('Prematch Backend 2A'!983:983,_xlfn.MAKEARRAY(1,A983-2,_xlfn.LAMBDA(_xlpm.r,_xlpm.c,_xlpm.c))))</f>
        <v/>
      </c>
    </row>
    <row r="984" spans="2:2" x14ac:dyDescent="0.2">
      <c r="B984" t="str" cm="1">
        <f t="array" ref="B984">IF(A984="","",_xlfn.CHOOSECOLS('Prematch Backend 2A'!984:984,_xlfn.MAKEARRAY(1,A984-2,_xlfn.LAMBDA(_xlpm.r,_xlpm.c,_xlpm.c))))</f>
        <v/>
      </c>
    </row>
    <row r="985" spans="2:2" x14ac:dyDescent="0.2">
      <c r="B985" t="str" cm="1">
        <f t="array" ref="B985">IF(A985="","",_xlfn.CHOOSECOLS('Prematch Backend 2A'!985:985,_xlfn.MAKEARRAY(1,A985-2,_xlfn.LAMBDA(_xlpm.r,_xlpm.c,_xlpm.c))))</f>
        <v/>
      </c>
    </row>
    <row r="986" spans="2:2" x14ac:dyDescent="0.2">
      <c r="B986" t="str" cm="1">
        <f t="array" ref="B986">IF(A986="","",_xlfn.CHOOSECOLS('Prematch Backend 2A'!986:986,_xlfn.MAKEARRAY(1,A986-2,_xlfn.LAMBDA(_xlpm.r,_xlpm.c,_xlpm.c))))</f>
        <v/>
      </c>
    </row>
    <row r="987" spans="2:2" x14ac:dyDescent="0.2">
      <c r="B987" t="str" cm="1">
        <f t="array" ref="B987">IF(A987="","",_xlfn.CHOOSECOLS('Prematch Backend 2A'!987:987,_xlfn.MAKEARRAY(1,A987-2,_xlfn.LAMBDA(_xlpm.r,_xlpm.c,_xlpm.c))))</f>
        <v/>
      </c>
    </row>
    <row r="988" spans="2:2" x14ac:dyDescent="0.2">
      <c r="B988" t="str" cm="1">
        <f t="array" ref="B988">IF(A988="","",_xlfn.CHOOSECOLS('Prematch Backend 2A'!988:988,_xlfn.MAKEARRAY(1,A988-2,_xlfn.LAMBDA(_xlpm.r,_xlpm.c,_xlpm.c))))</f>
        <v/>
      </c>
    </row>
    <row r="989" spans="2:2" x14ac:dyDescent="0.2">
      <c r="B989" t="str" cm="1">
        <f t="array" ref="B989">IF(A989="","",_xlfn.CHOOSECOLS('Prematch Backend 2A'!989:989,_xlfn.MAKEARRAY(1,A989-2,_xlfn.LAMBDA(_xlpm.r,_xlpm.c,_xlpm.c))))</f>
        <v/>
      </c>
    </row>
    <row r="990" spans="2:2" x14ac:dyDescent="0.2">
      <c r="B990" t="str" cm="1">
        <f t="array" ref="B990">IF(A990="","",_xlfn.CHOOSECOLS('Prematch Backend 2A'!990:990,_xlfn.MAKEARRAY(1,A990-2,_xlfn.LAMBDA(_xlpm.r,_xlpm.c,_xlpm.c))))</f>
        <v/>
      </c>
    </row>
    <row r="991" spans="2:2" x14ac:dyDescent="0.2">
      <c r="B991" t="str" cm="1">
        <f t="array" ref="B991">IF(A991="","",_xlfn.CHOOSECOLS('Prematch Backend 2A'!991:991,_xlfn.MAKEARRAY(1,A991-2,_xlfn.LAMBDA(_xlpm.r,_xlpm.c,_xlpm.c))))</f>
        <v/>
      </c>
    </row>
    <row r="992" spans="2:2" x14ac:dyDescent="0.2">
      <c r="B992" t="str" cm="1">
        <f t="array" ref="B992">IF(A992="","",_xlfn.CHOOSECOLS('Prematch Backend 2A'!992:992,_xlfn.MAKEARRAY(1,A992-2,_xlfn.LAMBDA(_xlpm.r,_xlpm.c,_xlpm.c))))</f>
        <v/>
      </c>
    </row>
    <row r="993" spans="2:2" x14ac:dyDescent="0.2">
      <c r="B993" t="str" cm="1">
        <f t="array" ref="B993">IF(A993="","",_xlfn.CHOOSECOLS('Prematch Backend 2A'!993:993,_xlfn.MAKEARRAY(1,A993-2,_xlfn.LAMBDA(_xlpm.r,_xlpm.c,_xlpm.c))))</f>
        <v/>
      </c>
    </row>
    <row r="994" spans="2:2" x14ac:dyDescent="0.2">
      <c r="B994" t="str" cm="1">
        <f t="array" ref="B994">IF(A994="","",_xlfn.CHOOSECOLS('Prematch Backend 2A'!994:994,_xlfn.MAKEARRAY(1,A994-2,_xlfn.LAMBDA(_xlpm.r,_xlpm.c,_xlpm.c))))</f>
        <v/>
      </c>
    </row>
    <row r="995" spans="2:2" x14ac:dyDescent="0.2">
      <c r="B995" t="str" cm="1">
        <f t="array" ref="B995">IF(A995="","",_xlfn.CHOOSECOLS('Prematch Backend 2A'!995:995,_xlfn.MAKEARRAY(1,A995-2,_xlfn.LAMBDA(_xlpm.r,_xlpm.c,_xlpm.c))))</f>
        <v/>
      </c>
    </row>
    <row r="996" spans="2:2" x14ac:dyDescent="0.2">
      <c r="B996" t="str" cm="1">
        <f t="array" ref="B996">IF(A996="","",_xlfn.CHOOSECOLS('Prematch Backend 2A'!996:996,_xlfn.MAKEARRAY(1,A996-2,_xlfn.LAMBDA(_xlpm.r,_xlpm.c,_xlpm.c))))</f>
        <v/>
      </c>
    </row>
    <row r="997" spans="2:2" x14ac:dyDescent="0.2">
      <c r="B997" t="str" cm="1">
        <f t="array" ref="B997">IF(A997="","",_xlfn.CHOOSECOLS('Prematch Backend 2A'!997:997,_xlfn.MAKEARRAY(1,A997-2,_xlfn.LAMBDA(_xlpm.r,_xlpm.c,_xlpm.c))))</f>
        <v/>
      </c>
    </row>
    <row r="998" spans="2:2" x14ac:dyDescent="0.2">
      <c r="B998" t="str" cm="1">
        <f t="array" ref="B998">IF(A998="","",_xlfn.CHOOSECOLS('Prematch Backend 2A'!998:998,_xlfn.MAKEARRAY(1,A998-2,_xlfn.LAMBDA(_xlpm.r,_xlpm.c,_xlpm.c))))</f>
        <v/>
      </c>
    </row>
    <row r="999" spans="2:2" x14ac:dyDescent="0.2">
      <c r="B999" t="str" cm="1">
        <f t="array" ref="B999">IF(A999="","",_xlfn.CHOOSECOLS('Prematch Backend 2A'!999:999,_xlfn.MAKEARRAY(1,A999-2,_xlfn.LAMBDA(_xlpm.r,_xlpm.c,_xlpm.c))))</f>
        <v/>
      </c>
    </row>
    <row r="1000" spans="2:2" x14ac:dyDescent="0.2">
      <c r="B1000" t="str" cm="1">
        <f t="array" ref="B1000">IF(A1000="","",_xlfn.CHOOSECOLS('Prematch Backend 2A'!1000:1000,_xlfn.MAKEARRAY(1,A1000-2,_xlfn.LAMBDA(_xlpm.r,_xlpm.c,_xlpm.c))))</f>
        <v/>
      </c>
    </row>
    <row r="1001" spans="2:2" x14ac:dyDescent="0.2">
      <c r="B1001" t="str" cm="1">
        <f t="array" ref="B1001">IF(A1001="","",_xlfn.CHOOSECOLS('Prematch Backend 2A'!1001:1001,_xlfn.MAKEARRAY(1,A1001-2,_xlfn.LAMBDA(_xlpm.r,_xlpm.c,_xlpm.c))))</f>
        <v/>
      </c>
    </row>
    <row r="1002" spans="2:2" x14ac:dyDescent="0.2">
      <c r="B1002" t="str" cm="1">
        <f t="array" ref="B1002">IF(A1002="","",_xlfn.CHOOSECOLS('Prematch Backend 2A'!1002:1002,_xlfn.MAKEARRAY(1,A1002-2,_xlfn.LAMBDA(_xlpm.r,_xlpm.c,_xlpm.c))))</f>
        <v/>
      </c>
    </row>
    <row r="1003" spans="2:2" x14ac:dyDescent="0.2">
      <c r="B1003" t="str" cm="1">
        <f t="array" ref="B1003">IF(A1003="","",_xlfn.CHOOSECOLS('Prematch Backend 2A'!1003:1003,_xlfn.MAKEARRAY(1,A1003-2,_xlfn.LAMBDA(_xlpm.r,_xlpm.c,_xlpm.c))))</f>
        <v/>
      </c>
    </row>
    <row r="1004" spans="2:2" x14ac:dyDescent="0.2">
      <c r="B1004" t="str" cm="1">
        <f t="array" ref="B1004">IF(A1004="","",_xlfn.CHOOSECOLS('Prematch Backend 2A'!1004:1004,_xlfn.MAKEARRAY(1,A1004-2,_xlfn.LAMBDA(_xlpm.r,_xlpm.c,_xlpm.c))))</f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0BBB2-197E-4253-906E-90AEDDA88E2B}">
  <sheetPr codeName="Sheet25"/>
  <dimension ref="B1:K6"/>
  <sheetViews>
    <sheetView topLeftCell="B1" zoomScaleNormal="100" workbookViewId="0">
      <selection activeCell="F2" sqref="F2"/>
    </sheetView>
  </sheetViews>
  <sheetFormatPr baseColWidth="10" defaultColWidth="8.83203125" defaultRowHeight="15" x14ac:dyDescent="0.2"/>
  <cols>
    <col min="1" max="1" width="0" hidden="1" customWidth="1"/>
    <col min="7" max="7" width="11" customWidth="1"/>
  </cols>
  <sheetData>
    <row r="1" spans="2:11" x14ac:dyDescent="0.2">
      <c r="B1" t="s">
        <v>167</v>
      </c>
      <c r="D1" t="s">
        <v>168</v>
      </c>
    </row>
    <row r="2" spans="2:11" x14ac:dyDescent="0.2">
      <c r="B2">
        <f>'Prematch Backend 7A'!A2</f>
        <v>5000</v>
      </c>
      <c r="D2">
        <v>1</v>
      </c>
    </row>
    <row r="3" spans="2:11" x14ac:dyDescent="0.2">
      <c r="C3" t="s">
        <v>173</v>
      </c>
      <c r="D3" t="s">
        <v>174</v>
      </c>
      <c r="F3" t="s">
        <v>173</v>
      </c>
      <c r="G3" t="s">
        <v>174</v>
      </c>
      <c r="J3" t="s">
        <v>174</v>
      </c>
      <c r="K3" t="s">
        <v>173</v>
      </c>
    </row>
    <row r="5" spans="2:11" x14ac:dyDescent="0.2">
      <c r="C5" t="e" cm="1">
        <f t="array" ref="C5">_xlfn.TOCOL(_xlfn.CHOOSECOLS('Prematch Backend 7B'!5:5, _xlfn.MAKEARRAY(('Prematch Backend 7B'!E2)/4,1,_xlfn.LAMBDA(_xlpm.r,_xlpm.c,_xlpm.r*4-1))))</f>
        <v>#VALUE!</v>
      </c>
      <c r="D5" t="e" cm="1">
        <f t="array" ref="D5">ABS(_xlfn.TOCOL(_xlfn.CHOOSECOLS('Prematch Backend 7B'!5:5,_xlfn.MAKEARRAY(('Prematch Backend 7B'!E2)/4,1,_xlfn.LAMBDA(_xlpm.r,_xlpm.c,_xlpm.r*4-3)))))</f>
        <v>#VALUE!</v>
      </c>
      <c r="F5" t="e" cm="1" vm="2">
        <f t="array" ref="F5">_xlfn.TOCOL(IF(_xlfn.BYROW(G5:G1000,_xlfn.LAMBDA(_xlpm.r,MAX(getData(C5:C1000,D5:D1000,D5:D1000,_xlpm.r))))=0,"",_xlfn.BYROW(G5:G1000,_xlfn.LAMBDA(_xlpm.r,MAX(getData(C5:C1000,D5:D1000,D5:D1000,_xlpm.r))))),3)</f>
        <v>#VALUE!</v>
      </c>
      <c r="G5" s="3" t="e" cm="1">
        <f t="array" ref="G5">_xlfn.TOCOL(_xlfn._xlws.SORT(_xlfn.UNIQUE(D5:D1000)),1)</f>
        <v>#VALUE!</v>
      </c>
    </row>
    <row r="6" spans="2:11" x14ac:dyDescent="0.2">
      <c r="G6" s="3"/>
      <c r="J6" s="3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16127-11D5-432F-893C-EB6B316B278E}">
  <sheetPr codeName="Sheet7"/>
  <dimension ref="A1:AR28"/>
  <sheetViews>
    <sheetView topLeftCell="B1" zoomScale="70" zoomScaleNormal="70" workbookViewId="0">
      <selection activeCell="I3" sqref="I3"/>
    </sheetView>
  </sheetViews>
  <sheetFormatPr baseColWidth="10" defaultColWidth="8.83203125" defaultRowHeight="15" x14ac:dyDescent="0.2"/>
  <cols>
    <col min="1" max="1" width="14.83203125" style="5" bestFit="1" customWidth="1"/>
    <col min="2" max="2" width="6.33203125" style="5" bestFit="1" customWidth="1"/>
    <col min="3" max="3" width="15.33203125" style="5" bestFit="1" customWidth="1"/>
    <col min="4" max="4" width="11.5" style="5" bestFit="1" customWidth="1"/>
    <col min="5" max="5" width="14.33203125" style="5" bestFit="1" customWidth="1"/>
    <col min="6" max="6" width="11.5" style="5" bestFit="1" customWidth="1"/>
    <col min="7" max="7" width="17.83203125" style="5" bestFit="1" customWidth="1"/>
    <col min="8" max="8" width="33" style="5" bestFit="1" customWidth="1"/>
    <col min="9" max="9" width="14.83203125" style="6" bestFit="1" customWidth="1"/>
    <col min="10" max="10" width="9.1640625" style="6"/>
    <col min="11" max="11" width="15.33203125" style="6" bestFit="1" customWidth="1"/>
    <col min="12" max="12" width="11.5" style="6" bestFit="1" customWidth="1"/>
    <col min="13" max="13" width="14.33203125" style="6" bestFit="1" customWidth="1"/>
    <col min="14" max="14" width="11.5" style="6" bestFit="1" customWidth="1"/>
    <col min="15" max="15" width="17.83203125" style="6" bestFit="1" customWidth="1"/>
    <col min="16" max="16" width="33" style="6" bestFit="1" customWidth="1"/>
    <col min="44" max="44" width="2.5" bestFit="1" customWidth="1"/>
  </cols>
  <sheetData>
    <row r="1" spans="1:44" x14ac:dyDescent="0.2">
      <c r="A1" s="5" t="s">
        <v>181</v>
      </c>
      <c r="C1" s="5" t="s">
        <v>176</v>
      </c>
      <c r="D1" s="5" t="s">
        <v>177</v>
      </c>
      <c r="E1" s="5" t="s">
        <v>157</v>
      </c>
      <c r="F1" s="5" t="s">
        <v>178</v>
      </c>
      <c r="G1" s="5" t="s">
        <v>179</v>
      </c>
      <c r="H1" s="5" t="s">
        <v>180</v>
      </c>
      <c r="I1" s="6" t="s">
        <v>181</v>
      </c>
      <c r="K1" s="6" t="s">
        <v>176</v>
      </c>
      <c r="L1" s="6" t="s">
        <v>177</v>
      </c>
      <c r="M1" s="6" t="s">
        <v>157</v>
      </c>
      <c r="N1" s="6" t="s">
        <v>178</v>
      </c>
      <c r="O1" s="6" t="s">
        <v>179</v>
      </c>
      <c r="P1" s="6" t="s">
        <v>180</v>
      </c>
      <c r="AR1">
        <v>1</v>
      </c>
    </row>
    <row r="2" spans="1:44" x14ac:dyDescent="0.2">
      <c r="A2" s="5">
        <v>1540</v>
      </c>
      <c r="C2" s="5" t="e" cm="1">
        <f t="array" ref="C2">_xlfn.CHOOSEROWS('Prematch Backend 1'!$C$1:$H$1000,getDataRows('Prematch Backend 1'!A:A,'Prematch Backend 1'!A:A,Prematch!A2))</f>
        <v>#VALUE!</v>
      </c>
      <c r="I2" s="6">
        <v>6443</v>
      </c>
      <c r="K2" s="6" t="e" cm="1">
        <f t="array" ref="K2">_xlfn.CHOOSEROWS('Prematch Backend 1'!$C$1:$H$1000,getDataRows('Prematch Backend 1'!A:A,'Prematch Backend 1'!A:A,Prematch!I2))</f>
        <v>#VALUE!</v>
      </c>
      <c r="AR2">
        <v>2</v>
      </c>
    </row>
    <row r="3" spans="1:44" x14ac:dyDescent="0.2">
      <c r="AR3">
        <v>3</v>
      </c>
    </row>
    <row r="4" spans="1:44" x14ac:dyDescent="0.2">
      <c r="AR4">
        <v>4</v>
      </c>
    </row>
    <row r="5" spans="1:44" x14ac:dyDescent="0.2">
      <c r="AR5">
        <v>5</v>
      </c>
    </row>
    <row r="6" spans="1:44" x14ac:dyDescent="0.2">
      <c r="AR6">
        <v>6</v>
      </c>
    </row>
    <row r="7" spans="1:44" x14ac:dyDescent="0.2">
      <c r="AR7">
        <v>7</v>
      </c>
    </row>
    <row r="8" spans="1:44" x14ac:dyDescent="0.2">
      <c r="AR8">
        <v>8</v>
      </c>
    </row>
    <row r="15" spans="1:44" x14ac:dyDescent="0.2">
      <c r="A15" s="5">
        <v>1000</v>
      </c>
      <c r="C15" s="5" t="e" cm="1">
        <f t="array" ref="C15">_xlfn.CHOOSEROWS('Prematch Backend 1'!$C$1:$H$1000,getDataRows('Prematch Backend 1'!A:A,'Prematch Backend 1'!A:A,Prematch!A15))</f>
        <v>#VALUE!</v>
      </c>
      <c r="I15" s="6">
        <v>1000</v>
      </c>
      <c r="K15" s="6" t="e" cm="1">
        <f t="array" ref="K15">_xlfn.CHOOSEROWS('Prematch Backend 1'!$C$1:$H$1000,getDataRows('Prematch Backend 1'!A:A,'Prematch Backend 1'!A:A,Prematch!I15))</f>
        <v>#VALUE!</v>
      </c>
    </row>
    <row r="28" spans="1:11" x14ac:dyDescent="0.2">
      <c r="A28" s="5">
        <v>5000</v>
      </c>
      <c r="C28" s="5" t="e" cm="1">
        <f t="array" ref="C28">_xlfn.CHOOSEROWS('Prematch Backend 1'!C1:H1000,getDataRows('Prematch Backend 1'!A:A,'Prematch Backend 1'!A:A,Prematch!A28))</f>
        <v>#VALUE!</v>
      </c>
      <c r="I28" s="6">
        <v>5000</v>
      </c>
      <c r="K28" s="6" t="e" cm="1">
        <f t="array" ref="K28">_xlfn.CHOOSEROWS('Prematch Backend 1'!$C$1:$H$1000,getDataRows('Prematch Backend 1'!A:A,'Prematch Backend 1'!A:A,Prematch!I28))</f>
        <v>#VALUE!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2A55D-BA71-4023-895D-6677A8B30B6E}">
  <sheetPr codeName="Sheet6"/>
  <dimension ref="B1:Q31"/>
  <sheetViews>
    <sheetView workbookViewId="0">
      <selection activeCell="B5" sqref="B5"/>
    </sheetView>
  </sheetViews>
  <sheetFormatPr baseColWidth="10" defaultColWidth="8.83203125" defaultRowHeight="15" x14ac:dyDescent="0.2"/>
  <cols>
    <col min="2" max="2" width="13.6640625" bestFit="1" customWidth="1"/>
    <col min="3" max="3" width="25.33203125" bestFit="1" customWidth="1"/>
    <col min="4" max="4" width="18.5" bestFit="1" customWidth="1"/>
    <col min="5" max="5" width="23.33203125" bestFit="1" customWidth="1"/>
    <col min="6" max="6" width="15.6640625" bestFit="1" customWidth="1"/>
    <col min="7" max="7" width="18.5" bestFit="1" customWidth="1"/>
    <col min="8" max="8" width="18" bestFit="1" customWidth="1"/>
    <col min="9" max="9" width="11.33203125" bestFit="1" customWidth="1"/>
    <col min="10" max="10" width="13.33203125" bestFit="1" customWidth="1"/>
    <col min="11" max="11" width="26" bestFit="1" customWidth="1"/>
    <col min="12" max="12" width="15.5" bestFit="1" customWidth="1"/>
    <col min="13" max="13" width="21.83203125" bestFit="1" customWidth="1"/>
    <col min="14" max="14" width="23.6640625" bestFit="1" customWidth="1"/>
    <col min="15" max="15" width="15.5" bestFit="1" customWidth="1"/>
    <col min="16" max="16" width="10.5" bestFit="1" customWidth="1"/>
    <col min="17" max="17" width="6.83203125" bestFit="1" customWidth="1"/>
  </cols>
  <sheetData>
    <row r="1" spans="2:17" x14ac:dyDescent="0.2">
      <c r="B1" t="s">
        <v>182</v>
      </c>
    </row>
    <row r="2" spans="2:17" x14ac:dyDescent="0.2">
      <c r="B2" t="s">
        <v>142</v>
      </c>
    </row>
    <row r="3" spans="2:17" x14ac:dyDescent="0.2">
      <c r="B3" t="s">
        <v>167</v>
      </c>
      <c r="C3" t="s">
        <v>139</v>
      </c>
      <c r="D3" t="s">
        <v>140</v>
      </c>
      <c r="E3" t="s">
        <v>141</v>
      </c>
      <c r="F3" t="s">
        <v>142</v>
      </c>
      <c r="G3" t="s">
        <v>143</v>
      </c>
      <c r="H3" t="s">
        <v>144</v>
      </c>
      <c r="I3" t="s">
        <v>145</v>
      </c>
      <c r="J3" t="s">
        <v>146</v>
      </c>
      <c r="K3" t="s">
        <v>147</v>
      </c>
      <c r="L3" t="s">
        <v>148</v>
      </c>
      <c r="M3" t="s">
        <v>149</v>
      </c>
      <c r="N3" t="s">
        <v>150</v>
      </c>
      <c r="O3" t="s">
        <v>151</v>
      </c>
      <c r="P3" t="s">
        <v>152</v>
      </c>
      <c r="Q3" t="s">
        <v>153</v>
      </c>
    </row>
    <row r="4" spans="2:17" x14ac:dyDescent="0.2">
      <c r="B4" t="e" cm="1" vm="2">
        <f t="array" ref="B4">_xlfn._xlws.SORT(_xlfn._xlws.SORT(_xlfn._xlws.FILTER(Averages!A3:P1000, Averages!A3:A1000&gt;0)),MAX(_xlfn.BYCOL(3:3,_xlfn.LAMBDA(_xlpm.c, IF(_xlpm.c=B2,COLUMN(_xlpm.c),0))))-1)</f>
        <v>#VALUE!</v>
      </c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</sheetData>
  <dataValidations disablePrompts="1" count="1">
    <dataValidation type="list" allowBlank="1" showInputMessage="1" showErrorMessage="1" sqref="B2" xr:uid="{63FFA796-4CF3-46E4-A9B0-0241C1B0C716}">
      <formula1>$B$3:$AAC$3</formula1>
    </dataValidation>
  </dataValidation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5B98C-B3C7-40E2-A8CA-075695AA94AB}">
  <sheetPr codeName="Sheet27"/>
  <dimension ref="A1:C2"/>
  <sheetViews>
    <sheetView workbookViewId="0">
      <selection activeCell="E3" sqref="E3"/>
    </sheetView>
  </sheetViews>
  <sheetFormatPr baseColWidth="10" defaultColWidth="8.83203125" defaultRowHeight="15" x14ac:dyDescent="0.2"/>
  <sheetData>
    <row r="1" spans="1:3" x14ac:dyDescent="0.2">
      <c r="A1" t="s">
        <v>167</v>
      </c>
      <c r="C1" t="s">
        <v>183</v>
      </c>
    </row>
    <row r="2" spans="1:3" x14ac:dyDescent="0.2">
      <c r="A2">
        <v>6443</v>
      </c>
      <c r="C2">
        <v>2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AE6348-7400-4313-AEFD-BBA9AA495580}">
          <x14:formula1>
            <xm:f>'Auto Path Backend 3'!$B:$B</xm:f>
          </x14:formula1>
          <xm:sqref>C2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9971ad2-a693-4c99-bc8a-00d2b4a313b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D74C1EB51324587EAE4E90DC7EB69" ma:contentTypeVersion="7" ma:contentTypeDescription="Create a new document." ma:contentTypeScope="" ma:versionID="d5b5c01e6f59b5d6091b50580bd962f7">
  <xsd:schema xmlns:xsd="http://www.w3.org/2001/XMLSchema" xmlns:xs="http://www.w3.org/2001/XMLSchema" xmlns:p="http://schemas.microsoft.com/office/2006/metadata/properties" xmlns:ns3="b9971ad2-a693-4c99-bc8a-00d2b4a313b1" targetNamespace="http://schemas.microsoft.com/office/2006/metadata/properties" ma:root="true" ma:fieldsID="40e78abfe3148f1962ad7d46b25b4785" ns3:_="">
    <xsd:import namespace="b9971ad2-a693-4c99-bc8a-00d2b4a313b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_activity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971ad2-a693-4c99-bc8a-00d2b4a313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0A4BEBC-9725-4918-87F2-F892B8184F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10F5F4-E1A7-4808-BB45-6AA367314F2E}">
  <ds:schemaRefs>
    <ds:schemaRef ds:uri="http://schemas.microsoft.com/office/2006/metadata/properties"/>
    <ds:schemaRef ds:uri="http://schemas.microsoft.com/office/infopath/2007/PartnerControls"/>
    <ds:schemaRef ds:uri="b9971ad2-a693-4c99-bc8a-00d2b4a313b1"/>
  </ds:schemaRefs>
</ds:datastoreItem>
</file>

<file path=customXml/itemProps3.xml><?xml version="1.0" encoding="utf-8"?>
<ds:datastoreItem xmlns:ds="http://schemas.openxmlformats.org/officeDocument/2006/customXml" ds:itemID="{5FE96F83-1246-4957-BD5D-6F7D689F37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9971ad2-a693-4c99-bc8a-00d2b4a313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</vt:i4>
      </vt:variant>
    </vt:vector>
  </HeadingPairs>
  <TitlesOfParts>
    <vt:vector size="30" baseType="lpstr">
      <vt:lpstr>Sheet1</vt:lpstr>
      <vt:lpstr>Sheet2</vt:lpstr>
      <vt:lpstr>Averages</vt:lpstr>
      <vt:lpstr>Auto Path Backend 1</vt:lpstr>
      <vt:lpstr>Auto Path Backend 2</vt:lpstr>
      <vt:lpstr>Auto Path Backend 3</vt:lpstr>
      <vt:lpstr>Prematch Backend 1</vt:lpstr>
      <vt:lpstr>Prematch Backend 2A</vt:lpstr>
      <vt:lpstr>Prematch Backend 2B</vt:lpstr>
      <vt:lpstr>Prematch Backend 2C</vt:lpstr>
      <vt:lpstr>Prematch Backend 3A</vt:lpstr>
      <vt:lpstr>Prematch Backend 3B</vt:lpstr>
      <vt:lpstr>Prematch Backend 3C</vt:lpstr>
      <vt:lpstr>Prematch Backend 4A</vt:lpstr>
      <vt:lpstr>Prematch Backend 4B</vt:lpstr>
      <vt:lpstr>Prematch Backend 4C</vt:lpstr>
      <vt:lpstr>Prematch Backend 5A</vt:lpstr>
      <vt:lpstr>Prematch Backend 5B</vt:lpstr>
      <vt:lpstr>Prematch Backend 5C</vt:lpstr>
      <vt:lpstr>Prematch Backend 6A</vt:lpstr>
      <vt:lpstr>Prematch Backend 6B</vt:lpstr>
      <vt:lpstr>Prematch Backend 6C</vt:lpstr>
      <vt:lpstr>Prematch Backend 7A</vt:lpstr>
      <vt:lpstr>Prematch Backend 7B</vt:lpstr>
      <vt:lpstr>Prematch Backend 7C</vt:lpstr>
      <vt:lpstr>Prematch</vt:lpstr>
      <vt:lpstr>Full Data</vt:lpstr>
      <vt:lpstr>Auto Path</vt:lpstr>
      <vt:lpstr>B10000000</vt:lpstr>
      <vt:lpstr>D4000000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Derek Aslan</dc:creator>
  <cp:keywords/>
  <dc:description/>
  <cp:lastModifiedBy>Kieran Garigan</cp:lastModifiedBy>
  <cp:revision/>
  <dcterms:created xsi:type="dcterms:W3CDTF">2024-02-13T00:37:17Z</dcterms:created>
  <dcterms:modified xsi:type="dcterms:W3CDTF">2024-03-20T16:59:39Z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0x010100A71D74C1EB51324587EAE4E90DC7EB69</vt:lpwstr>
  </property>
</Properties>
</file>